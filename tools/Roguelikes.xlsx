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9FC6609-2181-43AC-8D98-3AED0D489186}" xr6:coauthVersionLast="47" xr6:coauthVersionMax="47" xr10:uidLastSave="{00000000-0000-0000-0000-000000000000}"/>
  <bookViews>
    <workbookView xWindow="-120" yWindow="-120" windowWidth="38640" windowHeight="21120" tabRatio="692"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3" i="1" l="1"/>
  <c r="D343" i="1"/>
  <c r="E687" i="1"/>
  <c r="D687" i="1"/>
  <c r="E827" i="1"/>
  <c r="D827" i="1"/>
  <c r="E229" i="1"/>
  <c r="D229" i="1"/>
  <c r="E165" i="1"/>
  <c r="D165" i="1"/>
  <c r="E98" i="1"/>
  <c r="D98" i="1"/>
  <c r="E528" i="1"/>
  <c r="D528" i="1"/>
  <c r="E333" i="1"/>
  <c r="D333" i="1"/>
  <c r="E800" i="1"/>
  <c r="D800" i="1"/>
  <c r="E544" i="1"/>
  <c r="D544" i="1"/>
  <c r="E138" i="1"/>
  <c r="D138"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P866" i="47"/>
  <c r="A866" i="47"/>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P851" i="47"/>
  <c r="A851" i="47"/>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A838" i="47"/>
  <c r="D838" i="47" s="1"/>
  <c r="U837" i="47"/>
  <c r="T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L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F660" i="47"/>
  <c r="D660" i="47"/>
  <c r="O660" i="47" s="1"/>
  <c r="A660" i="47"/>
  <c r="U659" i="47"/>
  <c r="T659" i="47"/>
  <c r="A659" i="47"/>
  <c r="U658" i="47"/>
  <c r="T658" i="47"/>
  <c r="F658" i="47"/>
  <c r="D658" i="47"/>
  <c r="O658" i="47" s="1"/>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F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K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P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C448" i="47"/>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B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F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D253" i="47"/>
  <c r="O253" i="47" s="1"/>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M232" i="47" s="1"/>
  <c r="U231" i="47"/>
  <c r="T231" i="47"/>
  <c r="A231" i="47"/>
  <c r="F231" i="47" s="1"/>
  <c r="U230" i="47"/>
  <c r="T230" i="47"/>
  <c r="A230" i="47"/>
  <c r="P230" i="47" s="1"/>
  <c r="U229" i="47"/>
  <c r="T229" i="47"/>
  <c r="A229" i="47"/>
  <c r="D229" i="47" s="1"/>
  <c r="O229" i="47" s="1"/>
  <c r="U228" i="47"/>
  <c r="T228" i="47"/>
  <c r="F228" i="47"/>
  <c r="A228" i="47"/>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D221" i="47"/>
  <c r="O221" i="47" s="1"/>
  <c r="A221" i="47"/>
  <c r="B221" i="47" s="1"/>
  <c r="U220" i="47"/>
  <c r="T220" i="47"/>
  <c r="C220" i="47"/>
  <c r="A220" i="47"/>
  <c r="U219" i="47"/>
  <c r="T219" i="47"/>
  <c r="A219" i="47"/>
  <c r="U218" i="47"/>
  <c r="T218" i="47"/>
  <c r="A218" i="47"/>
  <c r="D218" i="47" s="1"/>
  <c r="O218" i="47" s="1"/>
  <c r="U217" i="47"/>
  <c r="T217" i="47"/>
  <c r="A217" i="47"/>
  <c r="P217" i="47" s="1"/>
  <c r="U216" i="47"/>
  <c r="T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D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F175" i="47"/>
  <c r="A175" i="47"/>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A162" i="47"/>
  <c r="P162" i="47" s="1"/>
  <c r="U161" i="47"/>
  <c r="T161" i="47"/>
  <c r="A161" i="47"/>
  <c r="F161" i="47" s="1"/>
  <c r="U160" i="47"/>
  <c r="T160" i="47"/>
  <c r="A160" i="47"/>
  <c r="U159" i="47"/>
  <c r="T159" i="47"/>
  <c r="A159" i="47"/>
  <c r="P159" i="47" s="1"/>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D76" i="47"/>
  <c r="A76" i="47"/>
  <c r="P76" i="47" s="1"/>
  <c r="U75" i="47"/>
  <c r="T75" i="47"/>
  <c r="A75" i="47"/>
  <c r="U74" i="47"/>
  <c r="T74" i="47"/>
  <c r="A74" i="47"/>
  <c r="U73" i="47"/>
  <c r="T73" i="47"/>
  <c r="A73" i="47"/>
  <c r="U72" i="47"/>
  <c r="T72" i="47"/>
  <c r="A72" i="47"/>
  <c r="P72" i="47" s="1"/>
  <c r="Q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D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A17" i="47"/>
  <c r="B17" i="47" s="1"/>
  <c r="U16" i="47"/>
  <c r="T16" i="47"/>
  <c r="A16" i="47"/>
  <c r="F16" i="47" s="1"/>
  <c r="U15" i="47"/>
  <c r="T15" i="47"/>
  <c r="A15" i="47"/>
  <c r="P15" i="47" s="1"/>
  <c r="U14" i="47"/>
  <c r="T14" i="47"/>
  <c r="A14" i="47"/>
  <c r="P14" i="47" s="1"/>
  <c r="U13" i="47"/>
  <c r="T13" i="47"/>
  <c r="A13" i="47"/>
  <c r="U12" i="47"/>
  <c r="T12" i="47"/>
  <c r="A12" i="47"/>
  <c r="F12" i="47" s="1"/>
  <c r="U11" i="47"/>
  <c r="T11" i="47"/>
  <c r="C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6" i="1"/>
  <c r="D686" i="1"/>
  <c r="E685" i="1"/>
  <c r="D685" i="1"/>
  <c r="E684" i="1"/>
  <c r="D684" i="1"/>
  <c r="E683" i="1"/>
  <c r="D683" i="1"/>
  <c r="E682" i="1"/>
  <c r="D682" i="1"/>
  <c r="E681" i="1"/>
  <c r="D681" i="1"/>
  <c r="E680" i="1"/>
  <c r="D680" i="1"/>
  <c r="E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E635" i="1"/>
  <c r="D635" i="1"/>
  <c r="E634" i="1"/>
  <c r="D634" i="1"/>
  <c r="E633" i="1"/>
  <c r="D633" i="1"/>
  <c r="E632" i="1"/>
  <c r="D632" i="1"/>
  <c r="E631" i="1"/>
  <c r="D631" i="1"/>
  <c r="E630" i="1"/>
  <c r="D630" i="1"/>
  <c r="E629" i="1"/>
  <c r="D629" i="1"/>
  <c r="E628" i="1"/>
  <c r="D628" i="1"/>
  <c r="E627" i="1"/>
  <c r="D627" i="1"/>
  <c r="E626" i="1"/>
  <c r="E625" i="1"/>
  <c r="D625" i="1"/>
  <c r="E624" i="1"/>
  <c r="D624" i="1"/>
  <c r="E623" i="1"/>
  <c r="D623" i="1"/>
  <c r="E622" i="1"/>
  <c r="D622" i="1"/>
  <c r="E621" i="1"/>
  <c r="D621" i="1"/>
  <c r="E620" i="1"/>
  <c r="D620" i="1"/>
  <c r="E619" i="1"/>
  <c r="D619" i="1"/>
  <c r="E618" i="1"/>
  <c r="D618" i="1"/>
  <c r="E617" i="1"/>
  <c r="E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3" i="1"/>
  <c r="D543" i="1"/>
  <c r="E542" i="1"/>
  <c r="D542" i="1"/>
  <c r="E541" i="1"/>
  <c r="D541" i="1"/>
  <c r="E540" i="1"/>
  <c r="D540" i="1"/>
  <c r="E539" i="1"/>
  <c r="E538" i="1"/>
  <c r="D538" i="1"/>
  <c r="E537" i="1"/>
  <c r="D537" i="1"/>
  <c r="E536" i="1"/>
  <c r="D536" i="1"/>
  <c r="E535" i="1"/>
  <c r="D535" i="1"/>
  <c r="E534" i="1"/>
  <c r="D534" i="1"/>
  <c r="E533" i="1"/>
  <c r="D533" i="1"/>
  <c r="E532" i="1"/>
  <c r="D532" i="1"/>
  <c r="E531" i="1"/>
  <c r="D531" i="1"/>
  <c r="E530" i="1"/>
  <c r="E529" i="1"/>
  <c r="D529"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2" i="1"/>
  <c r="E341" i="1"/>
  <c r="D341" i="1"/>
  <c r="E340" i="1"/>
  <c r="D340" i="1"/>
  <c r="E339" i="1"/>
  <c r="D339" i="1"/>
  <c r="E338" i="1"/>
  <c r="D338" i="1"/>
  <c r="E337" i="1"/>
  <c r="D337" i="1"/>
  <c r="E336" i="1"/>
  <c r="D336" i="1"/>
  <c r="E335" i="1"/>
  <c r="D335" i="1"/>
  <c r="E334" i="1"/>
  <c r="D334"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E109" i="1"/>
  <c r="D109" i="1"/>
  <c r="E108" i="1"/>
  <c r="D108" i="1"/>
  <c r="E107" i="1"/>
  <c r="D107" i="1"/>
  <c r="E106" i="1"/>
  <c r="D106" i="1"/>
  <c r="E105" i="1"/>
  <c r="D105" i="1"/>
  <c r="E104" i="1"/>
  <c r="D104" i="1"/>
  <c r="E103" i="1"/>
  <c r="D103" i="1"/>
  <c r="E102" i="1"/>
  <c r="D102" i="1"/>
  <c r="E101" i="1"/>
  <c r="D101" i="1"/>
  <c r="E100" i="1"/>
  <c r="D100" i="1"/>
  <c r="E99" i="1"/>
  <c r="D99"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12" i="47" l="1"/>
  <c r="C17" i="47"/>
  <c r="N17" i="47" s="1"/>
  <c r="B563" i="47"/>
  <c r="D265" i="47"/>
  <c r="O265" i="47" s="1"/>
  <c r="F425" i="47"/>
  <c r="F429" i="47"/>
  <c r="B624" i="47"/>
  <c r="P798" i="47"/>
  <c r="Q798" i="47" s="1"/>
  <c r="C23" i="47"/>
  <c r="F140" i="47"/>
  <c r="P440" i="47"/>
  <c r="B574" i="47"/>
  <c r="B579" i="47"/>
  <c r="C656" i="47"/>
  <c r="D774" i="47"/>
  <c r="P23" i="47"/>
  <c r="P221" i="47"/>
  <c r="D328" i="47"/>
  <c r="B426" i="47"/>
  <c r="D799" i="47"/>
  <c r="F825" i="47"/>
  <c r="P845" i="47"/>
  <c r="C55" i="47"/>
  <c r="K55" i="47" s="1"/>
  <c r="C324" i="47"/>
  <c r="N324" i="47" s="1"/>
  <c r="F441" i="47"/>
  <c r="F71" i="47"/>
  <c r="B76" i="47"/>
  <c r="P90" i="47"/>
  <c r="C198" i="47"/>
  <c r="N198" i="47" s="1"/>
  <c r="B253" i="47"/>
  <c r="P462" i="47"/>
  <c r="C571" i="47"/>
  <c r="K571" i="47" s="1"/>
  <c r="C612" i="47"/>
  <c r="C622" i="47"/>
  <c r="C750" i="47"/>
  <c r="C76" i="47"/>
  <c r="J76" i="47" s="1"/>
  <c r="C253" i="47"/>
  <c r="K253" i="47" s="1"/>
  <c r="D612" i="47"/>
  <c r="O612" i="47" s="1"/>
  <c r="D622" i="47"/>
  <c r="O622" i="47" s="1"/>
  <c r="Q76" i="47"/>
  <c r="F76" i="47"/>
  <c r="B204" i="47"/>
  <c r="C244" i="47"/>
  <c r="N244" i="47" s="1"/>
  <c r="B249" i="47"/>
  <c r="D536" i="47"/>
  <c r="O536" i="47" s="1"/>
  <c r="D694" i="47"/>
  <c r="O694" i="47" s="1"/>
  <c r="P817" i="47"/>
  <c r="C852" i="47"/>
  <c r="F62" i="47"/>
  <c r="F204" i="47"/>
  <c r="L204" i="47" s="1"/>
  <c r="C295" i="47"/>
  <c r="J295" i="47" s="1"/>
  <c r="F424" i="47"/>
  <c r="P694" i="47"/>
  <c r="F295" i="47"/>
  <c r="Q865" i="47"/>
  <c r="B865" i="47"/>
  <c r="C865" i="47"/>
  <c r="I865" i="47" s="1"/>
  <c r="D865" i="47"/>
  <c r="O865" i="47" s="1"/>
  <c r="F865" i="47"/>
  <c r="G865" i="47"/>
  <c r="D864" i="47"/>
  <c r="B864" i="47"/>
  <c r="C864" i="47"/>
  <c r="G864" i="47" s="1"/>
  <c r="B863" i="47"/>
  <c r="C863" i="47"/>
  <c r="G863" i="47" s="1"/>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M714" i="47" s="1"/>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P396" i="47"/>
  <c r="P400" i="47"/>
  <c r="P405" i="47"/>
  <c r="C487" i="47"/>
  <c r="N487" i="47" s="1"/>
  <c r="F608" i="47"/>
  <c r="B838" i="47"/>
  <c r="B257" i="47"/>
  <c r="C529" i="47"/>
  <c r="P608" i="47"/>
  <c r="K220" i="47"/>
  <c r="C257" i="47"/>
  <c r="C810" i="47"/>
  <c r="E810" i="47" s="1"/>
  <c r="F682" i="47"/>
  <c r="F752" i="47"/>
  <c r="P757" i="47"/>
  <c r="B10" i="47"/>
  <c r="D33" i="47"/>
  <c r="O33" i="47" s="1"/>
  <c r="C43" i="47"/>
  <c r="F67" i="47"/>
  <c r="L220" i="47"/>
  <c r="C397" i="47"/>
  <c r="F579" i="47"/>
  <c r="F10" i="47"/>
  <c r="C545" i="47"/>
  <c r="B565" i="47"/>
  <c r="D216" i="47"/>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H264" i="47"/>
  <c r="F308" i="47"/>
  <c r="F312" i="47"/>
  <c r="P333" i="47"/>
  <c r="B436" i="47"/>
  <c r="C474" i="47"/>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E253" i="47"/>
  <c r="D310" i="47"/>
  <c r="O310" i="47" s="1"/>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Q128" i="47"/>
  <c r="P132" i="47"/>
  <c r="Q132" i="47" s="1"/>
  <c r="C154" i="47"/>
  <c r="L154" i="47" s="1"/>
  <c r="K164" i="47"/>
  <c r="F174" i="47"/>
  <c r="B213" i="47"/>
  <c r="F220" i="47"/>
  <c r="J220" i="47" s="1"/>
  <c r="B220" i="47"/>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O477" i="47" s="1"/>
  <c r="C507" i="47"/>
  <c r="N507" i="47" s="1"/>
  <c r="B511" i="47"/>
  <c r="B524" i="47"/>
  <c r="F524" i="47"/>
  <c r="D524" i="47"/>
  <c r="O524" i="47" s="1"/>
  <c r="C595" i="47"/>
  <c r="P692" i="47"/>
  <c r="K692" i="47"/>
  <c r="C692" i="47"/>
  <c r="L692" i="47" s="1"/>
  <c r="P100" i="47"/>
  <c r="D100" i="47"/>
  <c r="O100" i="47" s="1"/>
  <c r="D178" i="47"/>
  <c r="O178" i="47" s="1"/>
  <c r="C178" i="47"/>
  <c r="C276" i="47"/>
  <c r="B276" i="47"/>
  <c r="F426" i="47"/>
  <c r="H426" i="47" s="1"/>
  <c r="C426" i="47"/>
  <c r="P426" i="47"/>
  <c r="Q426" i="47" s="1"/>
  <c r="P435" i="47"/>
  <c r="F435" i="47"/>
  <c r="K448" i="47"/>
  <c r="P539" i="47"/>
  <c r="C548" i="47"/>
  <c r="D548" i="47"/>
  <c r="O548" i="47" s="1"/>
  <c r="B548" i="47"/>
  <c r="N660" i="47"/>
  <c r="L660" i="47"/>
  <c r="K660" i="47"/>
  <c r="P678" i="47"/>
  <c r="D678" i="47"/>
  <c r="C814" i="47"/>
  <c r="L814" i="47" s="1"/>
  <c r="B814" i="47"/>
  <c r="F858" i="47"/>
  <c r="D858" i="47"/>
  <c r="O858" i="47" s="1"/>
  <c r="B858" i="47"/>
  <c r="B35" i="47"/>
  <c r="G35" i="47" s="1"/>
  <c r="B54" i="47"/>
  <c r="B61" i="47"/>
  <c r="C68" i="47"/>
  <c r="M68" i="47" s="1"/>
  <c r="B100" i="47"/>
  <c r="B148" i="47"/>
  <c r="B152" i="47"/>
  <c r="M152" i="47" s="1"/>
  <c r="B178" i="47"/>
  <c r="B206" i="47"/>
  <c r="F206" i="47"/>
  <c r="B217" i="47"/>
  <c r="J257" i="47"/>
  <c r="E261" i="47"/>
  <c r="H261" i="47"/>
  <c r="D276" i="47"/>
  <c r="O276" i="47" s="1"/>
  <c r="C326" i="47"/>
  <c r="D356" i="47"/>
  <c r="O356" i="47" s="1"/>
  <c r="C356" i="47"/>
  <c r="C539" i="47"/>
  <c r="I539" i="47" s="1"/>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O35" i="47" s="1"/>
  <c r="C51" i="47"/>
  <c r="P54" i="47"/>
  <c r="Q61"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P392" i="47"/>
  <c r="C408" i="47"/>
  <c r="D408" i="47"/>
  <c r="Q408" i="47" s="1"/>
  <c r="D424" i="47"/>
  <c r="O424" i="47" s="1"/>
  <c r="C424" i="47"/>
  <c r="E426" i="47"/>
  <c r="F458" i="47"/>
  <c r="D458" i="47"/>
  <c r="C458" i="47"/>
  <c r="D471" i="47"/>
  <c r="O471" i="47" s="1"/>
  <c r="F483" i="47"/>
  <c r="C483" i="47"/>
  <c r="B512" i="47"/>
  <c r="P529" i="47"/>
  <c r="N529" i="47"/>
  <c r="K529" i="47"/>
  <c r="D592" i="47"/>
  <c r="O592" i="47" s="1"/>
  <c r="D608" i="47"/>
  <c r="O608" i="47" s="1"/>
  <c r="C608" i="47"/>
  <c r="P674" i="47"/>
  <c r="F674" i="47"/>
  <c r="D674" i="47"/>
  <c r="C850" i="47"/>
  <c r="E850" i="47" s="1"/>
  <c r="P850" i="47"/>
  <c r="F850" i="47"/>
  <c r="D850" i="47"/>
  <c r="D14" i="47"/>
  <c r="O14" i="47" s="1"/>
  <c r="F35" i="47"/>
  <c r="D51" i="47"/>
  <c r="C72" i="47"/>
  <c r="K72" i="47" s="1"/>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F133" i="47"/>
  <c r="C258" i="47"/>
  <c r="L258" i="47" s="1"/>
  <c r="B273" i="47"/>
  <c r="D281" i="47"/>
  <c r="O281" i="47" s="1"/>
  <c r="F281" i="47"/>
  <c r="F292" i="47"/>
  <c r="D309" i="47"/>
  <c r="O309" i="47" s="1"/>
  <c r="D327" i="47"/>
  <c r="Q327" i="47" s="1"/>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P324" i="47"/>
  <c r="B324" i="47"/>
  <c r="P353" i="47"/>
  <c r="P420" i="47"/>
  <c r="P454" i="47"/>
  <c r="F454" i="47"/>
  <c r="N463"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K694" i="47"/>
  <c r="F80" i="47"/>
  <c r="P82" i="47"/>
  <c r="B156" i="47"/>
  <c r="B198" i="47"/>
  <c r="F218" i="47"/>
  <c r="C236" i="47"/>
  <c r="M236" i="47" s="1"/>
  <c r="D236" i="47"/>
  <c r="O236" i="47" s="1"/>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O541" i="47" s="1"/>
  <c r="F541" i="47"/>
  <c r="B541" i="47"/>
  <c r="D712" i="47"/>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M115" i="47"/>
  <c r="D146" i="47"/>
  <c r="Q146" i="47" s="1"/>
  <c r="D156" i="47"/>
  <c r="O156" i="47" s="1"/>
  <c r="E160" i="47"/>
  <c r="P166" i="47"/>
  <c r="C166" i="47"/>
  <c r="F169" i="47"/>
  <c r="D198" i="47"/>
  <c r="O198" i="47" s="1"/>
  <c r="F205" i="47"/>
  <c r="F229" i="47"/>
  <c r="F236" i="47"/>
  <c r="C248" i="47"/>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P117" i="47"/>
  <c r="N124" i="47"/>
  <c r="B124" i="47"/>
  <c r="F156" i="47"/>
  <c r="L156" i="47" s="1"/>
  <c r="B160" i="47"/>
  <c r="G160" i="47" s="1"/>
  <c r="B166" i="47"/>
  <c r="L180" i="47"/>
  <c r="C196" i="47"/>
  <c r="E196" i="47" s="1"/>
  <c r="F198" i="47"/>
  <c r="D226" i="47"/>
  <c r="O226" i="47" s="1"/>
  <c r="P229" i="47"/>
  <c r="D248" i="47"/>
  <c r="O248" i="47" s="1"/>
  <c r="F306" i="47"/>
  <c r="C313" i="47"/>
  <c r="K313" i="47" s="1"/>
  <c r="B321" i="47"/>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O661" i="47" s="1"/>
  <c r="F668" i="47"/>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O134" i="47" s="1"/>
  <c r="C134" i="47"/>
  <c r="J134" i="47" s="1"/>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J210" i="47"/>
  <c r="P210" i="47"/>
  <c r="F210" i="47"/>
  <c r="D210" i="47"/>
  <c r="O210" i="47" s="1"/>
  <c r="C210" i="47"/>
  <c r="M210" i="47" s="1"/>
  <c r="P30" i="47"/>
  <c r="C37" i="47"/>
  <c r="C39" i="47"/>
  <c r="L39" i="47" s="1"/>
  <c r="J41" i="47"/>
  <c r="D53" i="47"/>
  <c r="O53" i="47" s="1"/>
  <c r="F77" i="47"/>
  <c r="B77" i="47"/>
  <c r="Q90" i="47"/>
  <c r="F99" i="47"/>
  <c r="F120" i="47"/>
  <c r="C120" i="47"/>
  <c r="I120" i="47" s="1"/>
  <c r="I126" i="47"/>
  <c r="F168" i="47"/>
  <c r="D168" i="47"/>
  <c r="O168" i="47" s="1"/>
  <c r="C168" i="47"/>
  <c r="I168" i="47" s="1"/>
  <c r="B210" i="47"/>
  <c r="F3" i="47"/>
  <c r="F5" i="47"/>
  <c r="B7" i="47"/>
  <c r="B9" i="47"/>
  <c r="B13" i="47"/>
  <c r="F18" i="47"/>
  <c r="B22" i="47"/>
  <c r="C24" i="47"/>
  <c r="G24" i="47" s="1"/>
  <c r="B26" i="47"/>
  <c r="P28" i="47"/>
  <c r="D37" i="47"/>
  <c r="O37" i="47" s="1"/>
  <c r="D39" i="47"/>
  <c r="L41" i="47"/>
  <c r="P71" i="47"/>
  <c r="Q71" i="47" s="1"/>
  <c r="B71" i="47"/>
  <c r="P83" i="47"/>
  <c r="F83" i="47"/>
  <c r="B168" i="47"/>
  <c r="P339" i="47"/>
  <c r="Q339" i="47" s="1"/>
  <c r="D339" i="47"/>
  <c r="O339" i="47" s="1"/>
  <c r="C339" i="47"/>
  <c r="M339" i="47" s="1"/>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F202" i="47"/>
  <c r="P202" i="47"/>
  <c r="D202" i="47"/>
  <c r="O202" i="47" s="1"/>
  <c r="C202" i="47"/>
  <c r="K202" i="47" s="1"/>
  <c r="D7" i="47"/>
  <c r="Q7" i="47" s="1"/>
  <c r="D9" i="47"/>
  <c r="O9" i="47" s="1"/>
  <c r="J11" i="47"/>
  <c r="D13" i="47"/>
  <c r="O13" i="47" s="1"/>
  <c r="F22" i="47"/>
  <c r="P24" i="47"/>
  <c r="P26" i="47"/>
  <c r="D78" i="47"/>
  <c r="O78" i="47" s="1"/>
  <c r="C78" i="47"/>
  <c r="P149" i="47"/>
  <c r="D149" i="47"/>
  <c r="C149" i="47"/>
  <c r="N149" i="47" s="1"/>
  <c r="B149" i="47"/>
  <c r="P155" i="47"/>
  <c r="F155" i="47"/>
  <c r="C155" i="47"/>
  <c r="B155" i="47"/>
  <c r="F7" i="47"/>
  <c r="F9" i="47"/>
  <c r="F13" i="47"/>
  <c r="B29" i="47"/>
  <c r="C29" i="47"/>
  <c r="J29" i="47" s="1"/>
  <c r="P58" i="47"/>
  <c r="F58" i="47"/>
  <c r="B58" i="47"/>
  <c r="E64" i="47"/>
  <c r="I69" i="47"/>
  <c r="D74" i="47"/>
  <c r="O74" i="47" s="1"/>
  <c r="F74" i="47"/>
  <c r="C74" i="47"/>
  <c r="L74" i="47" s="1"/>
  <c r="P105" i="47"/>
  <c r="G130"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J13" i="47"/>
  <c r="D15" i="47"/>
  <c r="O15" i="47" s="1"/>
  <c r="F17" i="47"/>
  <c r="H17" i="47" s="1"/>
  <c r="B19" i="47"/>
  <c r="C21" i="47"/>
  <c r="B25" i="47"/>
  <c r="F25" i="47"/>
  <c r="B27" i="47"/>
  <c r="F29" i="47"/>
  <c r="D31" i="47"/>
  <c r="H33" i="47"/>
  <c r="B42" i="47"/>
  <c r="J49" i="47"/>
  <c r="J64" i="47"/>
  <c r="K76" i="47"/>
  <c r="E76" i="47"/>
  <c r="I76" i="47"/>
  <c r="P81" i="47"/>
  <c r="D81" i="47"/>
  <c r="P110" i="47"/>
  <c r="Q110" i="47" s="1"/>
  <c r="D110" i="47"/>
  <c r="O110" i="47" s="1"/>
  <c r="B110" i="47"/>
  <c r="P173" i="47"/>
  <c r="C173" i="47"/>
  <c r="B173" i="47"/>
  <c r="B2" i="47"/>
  <c r="C4" i="47"/>
  <c r="H4" i="47" s="1"/>
  <c r="F11" i="47"/>
  <c r="L11" i="47" s="1"/>
  <c r="F15" i="47"/>
  <c r="C19" i="47"/>
  <c r="D21" i="47"/>
  <c r="O21" i="47" s="1"/>
  <c r="C25" i="47"/>
  <c r="J25" i="47" s="1"/>
  <c r="C27" i="47"/>
  <c r="F31" i="47"/>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Q59" i="47" s="1"/>
  <c r="C59" i="47"/>
  <c r="J62" i="47"/>
  <c r="K62" i="47"/>
  <c r="F81" i="47"/>
  <c r="L144" i="47"/>
  <c r="N144" i="47"/>
  <c r="K144" i="47"/>
  <c r="P9" i="47"/>
  <c r="Q9" i="47" s="1"/>
  <c r="P13" i="47"/>
  <c r="Q13" i="47" s="1"/>
  <c r="K17" i="47"/>
  <c r="F19" i="47"/>
  <c r="K29" i="47"/>
  <c r="L31" i="47"/>
  <c r="M33" i="47"/>
  <c r="D59" i="47"/>
  <c r="P65" i="47"/>
  <c r="G65" i="47"/>
  <c r="D65" i="47"/>
  <c r="O65" i="47" s="1"/>
  <c r="B65" i="47"/>
  <c r="F68" i="47"/>
  <c r="J68" i="47" s="1"/>
  <c r="N68" i="47"/>
  <c r="D70" i="47"/>
  <c r="O70" i="47" s="1"/>
  <c r="P70" i="47"/>
  <c r="C70" i="47"/>
  <c r="G76" i="47"/>
  <c r="D101" i="47"/>
  <c r="O101" i="47" s="1"/>
  <c r="P101" i="47"/>
  <c r="Q101" i="47" s="1"/>
  <c r="P125" i="47"/>
  <c r="C125" i="47"/>
  <c r="B125" i="47"/>
  <c r="C159" i="47"/>
  <c r="N159" i="47" s="1"/>
  <c r="B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B137" i="47"/>
  <c r="M156" i="47"/>
  <c r="H156" i="47"/>
  <c r="G156" i="47"/>
  <c r="F159" i="47"/>
  <c r="P170" i="47"/>
  <c r="F170" i="47"/>
  <c r="D170" i="47"/>
  <c r="O170" i="47" s="1"/>
  <c r="C170" i="47"/>
  <c r="P177" i="47"/>
  <c r="Q177" i="47" s="1"/>
  <c r="D177" i="47"/>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K107" i="47" s="1"/>
  <c r="D124" i="47"/>
  <c r="O124" i="47" s="1"/>
  <c r="D126" i="47"/>
  <c r="O126" i="47" s="1"/>
  <c r="J133" i="47"/>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L162" i="47" s="1"/>
  <c r="G166" i="47"/>
  <c r="E186" i="47"/>
  <c r="M204" i="47"/>
  <c r="C230" i="47"/>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M98" i="47" s="1"/>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Q117" i="47" s="1"/>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J228" i="47"/>
  <c r="F230" i="47"/>
  <c r="B237" i="47"/>
  <c r="F244" i="47"/>
  <c r="L244" i="47" s="1"/>
  <c r="K247" i="47"/>
  <c r="B252" i="47"/>
  <c r="F260" i="47"/>
  <c r="C262" i="47"/>
  <c r="G264" i="47"/>
  <c r="F266" i="47"/>
  <c r="B269" i="47"/>
  <c r="F272" i="47"/>
  <c r="F289" i="47"/>
  <c r="D289" i="47"/>
  <c r="O289" i="47" s="1"/>
  <c r="C289" i="47"/>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O377" i="47" s="1"/>
  <c r="C377" i="47"/>
  <c r="P413" i="47"/>
  <c r="F413" i="47"/>
  <c r="D413" i="47"/>
  <c r="P423" i="47"/>
  <c r="I98" i="47"/>
  <c r="F117" i="47"/>
  <c r="M126" i="47"/>
  <c r="B163" i="47"/>
  <c r="B171" i="47"/>
  <c r="D224" i="47"/>
  <c r="O224" i="47" s="1"/>
  <c r="P237" i="47"/>
  <c r="P240" i="47"/>
  <c r="D240" i="47"/>
  <c r="E252" i="47"/>
  <c r="B258" i="47"/>
  <c r="C680" i="47"/>
  <c r="B680" i="47"/>
  <c r="P680" i="47"/>
  <c r="F63" i="47"/>
  <c r="V67" i="47"/>
  <c r="F94" i="47"/>
  <c r="C97" i="47"/>
  <c r="J97" i="47" s="1"/>
  <c r="K98" i="47"/>
  <c r="C103" i="47"/>
  <c r="K113" i="47"/>
  <c r="K115" i="47"/>
  <c r="B119" i="47"/>
  <c r="D121" i="47"/>
  <c r="O121" i="47" s="1"/>
  <c r="B132" i="47"/>
  <c r="I132" i="47" s="1"/>
  <c r="B133" i="47"/>
  <c r="K133" i="47" s="1"/>
  <c r="C163" i="47"/>
  <c r="K163" i="47" s="1"/>
  <c r="V168" i="47"/>
  <c r="C171" i="47"/>
  <c r="D205" i="47"/>
  <c r="O205" i="47" s="1"/>
  <c r="M228" i="47"/>
  <c r="B240" i="47"/>
  <c r="M240" i="47" s="1"/>
  <c r="P242" i="47"/>
  <c r="N247" i="47"/>
  <c r="D258" i="47"/>
  <c r="O258" i="47" s="1"/>
  <c r="K264" i="47"/>
  <c r="F267" i="47"/>
  <c r="H267" i="47" s="1"/>
  <c r="P273" i="47"/>
  <c r="C273" i="47"/>
  <c r="C286" i="47"/>
  <c r="B310" i="47"/>
  <c r="G310" i="47" s="1"/>
  <c r="E310" i="47"/>
  <c r="K310" i="47"/>
  <c r="F310" i="47"/>
  <c r="L310" i="47" s="1"/>
  <c r="P317" i="47"/>
  <c r="F332" i="47"/>
  <c r="H332" i="47" s="1"/>
  <c r="K334" i="47"/>
  <c r="F340" i="47"/>
  <c r="I434" i="47"/>
  <c r="F465" i="47"/>
  <c r="N140" i="47"/>
  <c r="F163" i="47"/>
  <c r="F171" i="47"/>
  <c r="G197" i="47"/>
  <c r="P222" i="47"/>
  <c r="B222" i="47"/>
  <c r="E249" i="47"/>
  <c r="I249" i="47"/>
  <c r="C308" i="47"/>
  <c r="N308" i="47" s="1"/>
  <c r="B308" i="47"/>
  <c r="M326" i="47"/>
  <c r="G332" i="47"/>
  <c r="P334" i="47"/>
  <c r="K411" i="47"/>
  <c r="M222" i="47"/>
  <c r="C238" i="47"/>
  <c r="K238" i="47" s="1"/>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L673" i="47" s="1"/>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N428" i="47"/>
  <c r="M463" i="47"/>
  <c r="P510" i="47"/>
  <c r="D510" i="47"/>
  <c r="O510" i="47" s="1"/>
  <c r="C510" i="47"/>
  <c r="M510" i="47" s="1"/>
  <c r="B510" i="47"/>
  <c r="J528" i="47"/>
  <c r="G530" i="47"/>
  <c r="E532" i="47"/>
  <c r="P535" i="47"/>
  <c r="L535" i="47"/>
  <c r="J535" i="47"/>
  <c r="F537" i="47"/>
  <c r="B537" i="47"/>
  <c r="D652" i="47"/>
  <c r="O652" i="47" s="1"/>
  <c r="C652" i="47"/>
  <c r="K652" i="47" s="1"/>
  <c r="B652" i="47"/>
  <c r="P652" i="47"/>
  <c r="D438" i="47"/>
  <c r="O438" i="47" s="1"/>
  <c r="B463" i="47"/>
  <c r="K463" i="47" s="1"/>
  <c r="M530" i="47"/>
  <c r="K530" i="47"/>
  <c r="I610" i="47"/>
  <c r="N610" i="47"/>
  <c r="M610" i="47"/>
  <c r="P625" i="47"/>
  <c r="B625"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D538" i="47"/>
  <c r="O538" i="47" s="1"/>
  <c r="P647" i="47"/>
  <c r="C647" i="47"/>
  <c r="J647" i="47" s="1"/>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G536" i="47"/>
  <c r="F536" i="47"/>
  <c r="J536" i="47" s="1"/>
  <c r="E536" i="47"/>
  <c r="P611" i="47"/>
  <c r="D611" i="47"/>
  <c r="O611" i="47" s="1"/>
  <c r="F644" i="47"/>
  <c r="N644" i="47" s="1"/>
  <c r="P644" i="47"/>
  <c r="I644" i="47"/>
  <c r="G644" i="47"/>
  <c r="B261" i="47"/>
  <c r="I261" i="47" s="1"/>
  <c r="B264" i="47"/>
  <c r="I264" i="47" s="1"/>
  <c r="N309" i="47"/>
  <c r="G321" i="47"/>
  <c r="B326" i="47"/>
  <c r="I326" i="47" s="1"/>
  <c r="N327" i="47"/>
  <c r="C331" i="47"/>
  <c r="I331" i="47" s="1"/>
  <c r="P341" i="47"/>
  <c r="F384" i="47"/>
  <c r="C389" i="47"/>
  <c r="L389" i="47" s="1"/>
  <c r="P409" i="47"/>
  <c r="D409" i="47"/>
  <c r="C412" i="47"/>
  <c r="N412" i="47" s="1"/>
  <c r="D412" i="47"/>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P597" i="47"/>
  <c r="F597" i="47"/>
  <c r="J628" i="47"/>
  <c r="K628" i="47"/>
  <c r="F628" i="47"/>
  <c r="E628" i="47"/>
  <c r="P628" i="47"/>
  <c r="L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B785" i="47"/>
  <c r="C797" i="47"/>
  <c r="L797" i="47" s="1"/>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L748" i="47" s="1"/>
  <c r="E750" i="47"/>
  <c r="D781" i="47"/>
  <c r="O781" i="47" s="1"/>
  <c r="C781" i="47"/>
  <c r="B781" i="47"/>
  <c r="C561" i="47"/>
  <c r="P567" i="47"/>
  <c r="I567" i="47"/>
  <c r="B567" i="47"/>
  <c r="G567" i="47" s="1"/>
  <c r="P576" i="47"/>
  <c r="Q576" i="47" s="1"/>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O682" i="47" s="1"/>
  <c r="C685" i="47"/>
  <c r="J692" i="47"/>
  <c r="J694" i="47"/>
  <c r="B708" i="47"/>
  <c r="P711" i="47"/>
  <c r="E711" i="47"/>
  <c r="F730" i="47"/>
  <c r="N734" i="47"/>
  <c r="L734" i="47"/>
  <c r="B734" i="47"/>
  <c r="G734" i="47" s="1"/>
  <c r="K736" i="47"/>
  <c r="B765" i="47"/>
  <c r="J801" i="47"/>
  <c r="P801" i="47"/>
  <c r="M801" i="47"/>
  <c r="L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I723" i="47" s="1"/>
  <c r="I748"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O662" i="47" s="1"/>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Q126" i="47"/>
  <c r="O697" i="47"/>
  <c r="O90" i="47"/>
  <c r="O465" i="47"/>
  <c r="Q133" i="47"/>
  <c r="Q724" i="47"/>
  <c r="Q434" i="47"/>
  <c r="Q694" i="47"/>
  <c r="Q497" i="47"/>
  <c r="Q563" i="47"/>
  <c r="Q174" i="47"/>
  <c r="Q471" i="47"/>
  <c r="Q661" i="47"/>
  <c r="Q354"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N88" i="47"/>
  <c r="H90" i="47"/>
  <c r="P93" i="47"/>
  <c r="M94" i="47"/>
  <c r="G96" i="47"/>
  <c r="V98" i="47"/>
  <c r="M100" i="47"/>
  <c r="J101" i="47"/>
  <c r="E103" i="47"/>
  <c r="J110" i="47"/>
  <c r="H111" i="47"/>
  <c r="F112" i="47"/>
  <c r="D113" i="47"/>
  <c r="C114" i="47"/>
  <c r="N114" i="47" s="1"/>
  <c r="P118" i="47"/>
  <c r="Q118" i="47" s="1"/>
  <c r="N120" i="47"/>
  <c r="K121" i="47"/>
  <c r="J122" i="47"/>
  <c r="I123" i="47"/>
  <c r="K124" i="47"/>
  <c r="M125" i="47"/>
  <c r="H128" i="47"/>
  <c r="N130" i="47"/>
  <c r="K134" i="47"/>
  <c r="H151" i="47"/>
  <c r="Y48" i="18"/>
  <c r="Q2" i="47"/>
  <c r="I4" i="47"/>
  <c r="E5" i="47"/>
  <c r="I8" i="47"/>
  <c r="E9" i="47"/>
  <c r="I12" i="47"/>
  <c r="E13" i="47"/>
  <c r="I16" i="47"/>
  <c r="E17" i="47"/>
  <c r="E21" i="47"/>
  <c r="I24" i="47"/>
  <c r="E25" i="47"/>
  <c r="Q26" i="47"/>
  <c r="I28" i="47"/>
  <c r="E29" i="47"/>
  <c r="I32" i="47"/>
  <c r="E33" i="47"/>
  <c r="I36" i="47"/>
  <c r="E37" i="47"/>
  <c r="Q38" i="47"/>
  <c r="I40" i="47"/>
  <c r="E41" i="47"/>
  <c r="Q42" i="47"/>
  <c r="E45" i="47"/>
  <c r="Q46" i="47"/>
  <c r="E49" i="47"/>
  <c r="I52" i="47"/>
  <c r="E53" i="47"/>
  <c r="Q54" i="47"/>
  <c r="M55" i="47"/>
  <c r="I56" i="47"/>
  <c r="E57" i="47"/>
  <c r="N59" i="47"/>
  <c r="C63" i="47"/>
  <c r="L63" i="47" s="1"/>
  <c r="N65" i="47"/>
  <c r="H67" i="47"/>
  <c r="E68" i="47"/>
  <c r="M71" i="47"/>
  <c r="O82" i="47"/>
  <c r="I84" i="47"/>
  <c r="F85" i="47"/>
  <c r="C86" i="47"/>
  <c r="I90" i="47"/>
  <c r="F91" i="47"/>
  <c r="C92" i="47"/>
  <c r="E92" i="47" s="1"/>
  <c r="N94" i="47"/>
  <c r="H96" i="47"/>
  <c r="E97" i="47"/>
  <c r="N100" i="47"/>
  <c r="B105" i="47"/>
  <c r="M105" i="47" s="1"/>
  <c r="K110" i="47"/>
  <c r="I111" i="47"/>
  <c r="F113" i="47"/>
  <c r="N113" i="47" s="1"/>
  <c r="D114" i="47"/>
  <c r="O114" i="47" s="1"/>
  <c r="M121" i="47"/>
  <c r="K122" i="47"/>
  <c r="K123" i="47"/>
  <c r="M124" i="47"/>
  <c r="N125" i="47"/>
  <c r="I128" i="47"/>
  <c r="P131" i="47"/>
  <c r="Q131" i="47" s="1"/>
  <c r="M134" i="47"/>
  <c r="V135" i="47"/>
  <c r="C137" i="47"/>
  <c r="I137" i="47" s="1"/>
  <c r="F137" i="47"/>
  <c r="H137" i="47" s="1"/>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J128" i="47"/>
  <c r="C2" i="47"/>
  <c r="N2" i="47" s="1"/>
  <c r="G5" i="47"/>
  <c r="C6" i="47"/>
  <c r="E6" i="47" s="1"/>
  <c r="K8" i="47"/>
  <c r="G9" i="47"/>
  <c r="C10" i="47"/>
  <c r="O11" i="47"/>
  <c r="K12" i="47"/>
  <c r="G13" i="47"/>
  <c r="C14" i="47"/>
  <c r="E14" i="47" s="1"/>
  <c r="K16" i="47"/>
  <c r="G17" i="47"/>
  <c r="C18" i="47"/>
  <c r="M18" i="47" s="1"/>
  <c r="O19" i="47"/>
  <c r="G21" i="47"/>
  <c r="C22" i="47"/>
  <c r="M22" i="47" s="1"/>
  <c r="O23" i="47"/>
  <c r="K24" i="47"/>
  <c r="G25" i="47"/>
  <c r="C26" i="47"/>
  <c r="M26" i="47" s="1"/>
  <c r="G29" i="47"/>
  <c r="C30" i="47"/>
  <c r="O31" i="47"/>
  <c r="G33" i="47"/>
  <c r="C34" i="47"/>
  <c r="N34" i="47" s="1"/>
  <c r="K36" i="47"/>
  <c r="G37" i="47"/>
  <c r="C38" i="47"/>
  <c r="E38" i="47" s="1"/>
  <c r="K40" i="47"/>
  <c r="G41" i="47"/>
  <c r="C42" i="47"/>
  <c r="E42" i="47" s="1"/>
  <c r="K44" i="47"/>
  <c r="G45" i="47"/>
  <c r="C46"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H86" i="47" s="1"/>
  <c r="C87" i="47"/>
  <c r="M87" i="47" s="1"/>
  <c r="K90" i="47"/>
  <c r="B93" i="47"/>
  <c r="P94" i="47"/>
  <c r="Q94" i="47" s="1"/>
  <c r="J96" i="47"/>
  <c r="G97" i="47"/>
  <c r="E98" i="47"/>
  <c r="B99" i="47"/>
  <c r="M101" i="47"/>
  <c r="H103" i="47"/>
  <c r="D105" i="47"/>
  <c r="O105" i="47" s="1"/>
  <c r="B106" i="47"/>
  <c r="V107" i="47"/>
  <c r="M110" i="47"/>
  <c r="F114" i="47"/>
  <c r="B116" i="47"/>
  <c r="L117" i="47"/>
  <c r="J117" i="47"/>
  <c r="M117" i="47"/>
  <c r="V119" i="47"/>
  <c r="N123" i="47"/>
  <c r="K128"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H118" i="47"/>
  <c r="J118" i="47"/>
  <c r="P123" i="47"/>
  <c r="M128" i="47"/>
  <c r="N142" i="47"/>
  <c r="L142" i="47"/>
  <c r="K142" i="47"/>
  <c r="Q3" i="47"/>
  <c r="M4" i="47"/>
  <c r="I5" i="47"/>
  <c r="M8" i="47"/>
  <c r="I9" i="47"/>
  <c r="Q11" i="47"/>
  <c r="M12" i="47"/>
  <c r="I13" i="47"/>
  <c r="M16" i="47"/>
  <c r="I17" i="47"/>
  <c r="Q19" i="47"/>
  <c r="I21" i="47"/>
  <c r="Q23" i="47"/>
  <c r="I25" i="47"/>
  <c r="Q27" i="47"/>
  <c r="M28" i="47"/>
  <c r="I29" i="47"/>
  <c r="Q31" i="47"/>
  <c r="M32" i="47"/>
  <c r="I33" i="47"/>
  <c r="Q35" i="47"/>
  <c r="M36" i="47"/>
  <c r="I37" i="47"/>
  <c r="M40" i="47"/>
  <c r="I41" i="47"/>
  <c r="M44" i="47"/>
  <c r="I45" i="47"/>
  <c r="M48" i="47"/>
  <c r="E50" i="47"/>
  <c r="Q51" i="47"/>
  <c r="M52" i="47"/>
  <c r="I53" i="47"/>
  <c r="Q55" i="47"/>
  <c r="M56" i="47"/>
  <c r="I57" i="47"/>
  <c r="E58" i="47"/>
  <c r="B59" i="47"/>
  <c r="I59" i="47" s="1"/>
  <c r="P60" i="47"/>
  <c r="D64" i="47"/>
  <c r="O64" i="47" s="1"/>
  <c r="H65" i="47"/>
  <c r="L67" i="47"/>
  <c r="F69" i="47"/>
  <c r="N69" i="47" s="1"/>
  <c r="I74" i="47"/>
  <c r="F75" i="47"/>
  <c r="L75" i="47" s="1"/>
  <c r="N78" i="47"/>
  <c r="H80" i="47"/>
  <c r="B82" i="47"/>
  <c r="I82" i="47" s="1"/>
  <c r="Q83" i="47"/>
  <c r="N84" i="47"/>
  <c r="B88" i="47"/>
  <c r="G88" i="47" s="1"/>
  <c r="P89" i="47"/>
  <c r="Q89" i="47" s="1"/>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J98" i="47"/>
  <c r="H101" i="47"/>
  <c r="O102" i="47"/>
  <c r="I105" i="47"/>
  <c r="G107" i="47"/>
  <c r="C109" i="47"/>
  <c r="L109" i="47" s="1"/>
  <c r="H110" i="47"/>
  <c r="N110" i="47"/>
  <c r="E118" i="47"/>
  <c r="H122" i="47"/>
  <c r="M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B129" i="47"/>
  <c r="G129" i="47" s="1"/>
  <c r="F135" i="47"/>
  <c r="D141" i="47"/>
  <c r="O141" i="47" s="1"/>
  <c r="J142" i="47"/>
  <c r="E152" i="47"/>
  <c r="I174" i="47"/>
  <c r="G174" i="47"/>
  <c r="E174" i="47"/>
  <c r="N174" i="47"/>
  <c r="M174" i="47"/>
  <c r="L174" i="47"/>
  <c r="K174" i="47"/>
  <c r="J174" i="47"/>
  <c r="E176" i="47"/>
  <c r="N176" i="47"/>
  <c r="M176" i="47"/>
  <c r="L176" i="47"/>
  <c r="K176" i="47"/>
  <c r="J176" i="47"/>
  <c r="H176" i="47"/>
  <c r="P112" i="47"/>
  <c r="C129" i="47"/>
  <c r="L129" i="47" s="1"/>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L113" i="47"/>
  <c r="E113" i="47"/>
  <c r="M118" i="47"/>
  <c r="L119" i="47"/>
  <c r="K120" i="47"/>
  <c r="H121" i="47"/>
  <c r="F122" i="47"/>
  <c r="N122" i="47" s="1"/>
  <c r="F123" i="47"/>
  <c r="H123" i="47" s="1"/>
  <c r="F124" i="47"/>
  <c r="H124" i="47" s="1"/>
  <c r="F127" i="47"/>
  <c r="E128" i="47"/>
  <c r="G134" i="47"/>
  <c r="F139" i="47"/>
  <c r="C145"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L82" i="47"/>
  <c r="F84" i="47"/>
  <c r="H84" i="47" s="1"/>
  <c r="C85" i="47"/>
  <c r="J85" i="47" s="1"/>
  <c r="K88" i="47"/>
  <c r="F90" i="47"/>
  <c r="L90" i="47" s="1"/>
  <c r="C91" i="47"/>
  <c r="K94" i="47"/>
  <c r="E96" i="47"/>
  <c r="B97" i="47"/>
  <c r="I97" i="47" s="1"/>
  <c r="P98" i="47"/>
  <c r="Q98" i="47" s="1"/>
  <c r="J100" i="47"/>
  <c r="G101" i="47"/>
  <c r="B103" i="47"/>
  <c r="M103" i="47" s="1"/>
  <c r="P104" i="47"/>
  <c r="G110" i="47"/>
  <c r="F111" i="47"/>
  <c r="N111" i="47" s="1"/>
  <c r="D112" i="47"/>
  <c r="O112" i="47" s="1"/>
  <c r="B113" i="47"/>
  <c r="M113" i="47" s="1"/>
  <c r="O117" i="47"/>
  <c r="N118" i="47"/>
  <c r="M119" i="47"/>
  <c r="L120" i="47"/>
  <c r="G122" i="47"/>
  <c r="J125" i="47"/>
  <c r="F129" i="47"/>
  <c r="K130" i="47"/>
  <c r="I134" i="47"/>
  <c r="Q138" i="47"/>
  <c r="F138" i="47"/>
  <c r="C138" i="47"/>
  <c r="B138" i="47"/>
  <c r="F145" i="47"/>
  <c r="N152" i="47"/>
  <c r="K162" i="47"/>
  <c r="G170" i="47"/>
  <c r="L59" i="47"/>
  <c r="V86" i="47"/>
  <c r="D91" i="47"/>
  <c r="Q91" i="47" s="1"/>
  <c r="F102" i="47"/>
  <c r="P106" i="47"/>
  <c r="N107" i="47"/>
  <c r="B114"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Q202" i="47"/>
  <c r="F203" i="47"/>
  <c r="L206" i="47"/>
  <c r="F211" i="47"/>
  <c r="M234" i="47"/>
  <c r="J234" i="47"/>
  <c r="M238" i="47"/>
  <c r="J238" i="47"/>
  <c r="N249" i="47"/>
  <c r="E269" i="47"/>
  <c r="N281" i="47"/>
  <c r="K281" i="47"/>
  <c r="J281" i="47"/>
  <c r="I281" i="47"/>
  <c r="H281" i="47"/>
  <c r="G281" i="47"/>
  <c r="E281" i="47"/>
  <c r="N286" i="47"/>
  <c r="M151" i="47"/>
  <c r="E161" i="47"/>
  <c r="K171" i="47"/>
  <c r="P185" i="47"/>
  <c r="D191" i="47"/>
  <c r="O191" i="47" s="1"/>
  <c r="C191" i="47"/>
  <c r="J197" i="47"/>
  <c r="D223" i="47"/>
  <c r="O223" i="47" s="1"/>
  <c r="C223" i="47"/>
  <c r="N223" i="47" s="1"/>
  <c r="B223" i="47"/>
  <c r="M244" i="47"/>
  <c r="J244" i="47"/>
  <c r="I244" i="47"/>
  <c r="H244" i="47"/>
  <c r="G244" i="47"/>
  <c r="B274" i="47"/>
  <c r="P274" i="47"/>
  <c r="L274" i="47"/>
  <c r="F274" i="47"/>
  <c r="N151" i="47"/>
  <c r="B161" i="47"/>
  <c r="N168"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K218" i="47"/>
  <c r="L224" i="47"/>
  <c r="D227" i="47"/>
  <c r="O227" i="47" s="1"/>
  <c r="C227" i="47"/>
  <c r="N227" i="47" s="1"/>
  <c r="B227" i="47"/>
  <c r="I232" i="47"/>
  <c r="C250" i="47"/>
  <c r="I250" i="47" s="1"/>
  <c r="M270" i="47"/>
  <c r="I270" i="47"/>
  <c r="H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D275" i="47"/>
  <c r="O275" i="47" s="1"/>
  <c r="P275" i="47"/>
  <c r="F275" i="47"/>
  <c r="B282" i="47"/>
  <c r="P282" i="47"/>
  <c r="F282" i="47"/>
  <c r="D282" i="47"/>
  <c r="O282" i="47" s="1"/>
  <c r="B151" i="47"/>
  <c r="L158" i="47"/>
  <c r="B169" i="47"/>
  <c r="Q170" i="47"/>
  <c r="I176" i="47"/>
  <c r="E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K239" i="47" s="1"/>
  <c r="B239" i="47"/>
  <c r="P245" i="47"/>
  <c r="F245" i="47"/>
  <c r="D245" i="47"/>
  <c r="O245" i="47" s="1"/>
  <c r="I254" i="47"/>
  <c r="H254" i="47"/>
  <c r="P254" i="47"/>
  <c r="L254" i="47"/>
  <c r="J254" i="47"/>
  <c r="F254" i="47"/>
  <c r="N254" i="47" s="1"/>
  <c r="E254" i="47"/>
  <c r="D254" i="47"/>
  <c r="O254" i="47" s="1"/>
  <c r="D173" i="47"/>
  <c r="Q173" i="47" s="1"/>
  <c r="F177" i="47"/>
  <c r="J177" i="47" s="1"/>
  <c r="G184" i="47"/>
  <c r="J186" i="47"/>
  <c r="K188" i="47"/>
  <c r="D195" i="47"/>
  <c r="O195" i="47" s="1"/>
  <c r="C195" i="47"/>
  <c r="G195" i="47" s="1"/>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H271" i="47"/>
  <c r="G271" i="47"/>
  <c r="F271" i="47"/>
  <c r="N271" i="47" s="1"/>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L286" i="47" s="1"/>
  <c r="G287" i="47"/>
  <c r="G288" i="47"/>
  <c r="G289" i="47"/>
  <c r="H291" i="47"/>
  <c r="H292" i="47"/>
  <c r="H293" i="47"/>
  <c r="G316" i="47"/>
  <c r="E316" i="47"/>
  <c r="P355" i="47"/>
  <c r="D355" i="47"/>
  <c r="O355" i="47" s="1"/>
  <c r="C355" i="47"/>
  <c r="L355" i="47" s="1"/>
  <c r="B355" i="47"/>
  <c r="K189" i="47"/>
  <c r="K193" i="47"/>
  <c r="K197" i="47"/>
  <c r="K201" i="47"/>
  <c r="K205" i="47"/>
  <c r="O208" i="47"/>
  <c r="K209" i="47"/>
  <c r="G210" i="47"/>
  <c r="G214" i="47"/>
  <c r="O216" i="47"/>
  <c r="G218" i="47"/>
  <c r="G222" i="47"/>
  <c r="G226" i="47"/>
  <c r="G230" i="47"/>
  <c r="O232"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Q164" i="47" s="1"/>
  <c r="H166" i="47"/>
  <c r="P168" i="47"/>
  <c r="Q168" i="47" s="1"/>
  <c r="H170" i="47"/>
  <c r="P172" i="47"/>
  <c r="H174" i="47"/>
  <c r="P176" i="47"/>
  <c r="H178" i="47"/>
  <c r="P180" i="47"/>
  <c r="H182" i="47"/>
  <c r="P184" i="47"/>
  <c r="Q184" i="47" s="1"/>
  <c r="H186" i="47"/>
  <c r="P188" i="47"/>
  <c r="Q188" i="47" s="1"/>
  <c r="L189" i="47"/>
  <c r="H190" i="47"/>
  <c r="P192" i="47"/>
  <c r="L193" i="47"/>
  <c r="H194" i="47"/>
  <c r="P196" i="47"/>
  <c r="Q196" i="47" s="1"/>
  <c r="L197" i="47"/>
  <c r="H198" i="47"/>
  <c r="P200" i="47"/>
  <c r="Q200" i="47" s="1"/>
  <c r="L201" i="47"/>
  <c r="H202" i="47"/>
  <c r="P204" i="47"/>
  <c r="L205" i="47"/>
  <c r="H206" i="47"/>
  <c r="P208" i="47"/>
  <c r="Q208" i="47" s="1"/>
  <c r="L209" i="47"/>
  <c r="H210" i="47"/>
  <c r="P212" i="47"/>
  <c r="H214"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K315" i="47" s="1"/>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I363" i="47"/>
  <c r="C259" i="47"/>
  <c r="H262" i="47"/>
  <c r="N288" i="47"/>
  <c r="J300" i="47"/>
  <c r="C302" i="47"/>
  <c r="L302" i="47" s="1"/>
  <c r="C303" i="47"/>
  <c r="K303" i="47" s="1"/>
  <c r="E314" i="47"/>
  <c r="M316" i="47"/>
  <c r="G328" i="47"/>
  <c r="J331" i="47"/>
  <c r="F335" i="47"/>
  <c r="L335" i="47" s="1"/>
  <c r="Q189" i="47"/>
  <c r="Q197" i="47"/>
  <c r="Q205" i="47"/>
  <c r="Q209" i="47"/>
  <c r="Q213"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Q265"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B286" i="47"/>
  <c r="G286" i="47" s="1"/>
  <c r="M286" i="47"/>
  <c r="H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K372" i="47"/>
  <c r="J372" i="47"/>
  <c r="C373" i="47"/>
  <c r="I373" i="47" s="1"/>
  <c r="P380" i="47"/>
  <c r="E393" i="47"/>
  <c r="I397" i="47"/>
  <c r="E408" i="47"/>
  <c r="M408" i="47"/>
  <c r="Q420" i="47"/>
  <c r="F371" i="47"/>
  <c r="B371" i="47"/>
  <c r="P371" i="47"/>
  <c r="D373" i="47"/>
  <c r="O373" i="47" s="1"/>
  <c r="F387" i="47"/>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L269" i="47"/>
  <c r="P272" i="47"/>
  <c r="Q272" i="47" s="1"/>
  <c r="L273" i="47"/>
  <c r="P276" i="47"/>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Q359" i="47" s="1"/>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D421" i="47"/>
  <c r="Q421" i="47" s="1"/>
  <c r="C421" i="47"/>
  <c r="G421" i="47" s="1"/>
  <c r="B421" i="47"/>
  <c r="F358" i="47"/>
  <c r="H358" i="47" s="1"/>
  <c r="B368" i="47"/>
  <c r="B369"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M314" i="47"/>
  <c r="Q317" i="47"/>
  <c r="M318" i="47"/>
  <c r="Q321"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B398" i="47"/>
  <c r="F401" i="47"/>
  <c r="C401" i="47"/>
  <c r="L401" i="47" s="1"/>
  <c r="F375" i="47"/>
  <c r="C375" i="47"/>
  <c r="E375" i="47" s="1"/>
  <c r="B375" i="47"/>
  <c r="P375" i="47"/>
  <c r="C380" i="47"/>
  <c r="E380" i="47" s="1"/>
  <c r="B380" i="47"/>
  <c r="F385" i="47"/>
  <c r="L387" i="47"/>
  <c r="F390" i="47"/>
  <c r="D390" i="47"/>
  <c r="O390" i="47" s="1"/>
  <c r="C390" i="47"/>
  <c r="L390" i="47" s="1"/>
  <c r="B390" i="47"/>
  <c r="F394" i="47"/>
  <c r="D394" i="47"/>
  <c r="O394" i="47" s="1"/>
  <c r="C394" i="47"/>
  <c r="M394" i="47" s="1"/>
  <c r="B394" i="47"/>
  <c r="O314" i="47"/>
  <c r="V326" i="47"/>
  <c r="L332" i="47"/>
  <c r="L334" i="47"/>
  <c r="C337" i="47"/>
  <c r="K340" i="47"/>
  <c r="I341" i="47"/>
  <c r="C343" i="47"/>
  <c r="H347" i="47"/>
  <c r="P350" i="47"/>
  <c r="Q350" i="47" s="1"/>
  <c r="G353" i="47"/>
  <c r="E354" i="47"/>
  <c r="P356" i="47"/>
  <c r="G359" i="47"/>
  <c r="D361" i="47"/>
  <c r="O361" i="47" s="1"/>
  <c r="D363" i="47"/>
  <c r="O363" i="47" s="1"/>
  <c r="J365" i="47"/>
  <c r="G365" i="47"/>
  <c r="F365" i="47"/>
  <c r="H365" i="47" s="1"/>
  <c r="F368" i="47"/>
  <c r="P372" i="47"/>
  <c r="D375" i="47"/>
  <c r="O375" i="47" s="1"/>
  <c r="M377" i="47"/>
  <c r="D380" i="47"/>
  <c r="B385" i="47"/>
  <c r="D401" i="47"/>
  <c r="O401" i="47" s="1"/>
  <c r="E404" i="47"/>
  <c r="P322" i="47"/>
  <c r="M334" i="47"/>
  <c r="V338" i="47"/>
  <c r="M340" i="47"/>
  <c r="J341" i="47"/>
  <c r="D343" i="47"/>
  <c r="L346" i="47"/>
  <c r="I347" i="47"/>
  <c r="F348" i="47"/>
  <c r="I353" i="47"/>
  <c r="F354" i="47"/>
  <c r="H354" i="47" s="1"/>
  <c r="H359" i="47"/>
  <c r="F360" i="47"/>
  <c r="E361" i="47"/>
  <c r="E363" i="47"/>
  <c r="P377" i="47"/>
  <c r="Q377" i="47" s="1"/>
  <c r="P382" i="47"/>
  <c r="C385" i="47"/>
  <c r="J385" i="47" s="1"/>
  <c r="Q306" i="47"/>
  <c r="Q314" i="47"/>
  <c r="N334" i="47"/>
  <c r="M352" i="47"/>
  <c r="L356" i="47"/>
  <c r="O357" i="47"/>
  <c r="F361" i="47"/>
  <c r="H361" i="47" s="1"/>
  <c r="F379" i="47"/>
  <c r="C379" i="47"/>
  <c r="M379" i="47" s="1"/>
  <c r="B379" i="47"/>
  <c r="P379" i="47"/>
  <c r="F380" i="47"/>
  <c r="C384" i="47"/>
  <c r="L384" i="47" s="1"/>
  <c r="B384" i="47"/>
  <c r="K384" i="47"/>
  <c r="J384" i="47"/>
  <c r="D385" i="47"/>
  <c r="Q385" i="47" s="1"/>
  <c r="N389" i="47"/>
  <c r="K389" i="47"/>
  <c r="J389" i="47"/>
  <c r="F389" i="47"/>
  <c r="H389" i="47" s="1"/>
  <c r="O397" i="47"/>
  <c r="N397" i="47"/>
  <c r="M397" i="47"/>
  <c r="G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I361" i="47"/>
  <c r="D365" i="47"/>
  <c r="F374" i="47"/>
  <c r="D374" i="47"/>
  <c r="C374" i="47"/>
  <c r="B374" i="47"/>
  <c r="D379" i="47"/>
  <c r="O379" i="47" s="1"/>
  <c r="D384" i="47"/>
  <c r="O384" i="47" s="1"/>
  <c r="B389" i="47"/>
  <c r="M389" i="47" s="1"/>
  <c r="O393" i="47"/>
  <c r="N393" i="47"/>
  <c r="M393" i="47"/>
  <c r="K393" i="47"/>
  <c r="H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0" i="47" s="1"/>
  <c r="H442" i="47"/>
  <c r="P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I414" i="47"/>
  <c r="F415" i="47"/>
  <c r="L415" i="47" s="1"/>
  <c r="D416" i="47"/>
  <c r="O416" i="47" s="1"/>
  <c r="K419" i="47"/>
  <c r="H420" i="47"/>
  <c r="B422" i="47"/>
  <c r="K422" i="47" s="1"/>
  <c r="M427" i="47"/>
  <c r="J430" i="47"/>
  <c r="C438" i="47"/>
  <c r="M438" i="47" s="1"/>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Q418" i="47" s="1"/>
  <c r="M419" i="47"/>
  <c r="J420" i="47"/>
  <c r="D422" i="47"/>
  <c r="B423" i="47"/>
  <c r="M430" i="47"/>
  <c r="V435" i="47"/>
  <c r="P437" i="47"/>
  <c r="C437" i="47"/>
  <c r="E437" i="47" s="1"/>
  <c r="J444" i="47"/>
  <c r="I444" i="47"/>
  <c r="H448" i="47"/>
  <c r="N451" i="47"/>
  <c r="M451" i="47"/>
  <c r="I451" i="47"/>
  <c r="G451" i="47"/>
  <c r="F451" i="47"/>
  <c r="L451" i="47" s="1"/>
  <c r="E451" i="47"/>
  <c r="B459" i="47"/>
  <c r="O392" i="47"/>
  <c r="O396" i="47"/>
  <c r="O400" i="47"/>
  <c r="C407" i="47"/>
  <c r="E411" i="47"/>
  <c r="M414" i="47"/>
  <c r="C417" i="47"/>
  <c r="G417" i="47" s="1"/>
  <c r="N419" i="47"/>
  <c r="E422" i="47"/>
  <c r="C423" i="47"/>
  <c r="G423" i="47" s="1"/>
  <c r="P425" i="47"/>
  <c r="Q425" i="47" s="1"/>
  <c r="D425" i="47"/>
  <c r="O425" i="47" s="1"/>
  <c r="Q447" i="47"/>
  <c r="C459" i="47"/>
  <c r="F468" i="47"/>
  <c r="D468" i="47"/>
  <c r="O468" i="47" s="1"/>
  <c r="P468" i="47"/>
  <c r="I468" i="47"/>
  <c r="P478" i="47"/>
  <c r="F478" i="47"/>
  <c r="D478" i="47"/>
  <c r="O478" i="47" s="1"/>
  <c r="C478" i="47"/>
  <c r="J478" i="47" s="1"/>
  <c r="D459" i="47"/>
  <c r="O459" i="47" s="1"/>
  <c r="B468" i="47"/>
  <c r="B478" i="47"/>
  <c r="B489" i="47"/>
  <c r="P489" i="47"/>
  <c r="F489" i="47"/>
  <c r="C489" i="47"/>
  <c r="M489" i="47" s="1"/>
  <c r="Q392" i="47"/>
  <c r="Q396" i="47"/>
  <c r="Q400" i="47"/>
  <c r="Q404" i="47"/>
  <c r="H411" i="47"/>
  <c r="O413" i="47"/>
  <c r="B418" i="47"/>
  <c r="G422" i="47"/>
  <c r="F423" i="47"/>
  <c r="E424" i="47"/>
  <c r="D443" i="47"/>
  <c r="C443" i="47"/>
  <c r="B443" i="47"/>
  <c r="P452"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H476" i="47"/>
  <c r="J411" i="47"/>
  <c r="C413" i="47"/>
  <c r="N413" i="47" s="1"/>
  <c r="N415" i="47"/>
  <c r="D418" i="47"/>
  <c r="O418" i="47" s="1"/>
  <c r="G419" i="47"/>
  <c r="I422"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V468" i="47"/>
  <c r="E476" i="47"/>
  <c r="K414" i="47"/>
  <c r="I424" i="47"/>
  <c r="P433" i="47"/>
  <c r="F446" i="47"/>
  <c r="D446" i="47"/>
  <c r="O446" i="47" s="1"/>
  <c r="C446" i="47"/>
  <c r="O409" i="47"/>
  <c r="B414" i="47"/>
  <c r="G414" i="47" s="1"/>
  <c r="F418" i="47"/>
  <c r="J424" i="47"/>
  <c r="D432" i="47"/>
  <c r="O432" i="47" s="1"/>
  <c r="B433" i="47"/>
  <c r="B446" i="47"/>
  <c r="E450" i="47"/>
  <c r="P451" i="47"/>
  <c r="Q451" i="47" s="1"/>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M484" i="47"/>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L487" i="47"/>
  <c r="F493" i="47"/>
  <c r="F495" i="47"/>
  <c r="J499" i="47"/>
  <c r="H503" i="47"/>
  <c r="J505" i="47"/>
  <c r="P508" i="47"/>
  <c r="G508" i="47"/>
  <c r="D508" i="47"/>
  <c r="O508" i="47" s="1"/>
  <c r="C508" i="47"/>
  <c r="N508" i="47" s="1"/>
  <c r="V545" i="47"/>
  <c r="B473" i="47"/>
  <c r="M473" i="47" s="1"/>
  <c r="P473" i="47"/>
  <c r="F479" i="47"/>
  <c r="M486" i="47"/>
  <c r="M487" i="47"/>
  <c r="F494" i="47"/>
  <c r="K499" i="47"/>
  <c r="E502"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O458" i="47"/>
  <c r="F462" i="47"/>
  <c r="B464" i="47"/>
  <c r="B465" i="47"/>
  <c r="P465" i="47"/>
  <c r="Q465" i="47" s="1"/>
  <c r="O467" i="47"/>
  <c r="F471" i="47"/>
  <c r="E472" i="47"/>
  <c r="D473" i="47"/>
  <c r="O473" i="47" s="1"/>
  <c r="N474" i="47"/>
  <c r="L474" i="47"/>
  <c r="F481" i="47"/>
  <c r="C482" i="47"/>
  <c r="N482" i="47" s="1"/>
  <c r="J483" i="47"/>
  <c r="H483" i="47"/>
  <c r="P486" i="47"/>
  <c r="Q486" i="47" s="1"/>
  <c r="F502" i="47"/>
  <c r="L503" i="47"/>
  <c r="L513" i="47"/>
  <c r="M513" i="47"/>
  <c r="K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G472" i="47"/>
  <c r="E473" i="47"/>
  <c r="B474" i="47"/>
  <c r="P476" i="47"/>
  <c r="N477" i="47"/>
  <c r="D482" i="47"/>
  <c r="O482" i="47" s="1"/>
  <c r="B483" i="47"/>
  <c r="K483" i="47" s="1"/>
  <c r="V484" i="47"/>
  <c r="P501" i="47"/>
  <c r="Q501" i="47" s="1"/>
  <c r="F501" i="47"/>
  <c r="M503" i="47"/>
  <c r="D507" i="47"/>
  <c r="L507" i="47"/>
  <c r="H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G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N502"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K554" i="47" s="1"/>
  <c r="B554"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H530" i="47"/>
  <c r="F530" i="47"/>
  <c r="J530" i="47" s="1"/>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L550"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M547" i="47"/>
  <c r="N551" i="47"/>
  <c r="L552" i="47"/>
  <c r="M556" i="47"/>
  <c r="P558" i="47"/>
  <c r="C562" i="47"/>
  <c r="I562" i="47" s="1"/>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O571" i="47"/>
  <c r="N577" i="47"/>
  <c r="E580" i="47"/>
  <c r="N584" i="47"/>
  <c r="F584" i="47"/>
  <c r="H584" i="47" s="1"/>
  <c r="B584" i="47"/>
  <c r="M584" i="47" s="1"/>
  <c r="P590" i="47"/>
  <c r="F590" i="47"/>
  <c r="D590" i="47"/>
  <c r="O590" i="47" s="1"/>
  <c r="C590" i="47"/>
  <c r="B590" i="47"/>
  <c r="N602" i="47"/>
  <c r="M602" i="47"/>
  <c r="K602" i="47"/>
  <c r="J602" i="47"/>
  <c r="I602" i="47"/>
  <c r="H602" i="47"/>
  <c r="G602" i="47"/>
  <c r="E602"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I621" i="47" s="1"/>
  <c r="B621" i="47"/>
  <c r="F649" i="47"/>
  <c r="D649" i="47"/>
  <c r="O649" i="47" s="1"/>
  <c r="C649" i="47"/>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G589" i="47"/>
  <c r="L591" i="47"/>
  <c r="I606" i="47"/>
  <c r="B607" i="47"/>
  <c r="I608" i="47"/>
  <c r="B619" i="47"/>
  <c r="J622" i="47"/>
  <c r="V625" i="47"/>
  <c r="C629" i="47"/>
  <c r="K629" i="47" s="1"/>
  <c r="V633" i="47"/>
  <c r="N635" i="47"/>
  <c r="M635" i="47"/>
  <c r="L635" i="47"/>
  <c r="G635" i="47"/>
  <c r="E635" i="47"/>
  <c r="D635" i="47"/>
  <c r="O635" i="47" s="1"/>
  <c r="J642" i="47"/>
  <c r="H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J617" i="47" s="1"/>
  <c r="E618" i="47"/>
  <c r="K626" i="47"/>
  <c r="I626" i="47"/>
  <c r="H626" i="47"/>
  <c r="F627" i="47"/>
  <c r="B641" i="47"/>
  <c r="K642" i="47"/>
  <c r="C646" i="47"/>
  <c r="H648" i="47"/>
  <c r="B687" i="47"/>
  <c r="D687" i="47"/>
  <c r="O687" i="47" s="1"/>
  <c r="P687" i="47"/>
  <c r="F687" i="47"/>
  <c r="C687"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J651"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P548" i="47"/>
  <c r="Q548" i="47" s="1"/>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4" i="47"/>
  <c r="Q608" i="47"/>
  <c r="Q612" i="47"/>
  <c r="Q628"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H698" i="47"/>
  <c r="D703" i="47"/>
  <c r="O703" i="47" s="1"/>
  <c r="C705" i="47"/>
  <c r="J705" i="47" s="1"/>
  <c r="K707" i="47"/>
  <c r="I624" i="47"/>
  <c r="I628" i="47"/>
  <c r="K644" i="47"/>
  <c r="G651" i="47"/>
  <c r="K655" i="47"/>
  <c r="D657" i="47"/>
  <c r="O657" i="47" s="1"/>
  <c r="F662" i="47"/>
  <c r="L662" i="47" s="1"/>
  <c r="D663" i="47"/>
  <c r="O663" i="47" s="1"/>
  <c r="D670" i="47"/>
  <c r="O670" i="47" s="1"/>
  <c r="C671" i="47"/>
  <c r="Q674" i="47"/>
  <c r="O674"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F705" i="47"/>
  <c r="F657" i="47"/>
  <c r="M665" i="47"/>
  <c r="F670" i="47"/>
  <c r="C674" i="47"/>
  <c r="L674" i="47" s="1"/>
  <c r="D675" i="47"/>
  <c r="O675" i="47" s="1"/>
  <c r="O678" i="47"/>
  <c r="Q679" i="47"/>
  <c r="P683" i="47"/>
  <c r="Q683" i="47" s="1"/>
  <c r="F683" i="47"/>
  <c r="H683" i="47" s="1"/>
  <c r="N685" i="47"/>
  <c r="V686" i="47"/>
  <c r="I692" i="47"/>
  <c r="C700" i="47"/>
  <c r="K700" i="47" s="1"/>
  <c r="N703" i="47"/>
  <c r="Q712" i="47"/>
  <c r="E659" i="47"/>
  <c r="P667" i="47"/>
  <c r="B677" i="47"/>
  <c r="G677" i="47" s="1"/>
  <c r="P677" i="47"/>
  <c r="Q677" i="47" s="1"/>
  <c r="H682" i="47"/>
  <c r="F686" i="47"/>
  <c r="H686" i="47" s="1"/>
  <c r="V688" i="47"/>
  <c r="E702" i="47"/>
  <c r="G710"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J686" i="47"/>
  <c r="F691" i="47"/>
  <c r="L691" i="47" s="1"/>
  <c r="F696" i="47"/>
  <c r="L696" i="47" s="1"/>
  <c r="D696" i="47"/>
  <c r="N696" i="47"/>
  <c r="B697" i="47"/>
  <c r="P697" i="47"/>
  <c r="Q697" i="47" s="1"/>
  <c r="P702" i="47"/>
  <c r="B728" i="47"/>
  <c r="G729" i="47"/>
  <c r="F732" i="47"/>
  <c r="D732" i="47"/>
  <c r="O732" i="47" s="1"/>
  <c r="P732" i="47"/>
  <c r="P737" i="47"/>
  <c r="N682" i="47"/>
  <c r="L682" i="47"/>
  <c r="B696" i="47"/>
  <c r="K696" i="47" s="1"/>
  <c r="C697" i="47"/>
  <c r="J697" i="47" s="1"/>
  <c r="F698" i="47"/>
  <c r="L698" i="47" s="1"/>
  <c r="V700" i="47"/>
  <c r="V712"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H736" i="47"/>
  <c r="N702" i="47"/>
  <c r="L702" i="47"/>
  <c r="F702" i="47"/>
  <c r="H702" i="47" s="1"/>
  <c r="V704" i="47"/>
  <c r="P710" i="47"/>
  <c r="D710" i="47"/>
  <c r="O710" i="47" s="1"/>
  <c r="B710" i="47"/>
  <c r="K710" i="47" s="1"/>
  <c r="L710" i="47"/>
  <c r="B713" i="47"/>
  <c r="E715" i="47"/>
  <c r="D723" i="47"/>
  <c r="Q723" i="47" s="1"/>
  <c r="F728" i="47"/>
  <c r="V733" i="47"/>
  <c r="E736" i="47"/>
  <c r="I741" i="47"/>
  <c r="E741" i="47"/>
  <c r="O712" i="47"/>
  <c r="F712" i="47"/>
  <c r="C712" i="47"/>
  <c r="E714" i="47"/>
  <c r="G715" i="47"/>
  <c r="G723"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H750" i="47"/>
  <c r="D750" i="47"/>
  <c r="Q750" i="47" s="1"/>
  <c r="N750" i="47"/>
  <c r="M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K768" i="47" s="1"/>
  <c r="B768" i="47"/>
  <c r="J772" i="47"/>
  <c r="D707" i="47"/>
  <c r="H708" i="47"/>
  <c r="C719" i="47"/>
  <c r="N741" i="47"/>
  <c r="M741" i="47"/>
  <c r="L741" i="47"/>
  <c r="H741" i="47"/>
  <c r="B741" i="47"/>
  <c r="G741" i="47" s="1"/>
  <c r="F746" i="47"/>
  <c r="G750" i="47"/>
  <c r="F753" i="47"/>
  <c r="F760" i="47"/>
  <c r="F768" i="47"/>
  <c r="M771" i="47"/>
  <c r="N771" i="47"/>
  <c r="E771" i="47"/>
  <c r="D776" i="47"/>
  <c r="O776" i="47" s="1"/>
  <c r="B776" i="47"/>
  <c r="F778" i="47"/>
  <c r="C778" i="47"/>
  <c r="D778" i="47"/>
  <c r="O778" i="47" s="1"/>
  <c r="C792" i="47"/>
  <c r="B792" i="47"/>
  <c r="F792" i="47"/>
  <c r="D792" i="47"/>
  <c r="O792" i="47" s="1"/>
  <c r="P792" i="47"/>
  <c r="F739" i="47"/>
  <c r="H739" i="47" s="1"/>
  <c r="E739" i="47"/>
  <c r="D739" i="47"/>
  <c r="O739" i="47" s="1"/>
  <c r="L739" i="47"/>
  <c r="K739" i="47"/>
  <c r="K759" i="47"/>
  <c r="P760" i="47"/>
  <c r="P768" i="47"/>
  <c r="C776" i="47"/>
  <c r="G776" i="47" s="1"/>
  <c r="B778" i="47"/>
  <c r="B780" i="47"/>
  <c r="F780" i="47"/>
  <c r="D780" i="47"/>
  <c r="O780" i="47" s="1"/>
  <c r="C780" i="47"/>
  <c r="P780" i="47"/>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M736" i="47"/>
  <c r="L736" i="47"/>
  <c r="C738" i="47"/>
  <c r="J741" i="47"/>
  <c r="V746" i="47"/>
  <c r="E759" i="47"/>
  <c r="B764" i="47"/>
  <c r="C764" i="47"/>
  <c r="M764" i="47" s="1"/>
  <c r="Q764" i="47"/>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B807" i="47"/>
  <c r="P807" i="47"/>
  <c r="F807" i="47"/>
  <c r="D807" i="47"/>
  <c r="O807" i="47" s="1"/>
  <c r="C807" i="47"/>
  <c r="I807" i="47" s="1"/>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G759" i="47" s="1"/>
  <c r="I759" i="47"/>
  <c r="P759" i="47"/>
  <c r="N759" i="47"/>
  <c r="M759" i="47"/>
  <c r="H759" i="47"/>
  <c r="H765" i="47"/>
  <c r="E765" i="47"/>
  <c r="J773" i="47"/>
  <c r="F775" i="47"/>
  <c r="N775" i="47" s="1"/>
  <c r="B779" i="47"/>
  <c r="K779" i="47" s="1"/>
  <c r="I779" i="47"/>
  <c r="J779" i="47"/>
  <c r="H779" i="47"/>
  <c r="D779" i="47"/>
  <c r="Q779" i="47" s="1"/>
  <c r="K781" i="47"/>
  <c r="F786" i="47"/>
  <c r="C786" i="47"/>
  <c r="M786" i="47" s="1"/>
  <c r="D786" i="47"/>
  <c r="O786" i="47" s="1"/>
  <c r="B786" i="47"/>
  <c r="E799" i="47"/>
  <c r="H811" i="47"/>
  <c r="J825" i="47"/>
  <c r="V769" i="47"/>
  <c r="J775" i="47"/>
  <c r="M781"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B810" i="47"/>
  <c r="K810" i="47" s="1"/>
  <c r="L811" i="47"/>
  <c r="K814" i="47"/>
  <c r="L799" i="47"/>
  <c r="F802" i="47"/>
  <c r="C802" i="47"/>
  <c r="E802" i="47" s="1"/>
  <c r="D802" i="47"/>
  <c r="O802" i="47" s="1"/>
  <c r="B802" i="47"/>
  <c r="F832" i="47"/>
  <c r="C832" i="47"/>
  <c r="B832" i="47"/>
  <c r="B795" i="47"/>
  <c r="G795" i="47" s="1"/>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Q740" i="47" s="1"/>
  <c r="P744" i="47"/>
  <c r="P748" i="47"/>
  <c r="Q748" i="47" s="1"/>
  <c r="P752" i="47"/>
  <c r="P795" i="47"/>
  <c r="F812" i="47"/>
  <c r="B812" i="47"/>
  <c r="F830" i="47"/>
  <c r="K840" i="47"/>
  <c r="B843" i="47"/>
  <c r="F770" i="47"/>
  <c r="C770" i="47"/>
  <c r="M770" i="47" s="1"/>
  <c r="C800" i="47"/>
  <c r="B800" i="47"/>
  <c r="C812" i="47"/>
  <c r="G812" i="47" s="1"/>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1" i="47"/>
  <c r="Q765" i="47"/>
  <c r="Q773"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G844" i="47"/>
  <c r="F844" i="47"/>
  <c r="H844" i="47" s="1"/>
  <c r="E844" i="47"/>
  <c r="B844" i="47"/>
  <c r="K844" i="47" s="1"/>
  <c r="E854" i="47"/>
  <c r="L848" i="47"/>
  <c r="G850" i="47"/>
  <c r="E853" i="47"/>
  <c r="N853" i="47"/>
  <c r="L853" i="47"/>
  <c r="H850" i="47"/>
  <c r="G854" i="47"/>
  <c r="F860" i="47"/>
  <c r="D860" i="47"/>
  <c r="O860" i="47" s="1"/>
  <c r="C860" i="47"/>
  <c r="I860" i="47" s="1"/>
  <c r="D820" i="47"/>
  <c r="O820" i="47" s="1"/>
  <c r="H826" i="47"/>
  <c r="D828" i="47"/>
  <c r="O828" i="47" s="1"/>
  <c r="D840" i="47"/>
  <c r="O840" i="47" s="1"/>
  <c r="L850" i="47"/>
  <c r="L854" i="47"/>
  <c r="B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G856" i="47" s="1"/>
  <c r="P862" i="47"/>
  <c r="Q862" i="47" s="1"/>
  <c r="C866" i="47"/>
  <c r="D871" i="47"/>
  <c r="I876" i="47"/>
  <c r="B878" i="47"/>
  <c r="H883" i="47"/>
  <c r="G884" i="47"/>
  <c r="M886" i="47"/>
  <c r="L886" i="47"/>
  <c r="J886" i="47"/>
  <c r="M892" i="47"/>
  <c r="J895" i="47"/>
  <c r="I896" i="47"/>
  <c r="D898" i="47"/>
  <c r="K899" i="47"/>
  <c r="G904" i="47"/>
  <c r="E916" i="47"/>
  <c r="O923" i="47"/>
  <c r="E930" i="47"/>
  <c r="D866" i="47"/>
  <c r="O866" i="47" s="1"/>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37" i="47"/>
  <c r="Q841" i="47"/>
  <c r="M842" i="47"/>
  <c r="Q845" i="47"/>
  <c r="M846" i="47"/>
  <c r="E848" i="47"/>
  <c r="Q849" i="47"/>
  <c r="M850" i="47"/>
  <c r="E852" i="47"/>
  <c r="Q853" i="47"/>
  <c r="M854" i="47"/>
  <c r="E856" i="47"/>
  <c r="Q857"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Q863" i="47"/>
  <c r="N864"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C857" i="47"/>
  <c r="D862" i="47"/>
  <c r="O862" i="47" s="1"/>
  <c r="O864"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P864" i="47"/>
  <c r="Q864" i="47" s="1"/>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G790" i="47" l="1"/>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<sst xmlns="http://schemas.openxmlformats.org/spreadsheetml/2006/main" count="21984" uniqueCount="7925">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</sst>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96</c:v>
                </c:pt>
                <c:pt idx="46">
                  <c:v>96</c:v>
                </c:pt>
                <c:pt idx="47">
                  <c:v>152</c:v>
                </c:pt>
                <c:pt idx="48">
                  <c:v>90</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26</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41</c:v>
                </c:pt>
                <c:pt idx="35">
                  <c:v>30</c:v>
                </c:pt>
                <c:pt idx="36">
                  <c:v>16</c:v>
                </c:pt>
                <c:pt idx="37">
                  <c:v>70</c:v>
                </c:pt>
                <c:pt idx="38">
                  <c:v>31</c:v>
                </c:pt>
                <c:pt idx="39">
                  <c:v>157</c:v>
                </c:pt>
                <c:pt idx="40">
                  <c:v>67</c:v>
                </c:pt>
                <c:pt idx="41">
                  <c:v>84</c:v>
                </c:pt>
                <c:pt idx="42">
                  <c:v>51</c:v>
                </c:pt>
                <c:pt idx="43">
                  <c:v>162</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82</c:v>
                </c:pt>
                <c:pt idx="1">
                  <c:v>337</c:v>
                </c:pt>
                <c:pt idx="2">
                  <c:v>206</c:v>
                </c:pt>
                <c:pt idx="3">
                  <c:v>107</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118</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371</c:v>
                </c:pt>
                <c:pt idx="1">
                  <c:v>150</c:v>
                </c:pt>
                <c:pt idx="2">
                  <c:v>179</c:v>
                </c:pt>
                <c:pt idx="3">
                  <c:v>165</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89</c:v>
                </c:pt>
                <c:pt idx="2">
                  <c:v>71</c:v>
                </c:pt>
                <c:pt idx="3">
                  <c:v>52</c:v>
                </c:pt>
                <c:pt idx="4">
                  <c:v>48</c:v>
                </c:pt>
                <c:pt idx="5">
                  <c:v>38</c:v>
                </c:pt>
                <c:pt idx="6">
                  <c:v>37</c:v>
                </c:pt>
                <c:pt idx="7">
                  <c:v>30</c:v>
                </c:pt>
                <c:pt idx="8">
                  <c:v>28</c:v>
                </c:pt>
                <c:pt idx="9">
                  <c:v>27</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89</c:v>
                </c:pt>
                <c:pt idx="2">
                  <c:v>71</c:v>
                </c:pt>
                <c:pt idx="3">
                  <c:v>52</c:v>
                </c:pt>
                <c:pt idx="4">
                  <c:v>48</c:v>
                </c:pt>
                <c:pt idx="5">
                  <c:v>38</c:v>
                </c:pt>
                <c:pt idx="6">
                  <c:v>37</c:v>
                </c:pt>
                <c:pt idx="7">
                  <c:v>30</c:v>
                </c:pt>
                <c:pt idx="8">
                  <c:v>28</c:v>
                </c:pt>
                <c:pt idx="9">
                  <c:v>27</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140</c:v>
                </c:pt>
                <c:pt idx="5">
                  <c:v>122</c:v>
                </c:pt>
                <c:pt idx="6">
                  <c:v>97</c:v>
                </c:pt>
                <c:pt idx="7">
                  <c:v>88</c:v>
                </c:pt>
                <c:pt idx="8">
                  <c:v>73</c:v>
                </c:pt>
                <c:pt idx="9">
                  <c:v>63</c:v>
                </c:pt>
                <c:pt idx="10">
                  <c:v>31</c:v>
                </c:pt>
                <c:pt idx="11">
                  <c:v>146</c:v>
                </c:pt>
                <c:pt idx="12">
                  <c:v>85</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#N/A</c:v>
                </c:pt>
                <c:pt idx="97">
                  <c:v>2018</c:v>
                </c:pt>
                <c:pt idx="98">
                  <c:v>2016</c:v>
                </c:pt>
                <c:pt idx="99">
                  <c:v>#N/A</c:v>
                </c:pt>
                <c:pt idx="100">
                  <c:v>#N/A</c:v>
                </c:pt>
                <c:pt idx="101">
                  <c:v>#N/A</c:v>
                </c:pt>
                <c:pt idx="102">
                  <c:v>#N/A</c:v>
                </c:pt>
                <c:pt idx="103">
                  <c:v>#N/A</c:v>
                </c:pt>
                <c:pt idx="104">
                  <c:v>#N/A</c:v>
                </c:pt>
                <c:pt idx="105">
                  <c:v>#N/A</c:v>
                </c:pt>
                <c:pt idx="106">
                  <c:v>#N/A</c:v>
                </c:pt>
                <c:pt idx="107">
                  <c:v>#N/A</c:v>
                </c:pt>
                <c:pt idx="108">
                  <c:v>2015</c:v>
                </c:pt>
                <c:pt idx="109">
                  <c:v>#N/A</c:v>
                </c:pt>
                <c:pt idx="110">
                  <c:v>#N/A</c:v>
                </c:pt>
                <c:pt idx="111">
                  <c:v>2017</c:v>
                </c:pt>
                <c:pt idx="112">
                  <c:v>#N/A</c:v>
                </c:pt>
                <c:pt idx="113">
                  <c:v>2020</c:v>
                </c:pt>
                <c:pt idx="114">
                  <c:v>#N/A</c:v>
                </c:pt>
                <c:pt idx="115">
                  <c:v>2023</c:v>
                </c:pt>
                <c:pt idx="116">
                  <c:v>#N/A</c:v>
                </c:pt>
                <c:pt idx="117">
                  <c:v>2022</c:v>
                </c:pt>
                <c:pt idx="118">
                  <c:v>2019</c:v>
                </c:pt>
                <c:pt idx="119">
                  <c:v>#N/A</c:v>
                </c:pt>
                <c:pt idx="120">
                  <c:v>#N/A</c:v>
                </c:pt>
                <c:pt idx="121">
                  <c:v>#N/A</c:v>
                </c:pt>
                <c:pt idx="122">
                  <c:v>2023</c:v>
                </c:pt>
                <c:pt idx="123">
                  <c:v>2025</c:v>
                </c:pt>
                <c:pt idx="124">
                  <c:v>#N/A</c:v>
                </c:pt>
                <c:pt idx="125">
                  <c:v>#N/A</c:v>
                </c:pt>
                <c:pt idx="126">
                  <c:v>2026</c:v>
                </c:pt>
                <c:pt idx="127">
                  <c:v>2025</c:v>
                </c:pt>
                <c:pt idx="128">
                  <c:v>#N/A</c:v>
                </c:pt>
                <c:pt idx="129">
                  <c:v>#N/A</c:v>
                </c:pt>
                <c:pt idx="130">
                  <c:v>#N/A</c:v>
                </c:pt>
                <c:pt idx="131">
                  <c:v>#N/A</c:v>
                </c:pt>
                <c:pt idx="132">
                  <c:v>#N/A</c:v>
                </c:pt>
                <c:pt idx="133">
                  <c:v>#N/A</c:v>
                </c:pt>
                <c:pt idx="134">
                  <c:v>#N/A</c:v>
                </c:pt>
                <c:pt idx="135">
                  <c:v>2020</c:v>
                </c:pt>
                <c:pt idx="136">
                  <c:v>#N/A</c:v>
                </c:pt>
                <c:pt idx="137">
                  <c:v>#N/A</c:v>
                </c:pt>
                <c:pt idx="138">
                  <c:v>2022</c:v>
                </c:pt>
                <c:pt idx="139">
                  <c:v>#N/A</c:v>
                </c:pt>
                <c:pt idx="140">
                  <c:v>#N/A</c:v>
                </c:pt>
                <c:pt idx="141">
                  <c:v>2023</c:v>
                </c:pt>
                <c:pt idx="142">
                  <c:v>2023</c:v>
                </c:pt>
                <c:pt idx="143">
                  <c:v>#N/A</c:v>
                </c:pt>
                <c:pt idx="144">
                  <c:v>2023</c:v>
                </c:pt>
                <c:pt idx="145">
                  <c:v>2017</c:v>
                </c:pt>
                <c:pt idx="146">
                  <c:v>#N/A</c:v>
                </c:pt>
                <c:pt idx="147">
                  <c:v>#N/A</c:v>
                </c:pt>
                <c:pt idx="148">
                  <c:v>#N/A</c:v>
                </c:pt>
                <c:pt idx="149">
                  <c:v>#N/A</c:v>
                </c:pt>
                <c:pt idx="150">
                  <c:v>#N/A</c:v>
                </c:pt>
                <c:pt idx="151">
                  <c:v>#N/A</c:v>
                </c:pt>
                <c:pt idx="152">
                  <c:v>#N/A</c:v>
                </c:pt>
                <c:pt idx="153">
                  <c:v>2017</c:v>
                </c:pt>
                <c:pt idx="154">
                  <c:v>#N/A</c:v>
                </c:pt>
                <c:pt idx="155">
                  <c:v>#N/A</c:v>
                </c:pt>
                <c:pt idx="156">
                  <c:v>#N/A</c:v>
                </c:pt>
                <c:pt idx="157">
                  <c:v>#N/A</c:v>
                </c:pt>
                <c:pt idx="158">
                  <c:v>2022</c:v>
                </c:pt>
                <c:pt idx="159">
                  <c:v>#N/A</c:v>
                </c:pt>
                <c:pt idx="160">
                  <c:v>#N/A</c:v>
                </c:pt>
                <c:pt idx="161">
                  <c:v>#N/A</c:v>
                </c:pt>
                <c:pt idx="162">
                  <c:v>#N/A</c:v>
                </c:pt>
                <c:pt idx="163">
                  <c:v>2026</c:v>
                </c:pt>
                <c:pt idx="164">
                  <c:v>2020</c:v>
                </c:pt>
                <c:pt idx="165">
                  <c:v>#N/A</c:v>
                </c:pt>
                <c:pt idx="166">
                  <c:v>2023</c:v>
                </c:pt>
                <c:pt idx="167">
                  <c:v>2019</c:v>
                </c:pt>
                <c:pt idx="168">
                  <c:v>2026</c:v>
                </c:pt>
                <c:pt idx="169">
                  <c:v>2025</c:v>
                </c:pt>
                <c:pt idx="170">
                  <c:v>#N/A</c:v>
                </c:pt>
                <c:pt idx="171">
                  <c:v>#N/A</c:v>
                </c:pt>
                <c:pt idx="172">
                  <c:v>2022</c:v>
                </c:pt>
                <c:pt idx="173">
                  <c:v>2018</c:v>
                </c:pt>
                <c:pt idx="174">
                  <c:v>2020</c:v>
                </c:pt>
                <c:pt idx="175">
                  <c:v>#N/A</c:v>
                </c:pt>
                <c:pt idx="176">
                  <c:v>#N/A</c:v>
                </c:pt>
                <c:pt idx="177">
                  <c:v>2025</c:v>
                </c:pt>
                <c:pt idx="178">
                  <c:v>2025</c:v>
                </c:pt>
                <c:pt idx="179">
                  <c:v>2023</c:v>
                </c:pt>
                <c:pt idx="180">
                  <c:v>2016</c:v>
                </c:pt>
                <c:pt idx="181">
                  <c:v>#N/A</c:v>
                </c:pt>
                <c:pt idx="182">
                  <c:v>2014</c:v>
                </c:pt>
                <c:pt idx="183">
                  <c:v>#N/A</c:v>
                </c:pt>
                <c:pt idx="184">
                  <c:v>#N/A</c:v>
                </c:pt>
                <c:pt idx="185">
                  <c:v>#N/A</c:v>
                </c:pt>
                <c:pt idx="186">
                  <c:v>2014</c:v>
                </c:pt>
                <c:pt idx="187">
                  <c:v>2024</c:v>
                </c:pt>
                <c:pt idx="188">
                  <c:v>#N/A</c:v>
                </c:pt>
                <c:pt idx="189">
                  <c:v>#N/A</c:v>
                </c:pt>
                <c:pt idx="190">
                  <c:v>2012</c:v>
                </c:pt>
                <c:pt idx="191">
                  <c:v>#N/A</c:v>
                </c:pt>
                <c:pt idx="192">
                  <c:v>#N/A</c:v>
                </c:pt>
                <c:pt idx="193">
                  <c:v>#N/A</c:v>
                </c:pt>
                <c:pt idx="194">
                  <c:v>#N/A</c:v>
                </c:pt>
                <c:pt idx="195">
                  <c:v>#N/A</c:v>
                </c:pt>
                <c:pt idx="196">
                  <c:v>2025</c:v>
                </c:pt>
                <c:pt idx="197">
                  <c:v>2021</c:v>
                </c:pt>
                <c:pt idx="198">
                  <c:v>2019</c:v>
                </c:pt>
                <c:pt idx="199">
                  <c:v>1996</c:v>
                </c:pt>
                <c:pt idx="200">
                  <c:v>#N/A</c:v>
                </c:pt>
                <c:pt idx="201">
                  <c:v>#N/A</c:v>
                </c:pt>
                <c:pt idx="202">
                  <c:v>#N/A</c:v>
                </c:pt>
                <c:pt idx="203">
                  <c:v>#N/A</c:v>
                </c:pt>
                <c:pt idx="204">
                  <c:v>#N/A</c:v>
                </c:pt>
                <c:pt idx="205">
                  <c:v>#N/A</c:v>
                </c:pt>
                <c:pt idx="206">
                  <c:v>#N/A</c:v>
                </c:pt>
                <c:pt idx="207">
                  <c:v>#N/A</c:v>
                </c:pt>
                <c:pt idx="208">
                  <c:v>#N/A</c:v>
                </c:pt>
                <c:pt idx="209">
                  <c:v>#N/A</c:v>
                </c:pt>
                <c:pt idx="210">
                  <c:v>2021</c:v>
                </c:pt>
                <c:pt idx="211">
                  <c:v>#N/A</c:v>
                </c:pt>
                <c:pt idx="212">
                  <c:v>2023</c:v>
                </c:pt>
                <c:pt idx="213">
                  <c:v>2026</c:v>
                </c:pt>
                <c:pt idx="214">
                  <c:v>#N/A</c:v>
                </c:pt>
                <c:pt idx="215">
                  <c:v>#N/A</c:v>
                </c:pt>
                <c:pt idx="216">
                  <c:v>#N/A</c:v>
                </c:pt>
                <c:pt idx="217">
                  <c:v>#N/A</c:v>
                </c:pt>
                <c:pt idx="218">
                  <c:v>#N/A</c:v>
                </c:pt>
                <c:pt idx="219">
                  <c:v>2026</c:v>
                </c:pt>
                <c:pt idx="220">
                  <c:v>2013</c:v>
                </c:pt>
                <c:pt idx="221">
                  <c:v>2014</c:v>
                </c:pt>
                <c:pt idx="222">
                  <c:v>#N/A</c:v>
                </c:pt>
                <c:pt idx="223">
                  <c:v>#N/A</c:v>
                </c:pt>
                <c:pt idx="224">
                  <c:v>2023</c:v>
                </c:pt>
                <c:pt idx="225">
                  <c:v>2015</c:v>
                </c:pt>
                <c:pt idx="226">
                  <c:v>#N/A</c:v>
                </c:pt>
                <c:pt idx="227">
                  <c:v>#N/A</c:v>
                </c:pt>
                <c:pt idx="228">
                  <c:v>#N/A</c:v>
                </c:pt>
                <c:pt idx="229">
                  <c:v>#N/A</c:v>
                </c:pt>
                <c:pt idx="230">
                  <c:v>#N/A</c:v>
                </c:pt>
                <c:pt idx="231">
                  <c:v>#N/A</c:v>
                </c:pt>
                <c:pt idx="232">
                  <c:v>2020</c:v>
                </c:pt>
                <c:pt idx="233">
                  <c:v>#N/A</c:v>
                </c:pt>
                <c:pt idx="234">
                  <c:v>#N/A</c:v>
                </c:pt>
                <c:pt idx="235">
                  <c:v>#N/A</c:v>
                </c:pt>
                <c:pt idx="236">
                  <c:v>#N/A</c:v>
                </c:pt>
                <c:pt idx="237">
                  <c:v>#N/A</c:v>
                </c:pt>
                <c:pt idx="238">
                  <c:v>#N/A</c:v>
                </c:pt>
                <c:pt idx="239">
                  <c:v>#N/A</c:v>
                </c:pt>
                <c:pt idx="240">
                  <c:v>1993</c:v>
                </c:pt>
                <c:pt idx="241">
                  <c:v>#N/A</c:v>
                </c:pt>
                <c:pt idx="242">
                  <c:v>#N/A</c:v>
                </c:pt>
                <c:pt idx="243">
                  <c:v>#N/A</c:v>
                </c:pt>
                <c:pt idx="244">
                  <c:v>#N/A</c:v>
                </c:pt>
                <c:pt idx="245">
                  <c:v>2024</c:v>
                </c:pt>
                <c:pt idx="246">
                  <c:v>#N/A</c:v>
                </c:pt>
                <c:pt idx="247">
                  <c:v>2018</c:v>
                </c:pt>
                <c:pt idx="248">
                  <c:v>2025</c:v>
                </c:pt>
                <c:pt idx="249">
                  <c:v>#N/A</c:v>
                </c:pt>
                <c:pt idx="250">
                  <c:v>#N/A</c:v>
                </c:pt>
                <c:pt idx="251">
                  <c:v>2025</c:v>
                </c:pt>
                <c:pt idx="252">
                  <c:v>2013</c:v>
                </c:pt>
                <c:pt idx="253">
                  <c:v>2023</c:v>
                </c:pt>
                <c:pt idx="254">
                  <c:v>2023</c:v>
                </c:pt>
                <c:pt idx="255">
                  <c:v>#N/A</c:v>
                </c:pt>
                <c:pt idx="256">
                  <c:v>#N/A</c:v>
                </c:pt>
                <c:pt idx="257">
                  <c:v>2022</c:v>
                </c:pt>
                <c:pt idx="258">
                  <c:v>#N/A</c:v>
                </c:pt>
                <c:pt idx="259">
                  <c:v>#N/A</c:v>
                </c:pt>
                <c:pt idx="260">
                  <c:v>2025</c:v>
                </c:pt>
                <c:pt idx="261">
                  <c:v>2016</c:v>
                </c:pt>
                <c:pt idx="262">
                  <c:v>#N/A</c:v>
                </c:pt>
                <c:pt idx="263">
                  <c:v>#N/A</c:v>
                </c:pt>
                <c:pt idx="264">
                  <c:v>#N/A</c:v>
                </c:pt>
                <c:pt idx="265">
                  <c:v>#N/A</c:v>
                </c:pt>
                <c:pt idx="266">
                  <c:v>2026</c:v>
                </c:pt>
                <c:pt idx="267">
                  <c:v>2023</c:v>
                </c:pt>
                <c:pt idx="268">
                  <c:v>2020</c:v>
                </c:pt>
                <c:pt idx="269">
                  <c:v>#N/A</c:v>
                </c:pt>
                <c:pt idx="270">
                  <c:v>#N/A</c:v>
                </c:pt>
                <c:pt idx="271">
                  <c:v>#N/A</c:v>
                </c:pt>
                <c:pt idx="272">
                  <c:v>#N/A</c:v>
                </c:pt>
                <c:pt idx="273">
                  <c:v>#N/A</c:v>
                </c:pt>
                <c:pt idx="274">
                  <c:v>#N/A</c:v>
                </c:pt>
                <c:pt idx="275">
                  <c:v>#N/A</c:v>
                </c:pt>
                <c:pt idx="276">
                  <c:v>2024</c:v>
                </c:pt>
                <c:pt idx="277">
                  <c:v>2022</c:v>
                </c:pt>
                <c:pt idx="278">
                  <c:v>#N/A</c:v>
                </c:pt>
                <c:pt idx="279">
                  <c:v>2017</c:v>
                </c:pt>
                <c:pt idx="280">
                  <c:v>#N/A</c:v>
                </c:pt>
                <c:pt idx="281">
                  <c:v>2024</c:v>
                </c:pt>
                <c:pt idx="282">
                  <c:v>#N/A</c:v>
                </c:pt>
                <c:pt idx="283">
                  <c:v>#N/A</c:v>
                </c:pt>
                <c:pt idx="284">
                  <c:v>#N/A</c:v>
                </c:pt>
                <c:pt idx="285">
                  <c:v>2025</c:v>
                </c:pt>
                <c:pt idx="286">
                  <c:v>#N/A</c:v>
                </c:pt>
                <c:pt idx="287">
                  <c:v>2017</c:v>
                </c:pt>
                <c:pt idx="288">
                  <c:v>2025</c:v>
                </c:pt>
                <c:pt idx="289">
                  <c:v>#N/A</c:v>
                </c:pt>
                <c:pt idx="290">
                  <c:v>#N/A</c:v>
                </c:pt>
                <c:pt idx="291">
                  <c:v>2013</c:v>
                </c:pt>
                <c:pt idx="292">
                  <c:v>2020</c:v>
                </c:pt>
                <c:pt idx="293">
                  <c:v>#N/A</c:v>
                </c:pt>
                <c:pt idx="294">
                  <c:v>#N/A</c:v>
                </c:pt>
                <c:pt idx="295">
                  <c:v>2024</c:v>
                </c:pt>
                <c:pt idx="296">
                  <c:v>#N/A</c:v>
                </c:pt>
                <c:pt idx="297">
                  <c:v>2025</c:v>
                </c:pt>
                <c:pt idx="298">
                  <c:v>2024</c:v>
                </c:pt>
                <c:pt idx="299">
                  <c:v>#N/A</c:v>
                </c:pt>
                <c:pt idx="300">
                  <c:v>#N/A</c:v>
                </c:pt>
                <c:pt idx="301">
                  <c:v>#N/A</c:v>
                </c:pt>
                <c:pt idx="302">
                  <c:v>2024</c:v>
                </c:pt>
                <c:pt idx="303">
                  <c:v>2026</c:v>
                </c:pt>
                <c:pt idx="304">
                  <c:v>2020</c:v>
                </c:pt>
                <c:pt idx="305">
                  <c:v>2023</c:v>
                </c:pt>
                <c:pt idx="306">
                  <c:v>2024</c:v>
                </c:pt>
                <c:pt idx="307">
                  <c:v>#N/A</c:v>
                </c:pt>
                <c:pt idx="308">
                  <c:v>#N/A</c:v>
                </c:pt>
                <c:pt idx="309">
                  <c:v>2024</c:v>
                </c:pt>
                <c:pt idx="310">
                  <c:v>#N/A</c:v>
                </c:pt>
                <c:pt idx="311">
                  <c:v>2023</c:v>
                </c:pt>
                <c:pt idx="312">
                  <c:v>2025</c:v>
                </c:pt>
                <c:pt idx="313">
                  <c:v>2020</c:v>
                </c:pt>
                <c:pt idx="314">
                  <c:v>#N/A</c:v>
                </c:pt>
                <c:pt idx="315">
                  <c:v>2020</c:v>
                </c:pt>
                <c:pt idx="316">
                  <c:v>2022</c:v>
                </c:pt>
                <c:pt idx="317">
                  <c:v>2016</c:v>
                </c:pt>
                <c:pt idx="318">
                  <c:v>2020</c:v>
                </c:pt>
                <c:pt idx="319">
                  <c:v>2023</c:v>
                </c:pt>
                <c:pt idx="320">
                  <c:v>#N/A</c:v>
                </c:pt>
                <c:pt idx="321">
                  <c:v>2025</c:v>
                </c:pt>
                <c:pt idx="322">
                  <c:v>2023</c:v>
                </c:pt>
                <c:pt idx="323">
                  <c:v>#N/A</c:v>
                </c:pt>
                <c:pt idx="324">
                  <c:v>2021</c:v>
                </c:pt>
                <c:pt idx="325">
                  <c:v>2024</c:v>
                </c:pt>
                <c:pt idx="326">
                  <c:v>#N/A</c:v>
                </c:pt>
                <c:pt idx="327">
                  <c:v>#N/A</c:v>
                </c:pt>
                <c:pt idx="328">
                  <c:v>2020</c:v>
                </c:pt>
                <c:pt idx="329">
                  <c:v>2022</c:v>
                </c:pt>
                <c:pt idx="330">
                  <c:v>2025</c:v>
                </c:pt>
                <c:pt idx="331">
                  <c:v>2025</c:v>
                </c:pt>
                <c:pt idx="332">
                  <c:v>#N/A</c:v>
                </c:pt>
                <c:pt idx="333">
                  <c:v>#N/A</c:v>
                </c:pt>
                <c:pt idx="334">
                  <c:v>#N/A</c:v>
                </c:pt>
                <c:pt idx="335">
                  <c:v>2019</c:v>
                </c:pt>
                <c:pt idx="336">
                  <c:v>2024</c:v>
                </c:pt>
                <c:pt idx="337">
                  <c:v>2023</c:v>
                </c:pt>
                <c:pt idx="338">
                  <c:v>#N/A</c:v>
                </c:pt>
                <c:pt idx="339">
                  <c:v>#N/A</c:v>
                </c:pt>
                <c:pt idx="340">
                  <c:v>2026</c:v>
                </c:pt>
                <c:pt idx="341">
                  <c:v>#N/A</c:v>
                </c:pt>
                <c:pt idx="342">
                  <c:v>2025</c:v>
                </c:pt>
                <c:pt idx="343">
                  <c:v>#N/A</c:v>
                </c:pt>
                <c:pt idx="344">
                  <c:v>2017</c:v>
                </c:pt>
                <c:pt idx="345">
                  <c:v>2025</c:v>
                </c:pt>
                <c:pt idx="346">
                  <c:v>2022</c:v>
                </c:pt>
                <c:pt idx="347">
                  <c:v>#N/A</c:v>
                </c:pt>
                <c:pt idx="348">
                  <c:v>2023</c:v>
                </c:pt>
                <c:pt idx="349">
                  <c:v>2017</c:v>
                </c:pt>
                <c:pt idx="350">
                  <c:v>2014</c:v>
                </c:pt>
                <c:pt idx="351">
                  <c:v>2025</c:v>
                </c:pt>
                <c:pt idx="352">
                  <c:v>2026</c:v>
                </c:pt>
                <c:pt idx="353">
                  <c:v>2023</c:v>
                </c:pt>
                <c:pt idx="354">
                  <c:v>#N/A</c:v>
                </c:pt>
                <c:pt idx="355">
                  <c:v>2025</c:v>
                </c:pt>
                <c:pt idx="356">
                  <c:v>2023</c:v>
                </c:pt>
                <c:pt idx="357">
                  <c:v>2018</c:v>
                </c:pt>
                <c:pt idx="358">
                  <c:v>2025</c:v>
                </c:pt>
                <c:pt idx="359">
                  <c:v>#N/A</c:v>
                </c:pt>
                <c:pt idx="360">
                  <c:v>#N/A</c:v>
                </c:pt>
                <c:pt idx="361">
                  <c:v>2023</c:v>
                </c:pt>
                <c:pt idx="362">
                  <c:v>#N/A</c:v>
                </c:pt>
                <c:pt idx="363">
                  <c:v>#N/A</c:v>
                </c:pt>
                <c:pt idx="364">
                  <c:v>#N/A</c:v>
                </c:pt>
                <c:pt idx="365">
                  <c:v>2026</c:v>
                </c:pt>
                <c:pt idx="366">
                  <c:v>#N/A</c:v>
                </c:pt>
                <c:pt idx="367">
                  <c:v>2026</c:v>
                </c:pt>
                <c:pt idx="368">
                  <c:v>#N/A</c:v>
                </c:pt>
                <c:pt idx="369">
                  <c:v>2025</c:v>
                </c:pt>
                <c:pt idx="370">
                  <c:v>#N/A</c:v>
                </c:pt>
                <c:pt idx="371">
                  <c:v>2022</c:v>
                </c:pt>
                <c:pt idx="372">
                  <c:v>2017</c:v>
                </c:pt>
                <c:pt idx="373">
                  <c:v>2016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2025</c:v>
                </c:pt>
                <c:pt idx="388">
                  <c:v>2018</c:v>
                </c:pt>
                <c:pt idx="389">
                  <c:v>#N/A</c:v>
                </c:pt>
                <c:pt idx="390">
                  <c:v>2023</c:v>
                </c:pt>
                <c:pt idx="391">
                  <c:v>#N/A</c:v>
                </c:pt>
                <c:pt idx="392">
                  <c:v>2025</c:v>
                </c:pt>
                <c:pt idx="393">
                  <c:v>#N/A</c:v>
                </c:pt>
                <c:pt idx="394">
                  <c:v>2023</c:v>
                </c:pt>
                <c:pt idx="395">
                  <c:v>#N/A</c:v>
                </c:pt>
                <c:pt idx="396">
                  <c:v>2025</c:v>
                </c:pt>
                <c:pt idx="397">
                  <c:v>#N/A</c:v>
                </c:pt>
                <c:pt idx="398">
                  <c:v>2023</c:v>
                </c:pt>
                <c:pt idx="399">
                  <c:v>#N/A</c:v>
                </c:pt>
                <c:pt idx="400">
                  <c:v>#N/A</c:v>
                </c:pt>
                <c:pt idx="401">
                  <c:v>#N/A</c:v>
                </c:pt>
                <c:pt idx="402">
                  <c:v>#N/A</c:v>
                </c:pt>
                <c:pt idx="403">
                  <c:v>2024</c:v>
                </c:pt>
                <c:pt idx="404">
                  <c:v>#N/A</c:v>
                </c:pt>
                <c:pt idx="405">
                  <c:v>#N/A</c:v>
                </c:pt>
                <c:pt idx="406">
                  <c:v>#N/A</c:v>
                </c:pt>
                <c:pt idx="407">
                  <c:v>2024</c:v>
                </c:pt>
                <c:pt idx="408">
                  <c:v>#N/A</c:v>
                </c:pt>
                <c:pt idx="409">
                  <c:v>#N/A</c:v>
                </c:pt>
                <c:pt idx="410">
                  <c:v>#N/A</c:v>
                </c:pt>
                <c:pt idx="411">
                  <c:v>2023</c:v>
                </c:pt>
                <c:pt idx="412">
                  <c:v>#N/A</c:v>
                </c:pt>
                <c:pt idx="413">
                  <c:v>#N/A</c:v>
                </c:pt>
                <c:pt idx="414">
                  <c:v>#N/A</c:v>
                </c:pt>
                <c:pt idx="415">
                  <c:v>#N/A</c:v>
                </c:pt>
                <c:pt idx="416">
                  <c:v>#N/A</c:v>
                </c:pt>
                <c:pt idx="417">
                  <c:v>2026</c:v>
                </c:pt>
                <c:pt idx="418">
                  <c:v>#N/A</c:v>
                </c:pt>
                <c:pt idx="419">
                  <c:v>#N/A</c:v>
                </c:pt>
                <c:pt idx="420">
                  <c:v>#N/A</c:v>
                </c:pt>
                <c:pt idx="421">
                  <c:v>2025</c:v>
                </c:pt>
                <c:pt idx="422">
                  <c:v>#N/A</c:v>
                </c:pt>
                <c:pt idx="423">
                  <c:v>#N/A</c:v>
                </c:pt>
                <c:pt idx="424">
                  <c:v>#N/A</c:v>
                </c:pt>
                <c:pt idx="425">
                  <c:v>#N/A</c:v>
                </c:pt>
                <c:pt idx="426">
                  <c:v>2026</c:v>
                </c:pt>
                <c:pt idx="427">
                  <c:v>#N/A</c:v>
                </c:pt>
                <c:pt idx="428">
                  <c:v>2026</c:v>
                </c:pt>
                <c:pt idx="429">
                  <c:v>2019</c:v>
                </c:pt>
                <c:pt idx="430">
                  <c:v>2023</c:v>
                </c:pt>
                <c:pt idx="431">
                  <c:v>2025</c:v>
                </c:pt>
                <c:pt idx="432">
                  <c:v>#N/A</c:v>
                </c:pt>
                <c:pt idx="433">
                  <c:v>2018</c:v>
                </c:pt>
                <c:pt idx="434">
                  <c:v>2025</c:v>
                </c:pt>
                <c:pt idx="435">
                  <c:v>#N/A</c:v>
                </c:pt>
                <c:pt idx="436">
                  <c:v>2025</c:v>
                </c:pt>
                <c:pt idx="437">
                  <c:v>#N/A</c:v>
                </c:pt>
                <c:pt idx="438">
                  <c:v>2025</c:v>
                </c:pt>
                <c:pt idx="439">
                  <c:v>#N/A</c:v>
                </c:pt>
                <c:pt idx="440">
                  <c:v>#N/A</c:v>
                </c:pt>
                <c:pt idx="441">
                  <c:v>#N/A</c:v>
                </c:pt>
                <c:pt idx="442">
                  <c:v>#N/A</c:v>
                </c:pt>
                <c:pt idx="443">
                  <c:v>#N/A</c:v>
                </c:pt>
                <c:pt idx="444">
                  <c:v>2020</c:v>
                </c:pt>
                <c:pt idx="445">
                  <c:v>2021</c:v>
                </c:pt>
                <c:pt idx="446">
                  <c:v>#N/A</c:v>
                </c:pt>
                <c:pt idx="447">
                  <c:v>2025</c:v>
                </c:pt>
                <c:pt idx="448">
                  <c:v>#N/A</c:v>
                </c:pt>
                <c:pt idx="449">
                  <c:v>#N/A</c:v>
                </c:pt>
                <c:pt idx="450">
                  <c:v>#N/A</c:v>
                </c:pt>
                <c:pt idx="451">
                  <c:v>#N/A</c:v>
                </c:pt>
                <c:pt idx="452">
                  <c:v>2023</c:v>
                </c:pt>
                <c:pt idx="453">
                  <c:v>2022</c:v>
                </c:pt>
                <c:pt idx="454">
                  <c:v>#N/A</c:v>
                </c:pt>
                <c:pt idx="455">
                  <c:v>#N/A</c:v>
                </c:pt>
                <c:pt idx="456">
                  <c:v>#N/A</c:v>
                </c:pt>
                <c:pt idx="457">
                  <c:v>#N/A</c:v>
                </c:pt>
                <c:pt idx="458">
                  <c:v>#N/A</c:v>
                </c:pt>
                <c:pt idx="459">
                  <c:v>#N/A</c:v>
                </c:pt>
                <c:pt idx="460">
                  <c:v>#N/A</c:v>
                </c:pt>
                <c:pt idx="461">
                  <c:v>#N/A</c:v>
                </c:pt>
                <c:pt idx="462">
                  <c:v>2025</c:v>
                </c:pt>
                <c:pt idx="463">
                  <c:v>2015</c:v>
                </c:pt>
                <c:pt idx="464">
                  <c:v>#N/A</c:v>
                </c:pt>
                <c:pt idx="465">
                  <c:v>2016</c:v>
                </c:pt>
                <c:pt idx="466">
                  <c:v>2024</c:v>
                </c:pt>
                <c:pt idx="467">
                  <c:v>2018</c:v>
                </c:pt>
                <c:pt idx="468">
                  <c:v>2025</c:v>
                </c:pt>
                <c:pt idx="469">
                  <c:v>#N/A</c:v>
                </c:pt>
                <c:pt idx="470">
                  <c:v>2026</c:v>
                </c:pt>
                <c:pt idx="471">
                  <c:v>#N/A</c:v>
                </c:pt>
                <c:pt idx="472">
                  <c:v>#N/A</c:v>
                </c:pt>
                <c:pt idx="473">
                  <c:v>2025</c:v>
                </c:pt>
                <c:pt idx="474">
                  <c:v>2023</c:v>
                </c:pt>
                <c:pt idx="475">
                  <c:v>2018</c:v>
                </c:pt>
                <c:pt idx="476">
                  <c:v>2022</c:v>
                </c:pt>
                <c:pt idx="477">
                  <c:v>#N/A</c:v>
                </c:pt>
                <c:pt idx="478">
                  <c:v>2023</c:v>
                </c:pt>
                <c:pt idx="479">
                  <c:v>2021</c:v>
                </c:pt>
                <c:pt idx="480">
                  <c:v>#N/A</c:v>
                </c:pt>
                <c:pt idx="481">
                  <c:v>#N/A</c:v>
                </c:pt>
                <c:pt idx="482">
                  <c:v>#N/A</c:v>
                </c:pt>
                <c:pt idx="483">
                  <c:v>2024</c:v>
                </c:pt>
                <c:pt idx="484">
                  <c:v>#N/A</c:v>
                </c:pt>
                <c:pt idx="485">
                  <c:v>2022</c:v>
                </c:pt>
                <c:pt idx="486">
                  <c:v>#N/A</c:v>
                </c:pt>
                <c:pt idx="487">
                  <c:v>2022</c:v>
                </c:pt>
                <c:pt idx="488">
                  <c:v>2024</c:v>
                </c:pt>
                <c:pt idx="489">
                  <c:v>2019</c:v>
                </c:pt>
                <c:pt idx="490">
                  <c:v>2025</c:v>
                </c:pt>
                <c:pt idx="491">
                  <c:v>2022</c:v>
                </c:pt>
                <c:pt idx="492">
                  <c:v>#N/A</c:v>
                </c:pt>
                <c:pt idx="493">
                  <c:v>2025</c:v>
                </c:pt>
                <c:pt idx="494">
                  <c:v>2021</c:v>
                </c:pt>
                <c:pt idx="495">
                  <c:v>2025</c:v>
                </c:pt>
                <c:pt idx="496">
                  <c:v>2024</c:v>
                </c:pt>
                <c:pt idx="497">
                  <c:v>#N/A</c:v>
                </c:pt>
                <c:pt idx="498">
                  <c:v>#N/A</c:v>
                </c:pt>
                <c:pt idx="499">
                  <c:v>2019</c:v>
                </c:pt>
                <c:pt idx="500">
                  <c:v>2022</c:v>
                </c:pt>
                <c:pt idx="501">
                  <c:v>2025</c:v>
                </c:pt>
                <c:pt idx="502">
                  <c:v>2023</c:v>
                </c:pt>
                <c:pt idx="503">
                  <c:v>#N/A</c:v>
                </c:pt>
                <c:pt idx="504">
                  <c:v>2022</c:v>
                </c:pt>
                <c:pt idx="505">
                  <c:v>#N/A</c:v>
                </c:pt>
                <c:pt idx="506">
                  <c:v>2019</c:v>
                </c:pt>
                <c:pt idx="507">
                  <c:v>#N/A</c:v>
                </c:pt>
                <c:pt idx="508">
                  <c:v>#N/A</c:v>
                </c:pt>
                <c:pt idx="509">
                  <c:v>2015</c:v>
                </c:pt>
                <c:pt idx="510">
                  <c:v>2025</c:v>
                </c:pt>
                <c:pt idx="511">
                  <c:v>#N/A</c:v>
                </c:pt>
                <c:pt idx="512">
                  <c:v>2023</c:v>
                </c:pt>
                <c:pt idx="513">
                  <c:v>#N/A</c:v>
                </c:pt>
                <c:pt idx="514">
                  <c:v>2018</c:v>
                </c:pt>
                <c:pt idx="515">
                  <c:v>2026</c:v>
                </c:pt>
                <c:pt idx="516">
                  <c:v>2025</c:v>
                </c:pt>
                <c:pt idx="517">
                  <c:v>2026</c:v>
                </c:pt>
                <c:pt idx="518">
                  <c:v>#N/A</c:v>
                </c:pt>
                <c:pt idx="519">
                  <c:v>#N/A</c:v>
                </c:pt>
                <c:pt idx="520">
                  <c:v>#N/A</c:v>
                </c:pt>
                <c:pt idx="521">
                  <c:v>#N/A</c:v>
                </c:pt>
                <c:pt idx="522">
                  <c:v>#N/A</c:v>
                </c:pt>
                <c:pt idx="523">
                  <c:v>2020</c:v>
                </c:pt>
                <c:pt idx="524">
                  <c:v>#N/A</c:v>
                </c:pt>
                <c:pt idx="525">
                  <c:v>#N/A</c:v>
                </c:pt>
                <c:pt idx="526">
                  <c:v>#N/A</c:v>
                </c:pt>
                <c:pt idx="527">
                  <c:v>2023</c:v>
                </c:pt>
                <c:pt idx="528">
                  <c:v>2014</c:v>
                </c:pt>
                <c:pt idx="529">
                  <c:v>#N/A</c:v>
                </c:pt>
                <c:pt idx="530">
                  <c:v>#N/A</c:v>
                </c:pt>
                <c:pt idx="531">
                  <c:v>#N/A</c:v>
                </c:pt>
                <c:pt idx="532">
                  <c:v>#N/A</c:v>
                </c:pt>
                <c:pt idx="533">
                  <c:v>2023</c:v>
                </c:pt>
                <c:pt idx="534">
                  <c:v>#N/A</c:v>
                </c:pt>
                <c:pt idx="535">
                  <c:v>2021</c:v>
                </c:pt>
                <c:pt idx="536">
                  <c:v>#N/A</c:v>
                </c:pt>
                <c:pt idx="537">
                  <c:v>2026</c:v>
                </c:pt>
                <c:pt idx="538">
                  <c:v>#N/A</c:v>
                </c:pt>
                <c:pt idx="539">
                  <c:v>#N/A</c:v>
                </c:pt>
                <c:pt idx="540">
                  <c:v>#N/A</c:v>
                </c:pt>
                <c:pt idx="541">
                  <c:v>#N/A</c:v>
                </c:pt>
                <c:pt idx="542">
                  <c:v>2026</c:v>
                </c:pt>
                <c:pt idx="543">
                  <c:v>2024</c:v>
                </c:pt>
                <c:pt idx="544">
                  <c:v>2023</c:v>
                </c:pt>
                <c:pt idx="545">
                  <c:v>#N/A</c:v>
                </c:pt>
                <c:pt idx="546">
                  <c:v>#N/A</c:v>
                </c:pt>
                <c:pt idx="547">
                  <c:v>#N/A</c:v>
                </c:pt>
                <c:pt idx="548">
                  <c:v>#N/A</c:v>
                </c:pt>
                <c:pt idx="549">
                  <c:v>#N/A</c:v>
                </c:pt>
                <c:pt idx="550">
                  <c:v>#N/A</c:v>
                </c:pt>
                <c:pt idx="551">
                  <c:v>#N/A</c:v>
                </c:pt>
                <c:pt idx="552">
                  <c:v>2024</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2024</c:v>
                </c:pt>
                <c:pt idx="567">
                  <c:v>#N/A</c:v>
                </c:pt>
                <c:pt idx="568">
                  <c:v>2022</c:v>
                </c:pt>
                <c:pt idx="569">
                  <c:v>#N/A</c:v>
                </c:pt>
                <c:pt idx="570">
                  <c:v>#N/A</c:v>
                </c:pt>
                <c:pt idx="571">
                  <c:v>2024</c:v>
                </c:pt>
                <c:pt idx="572">
                  <c:v>#N/A</c:v>
                </c:pt>
                <c:pt idx="573">
                  <c:v>#N/A</c:v>
                </c:pt>
                <c:pt idx="574">
                  <c:v>#N/A</c:v>
                </c:pt>
                <c:pt idx="575">
                  <c:v>2024</c:v>
                </c:pt>
                <c:pt idx="576">
                  <c:v>2015</c:v>
                </c:pt>
                <c:pt idx="577">
                  <c:v>#N/A</c:v>
                </c:pt>
                <c:pt idx="578">
                  <c:v>2023</c:v>
                </c:pt>
                <c:pt idx="579">
                  <c:v>2025</c:v>
                </c:pt>
                <c:pt idx="580">
                  <c:v>2024</c:v>
                </c:pt>
                <c:pt idx="581">
                  <c:v>2010</c:v>
                </c:pt>
                <c:pt idx="582">
                  <c:v>2012</c:v>
                </c:pt>
                <c:pt idx="583">
                  <c:v>#N/A</c:v>
                </c:pt>
                <c:pt idx="584">
                  <c:v>2022</c:v>
                </c:pt>
                <c:pt idx="585">
                  <c:v>#N/A</c:v>
                </c:pt>
                <c:pt idx="586">
                  <c:v>2023</c:v>
                </c:pt>
                <c:pt idx="587">
                  <c:v>2023</c:v>
                </c:pt>
                <c:pt idx="588">
                  <c:v>2021</c:v>
                </c:pt>
                <c:pt idx="589">
                  <c:v>2025</c:v>
                </c:pt>
                <c:pt idx="590">
                  <c:v>#N/A</c:v>
                </c:pt>
                <c:pt idx="591">
                  <c:v>#N/A</c:v>
                </c:pt>
                <c:pt idx="592">
                  <c:v>#N/A</c:v>
                </c:pt>
                <c:pt idx="593">
                  <c:v>#N/A</c:v>
                </c:pt>
                <c:pt idx="594">
                  <c:v>#N/A</c:v>
                </c:pt>
                <c:pt idx="595">
                  <c:v>#N/A</c:v>
                </c:pt>
                <c:pt idx="596">
                  <c:v>2017</c:v>
                </c:pt>
                <c:pt idx="597">
                  <c:v>2013</c:v>
                </c:pt>
                <c:pt idx="598">
                  <c:v>2020</c:v>
                </c:pt>
                <c:pt idx="599">
                  <c:v>2023</c:v>
                </c:pt>
                <c:pt idx="600">
                  <c:v>#N/A</c:v>
                </c:pt>
                <c:pt idx="601">
                  <c:v>2020</c:v>
                </c:pt>
                <c:pt idx="602">
                  <c:v>2024</c:v>
                </c:pt>
                <c:pt idx="603">
                  <c:v>#N/A</c:v>
                </c:pt>
                <c:pt idx="604">
                  <c:v>#N/A</c:v>
                </c:pt>
                <c:pt idx="605">
                  <c:v>#N/A</c:v>
                </c:pt>
                <c:pt idx="606">
                  <c:v>2026</c:v>
                </c:pt>
                <c:pt idx="607">
                  <c:v>2024</c:v>
                </c:pt>
                <c:pt idx="608">
                  <c:v>#N/A</c:v>
                </c:pt>
                <c:pt idx="609">
                  <c:v>2021</c:v>
                </c:pt>
                <c:pt idx="610">
                  <c:v>2013</c:v>
                </c:pt>
                <c:pt idx="611">
                  <c:v>2020</c:v>
                </c:pt>
                <c:pt idx="612">
                  <c:v>#N/A</c:v>
                </c:pt>
                <c:pt idx="613">
                  <c:v>#N/A</c:v>
                </c:pt>
                <c:pt idx="614">
                  <c:v>#N/A</c:v>
                </c:pt>
                <c:pt idx="615">
                  <c:v>#N/A</c:v>
                </c:pt>
                <c:pt idx="616">
                  <c:v>2022</c:v>
                </c:pt>
                <c:pt idx="617">
                  <c:v>#N/A</c:v>
                </c:pt>
                <c:pt idx="618">
                  <c:v>#N/A</c:v>
                </c:pt>
                <c:pt idx="619">
                  <c:v>#N/A</c:v>
                </c:pt>
                <c:pt idx="620">
                  <c:v>#N/A</c:v>
                </c:pt>
                <c:pt idx="621">
                  <c:v>#N/A</c:v>
                </c:pt>
                <c:pt idx="622">
                  <c:v>#N/A</c:v>
                </c:pt>
                <c:pt idx="623">
                  <c:v>#N/A</c:v>
                </c:pt>
                <c:pt idx="624">
                  <c:v>#N/A</c:v>
                </c:pt>
                <c:pt idx="625">
                  <c:v>#N/A</c:v>
                </c:pt>
                <c:pt idx="626">
                  <c:v>2021</c:v>
                </c:pt>
                <c:pt idx="627">
                  <c:v>#N/A</c:v>
                </c:pt>
                <c:pt idx="628">
                  <c:v>#N/A</c:v>
                </c:pt>
                <c:pt idx="629">
                  <c:v>#N/A</c:v>
                </c:pt>
                <c:pt idx="630">
                  <c:v>#N/A</c:v>
                </c:pt>
                <c:pt idx="631">
                  <c:v>#N/A</c:v>
                </c:pt>
                <c:pt idx="632">
                  <c:v>2024</c:v>
                </c:pt>
                <c:pt idx="633">
                  <c:v>2022</c:v>
                </c:pt>
                <c:pt idx="634">
                  <c:v>2023</c:v>
                </c:pt>
                <c:pt idx="635">
                  <c:v>2020</c:v>
                </c:pt>
                <c:pt idx="636">
                  <c:v>2023</c:v>
                </c:pt>
                <c:pt idx="637">
                  <c:v>2023</c:v>
                </c:pt>
                <c:pt idx="638">
                  <c:v>#N/A</c:v>
                </c:pt>
                <c:pt idx="639">
                  <c:v>2025</c:v>
                </c:pt>
                <c:pt idx="640">
                  <c:v>2022</c:v>
                </c:pt>
                <c:pt idx="641">
                  <c:v>2026</c:v>
                </c:pt>
                <c:pt idx="642">
                  <c:v>#N/A</c:v>
                </c:pt>
                <c:pt idx="643">
                  <c:v>#N/A</c:v>
                </c:pt>
                <c:pt idx="644">
                  <c:v>2025</c:v>
                </c:pt>
                <c:pt idx="645">
                  <c:v>2023</c:v>
                </c:pt>
                <c:pt idx="646">
                  <c:v>#N/A</c:v>
                </c:pt>
                <c:pt idx="647">
                  <c:v>2022</c:v>
                </c:pt>
                <c:pt idx="648">
                  <c:v>#N/A</c:v>
                </c:pt>
                <c:pt idx="649">
                  <c:v>#N/A</c:v>
                </c:pt>
                <c:pt idx="650">
                  <c:v>#N/A</c:v>
                </c:pt>
                <c:pt idx="651">
                  <c:v>#N/A</c:v>
                </c:pt>
                <c:pt idx="652">
                  <c:v>#N/A</c:v>
                </c:pt>
                <c:pt idx="653">
                  <c:v>#N/A</c:v>
                </c:pt>
                <c:pt idx="654">
                  <c:v>#N/A</c:v>
                </c:pt>
                <c:pt idx="655">
                  <c:v>#N/A</c:v>
                </c:pt>
                <c:pt idx="656">
                  <c:v>#N/A</c:v>
                </c:pt>
                <c:pt idx="657">
                  <c:v>2010</c:v>
                </c:pt>
                <c:pt idx="658">
                  <c:v>#N/A</c:v>
                </c:pt>
                <c:pt idx="659">
                  <c:v>2022</c:v>
                </c:pt>
                <c:pt idx="660">
                  <c:v>#N/A</c:v>
                </c:pt>
                <c:pt idx="661">
                  <c:v>#N/A</c:v>
                </c:pt>
                <c:pt idx="662">
                  <c:v>2020</c:v>
                </c:pt>
                <c:pt idx="663">
                  <c:v>2026</c:v>
                </c:pt>
                <c:pt idx="664">
                  <c:v>2014</c:v>
                </c:pt>
                <c:pt idx="665">
                  <c:v>#N/A</c:v>
                </c:pt>
                <c:pt idx="666">
                  <c:v>#N/A</c:v>
                </c:pt>
                <c:pt idx="667">
                  <c:v>2018</c:v>
                </c:pt>
                <c:pt idx="668">
                  <c:v>#N/A</c:v>
                </c:pt>
                <c:pt idx="669">
                  <c:v>#N/A</c:v>
                </c:pt>
                <c:pt idx="670">
                  <c:v>#N/A</c:v>
                </c:pt>
                <c:pt idx="671">
                  <c:v>2023</c:v>
                </c:pt>
                <c:pt idx="672">
                  <c:v>#N/A</c:v>
                </c:pt>
                <c:pt idx="673">
                  <c:v>#N/A</c:v>
                </c:pt>
                <c:pt idx="674">
                  <c:v>#N/A</c:v>
                </c:pt>
                <c:pt idx="675">
                  <c:v>2021</c:v>
                </c:pt>
                <c:pt idx="676">
                  <c:v>2025</c:v>
                </c:pt>
                <c:pt idx="677">
                  <c:v>#N/A</c:v>
                </c:pt>
                <c:pt idx="678">
                  <c:v>#N/A</c:v>
                </c:pt>
                <c:pt idx="679">
                  <c:v>#N/A</c:v>
                </c:pt>
                <c:pt idx="680">
                  <c:v>#N/A</c:v>
                </c:pt>
                <c:pt idx="681">
                  <c:v>2022</c:v>
                </c:pt>
                <c:pt idx="682">
                  <c:v>2015</c:v>
                </c:pt>
                <c:pt idx="683">
                  <c:v>2019</c:v>
                </c:pt>
                <c:pt idx="684">
                  <c:v>#N/A</c:v>
                </c:pt>
                <c:pt idx="685">
                  <c:v>2019</c:v>
                </c:pt>
                <c:pt idx="686">
                  <c:v>2022</c:v>
                </c:pt>
                <c:pt idx="687">
                  <c:v>#N/A</c:v>
                </c:pt>
                <c:pt idx="688">
                  <c:v>#N/A</c:v>
                </c:pt>
                <c:pt idx="689">
                  <c:v>2012</c:v>
                </c:pt>
                <c:pt idx="690">
                  <c:v>2020</c:v>
                </c:pt>
                <c:pt idx="691">
                  <c:v>2008</c:v>
                </c:pt>
                <c:pt idx="692">
                  <c:v>#N/A</c:v>
                </c:pt>
                <c:pt idx="693">
                  <c:v>2022</c:v>
                </c:pt>
                <c:pt idx="694">
                  <c:v>2023</c:v>
                </c:pt>
                <c:pt idx="695">
                  <c:v>2019</c:v>
                </c:pt>
                <c:pt idx="696">
                  <c:v>#N/A</c:v>
                </c:pt>
                <c:pt idx="697">
                  <c:v>2024</c:v>
                </c:pt>
                <c:pt idx="698">
                  <c:v>#N/A</c:v>
                </c:pt>
                <c:pt idx="699">
                  <c:v>2017</c:v>
                </c:pt>
                <c:pt idx="700">
                  <c:v>2023</c:v>
                </c:pt>
                <c:pt idx="701">
                  <c:v>2025</c:v>
                </c:pt>
                <c:pt idx="702">
                  <c:v>#N/A</c:v>
                </c:pt>
                <c:pt idx="703">
                  <c:v>#N/A</c:v>
                </c:pt>
                <c:pt idx="704">
                  <c:v>2025</c:v>
                </c:pt>
                <c:pt idx="705">
                  <c:v>#N/A</c:v>
                </c:pt>
                <c:pt idx="706">
                  <c:v>#N/A</c:v>
                </c:pt>
                <c:pt idx="707">
                  <c:v>2017</c:v>
                </c:pt>
                <c:pt idx="708">
                  <c:v>#N/A</c:v>
                </c:pt>
                <c:pt idx="709">
                  <c:v>2019</c:v>
                </c:pt>
                <c:pt idx="710">
                  <c:v>2024</c:v>
                </c:pt>
                <c:pt idx="711">
                  <c:v>2017</c:v>
                </c:pt>
                <c:pt idx="712">
                  <c:v>#N/A</c:v>
                </c:pt>
                <c:pt idx="713">
                  <c:v>#N/A</c:v>
                </c:pt>
                <c:pt idx="714">
                  <c:v>#N/A</c:v>
                </c:pt>
                <c:pt idx="715">
                  <c:v>#N/A</c:v>
                </c:pt>
                <c:pt idx="716">
                  <c:v>2013</c:v>
                </c:pt>
                <c:pt idx="717">
                  <c:v>#N/A</c:v>
                </c:pt>
                <c:pt idx="718">
                  <c:v>2025</c:v>
                </c:pt>
                <c:pt idx="719">
                  <c:v>2023</c:v>
                </c:pt>
                <c:pt idx="720">
                  <c:v>2016</c:v>
                </c:pt>
                <c:pt idx="721">
                  <c:v>#N/A</c:v>
                </c:pt>
                <c:pt idx="722">
                  <c:v>2021</c:v>
                </c:pt>
                <c:pt idx="723">
                  <c:v>2025</c:v>
                </c:pt>
                <c:pt idx="724">
                  <c:v>#N/A</c:v>
                </c:pt>
                <c:pt idx="725">
                  <c:v>2022</c:v>
                </c:pt>
                <c:pt idx="726">
                  <c:v>2025</c:v>
                </c:pt>
                <c:pt idx="727">
                  <c:v>2021</c:v>
                </c:pt>
                <c:pt idx="728">
                  <c:v>2018</c:v>
                </c:pt>
                <c:pt idx="729">
                  <c:v>#N/A</c:v>
                </c:pt>
                <c:pt idx="730">
                  <c:v>#N/A</c:v>
                </c:pt>
                <c:pt idx="731">
                  <c:v>2023</c:v>
                </c:pt>
                <c:pt idx="732">
                  <c:v>#N/A</c:v>
                </c:pt>
                <c:pt idx="733">
                  <c:v>#N/A</c:v>
                </c:pt>
                <c:pt idx="734">
                  <c:v>#N/A</c:v>
                </c:pt>
                <c:pt idx="735">
                  <c:v>#N/A</c:v>
                </c:pt>
                <c:pt idx="736">
                  <c:v>#N/A</c:v>
                </c:pt>
                <c:pt idx="737">
                  <c:v>2023</c:v>
                </c:pt>
                <c:pt idx="738">
                  <c:v>#N/A</c:v>
                </c:pt>
                <c:pt idx="739">
                  <c:v>2026</c:v>
                </c:pt>
                <c:pt idx="740">
                  <c:v>2024</c:v>
                </c:pt>
                <c:pt idx="741">
                  <c:v>2024</c:v>
                </c:pt>
                <c:pt idx="742">
                  <c:v>#N/A</c:v>
                </c:pt>
                <c:pt idx="743">
                  <c:v>2026</c:v>
                </c:pt>
                <c:pt idx="744">
                  <c:v>2024</c:v>
                </c:pt>
                <c:pt idx="745">
                  <c:v>#N/A</c:v>
                </c:pt>
                <c:pt idx="746">
                  <c:v>2011</c:v>
                </c:pt>
                <c:pt idx="747">
                  <c:v>2014</c:v>
                </c:pt>
                <c:pt idx="748">
                  <c:v>#N/A</c:v>
                </c:pt>
                <c:pt idx="749">
                  <c:v>#N/A</c:v>
                </c:pt>
                <c:pt idx="750">
                  <c:v>#N/A</c:v>
                </c:pt>
                <c:pt idx="751">
                  <c:v>2016</c:v>
                </c:pt>
                <c:pt idx="752">
                  <c:v>#N/A</c:v>
                </c:pt>
                <c:pt idx="753">
                  <c:v>#N/A</c:v>
                </c:pt>
                <c:pt idx="754">
                  <c:v>#N/A</c:v>
                </c:pt>
                <c:pt idx="755">
                  <c:v>#N/A</c:v>
                </c:pt>
                <c:pt idx="756">
                  <c:v>2023</c:v>
                </c:pt>
                <c:pt idx="757">
                  <c:v>#N/A</c:v>
                </c:pt>
                <c:pt idx="758">
                  <c:v>#N/A</c:v>
                </c:pt>
                <c:pt idx="759">
                  <c:v>#N/A</c:v>
                </c:pt>
                <c:pt idx="760">
                  <c:v>#N/A</c:v>
                </c:pt>
                <c:pt idx="761">
                  <c:v>2024</c:v>
                </c:pt>
                <c:pt idx="762">
                  <c:v>#N/A</c:v>
                </c:pt>
                <c:pt idx="763">
                  <c:v>2024</c:v>
                </c:pt>
                <c:pt idx="764">
                  <c:v>#N/A</c:v>
                </c:pt>
                <c:pt idx="765">
                  <c:v>2022</c:v>
                </c:pt>
                <c:pt idx="766">
                  <c:v>2018</c:v>
                </c:pt>
                <c:pt idx="767">
                  <c:v>#N/A</c:v>
                </c:pt>
                <c:pt idx="768">
                  <c:v>#N/A</c:v>
                </c:pt>
                <c:pt idx="769">
                  <c:v>#N/A</c:v>
                </c:pt>
                <c:pt idx="770">
                  <c:v>2023</c:v>
                </c:pt>
                <c:pt idx="771">
                  <c:v>2023</c:v>
                </c:pt>
                <c:pt idx="772">
                  <c:v>#N/A</c:v>
                </c:pt>
                <c:pt idx="773">
                  <c:v>2022</c:v>
                </c:pt>
                <c:pt idx="774">
                  <c:v>#N/A</c:v>
                </c:pt>
                <c:pt idx="775">
                  <c:v>1991</c:v>
                </c:pt>
                <c:pt idx="776">
                  <c:v>2019</c:v>
                </c:pt>
                <c:pt idx="777">
                  <c:v>2022</c:v>
                </c:pt>
                <c:pt idx="778">
                  <c:v>#N/A</c:v>
                </c:pt>
                <c:pt idx="779">
                  <c:v>#N/A</c:v>
                </c:pt>
                <c:pt idx="780">
                  <c:v>#N/A</c:v>
                </c:pt>
                <c:pt idx="781">
                  <c:v>#N/A</c:v>
                </c:pt>
                <c:pt idx="782">
                  <c:v>#N/A</c:v>
                </c:pt>
                <c:pt idx="783">
                  <c:v>#N/A</c:v>
                </c:pt>
                <c:pt idx="784">
                  <c:v>#N/A</c:v>
                </c:pt>
                <c:pt idx="785">
                  <c:v>#N/A</c:v>
                </c:pt>
                <c:pt idx="786">
                  <c:v>#N/A</c:v>
                </c:pt>
                <c:pt idx="787">
                  <c:v>#N/A</c:v>
                </c:pt>
                <c:pt idx="788">
                  <c:v>2017</c:v>
                </c:pt>
                <c:pt idx="789">
                  <c:v>2014</c:v>
                </c:pt>
                <c:pt idx="790">
                  <c:v>#N/A</c:v>
                </c:pt>
                <c:pt idx="791">
                  <c:v>#N/A</c:v>
                </c:pt>
                <c:pt idx="792">
                  <c:v>#N/A</c:v>
                </c:pt>
                <c:pt idx="793">
                  <c:v>2017</c:v>
                </c:pt>
                <c:pt idx="794">
                  <c:v>#N/A</c:v>
                </c:pt>
                <c:pt idx="795">
                  <c:v>2025</c:v>
                </c:pt>
                <c:pt idx="796">
                  <c:v>#N/A</c:v>
                </c:pt>
                <c:pt idx="797">
                  <c:v>#N/A</c:v>
                </c:pt>
                <c:pt idx="798">
                  <c:v>#N/A</c:v>
                </c:pt>
                <c:pt idx="799">
                  <c:v>#N/A</c:v>
                </c:pt>
                <c:pt idx="800">
                  <c:v>2024</c:v>
                </c:pt>
                <c:pt idx="801">
                  <c:v>2019</c:v>
                </c:pt>
                <c:pt idx="802">
                  <c:v>2025</c:v>
                </c:pt>
                <c:pt idx="803">
                  <c:v>2017</c:v>
                </c:pt>
                <c:pt idx="804">
                  <c:v>2022</c:v>
                </c:pt>
                <c:pt idx="805">
                  <c:v>#N/A</c:v>
                </c:pt>
                <c:pt idx="806">
                  <c:v>2018</c:v>
                </c:pt>
                <c:pt idx="807">
                  <c:v>#N/A</c:v>
                </c:pt>
                <c:pt idx="808">
                  <c:v>2023</c:v>
                </c:pt>
                <c:pt idx="809">
                  <c:v>2021</c:v>
                </c:pt>
                <c:pt idx="810">
                  <c:v>#N/A</c:v>
                </c:pt>
                <c:pt idx="811">
                  <c:v>2024</c:v>
                </c:pt>
                <c:pt idx="812">
                  <c:v>2026</c:v>
                </c:pt>
                <c:pt idx="813">
                  <c:v>#N/A</c:v>
                </c:pt>
                <c:pt idx="814">
                  <c:v>#N/A</c:v>
                </c:pt>
                <c:pt idx="815">
                  <c:v>#N/A</c:v>
                </c:pt>
                <c:pt idx="816">
                  <c:v>2019</c:v>
                </c:pt>
                <c:pt idx="817">
                  <c:v>2022</c:v>
                </c:pt>
                <c:pt idx="818">
                  <c:v>#N/A</c:v>
                </c:pt>
                <c:pt idx="819">
                  <c:v>2023</c:v>
                </c:pt>
                <c:pt idx="820">
                  <c:v>2024</c:v>
                </c:pt>
                <c:pt idx="821">
                  <c:v>2024</c:v>
                </c:pt>
                <c:pt idx="822">
                  <c:v>#N/A</c:v>
                </c:pt>
                <c:pt idx="823">
                  <c:v>#N/A</c:v>
                </c:pt>
                <c:pt idx="824">
                  <c:v>#N/A</c:v>
                </c:pt>
                <c:pt idx="825">
                  <c:v>2026</c:v>
                </c:pt>
                <c:pt idx="826">
                  <c:v>2026</c:v>
                </c:pt>
                <c:pt idx="827">
                  <c:v>#N/A</c:v>
                </c:pt>
                <c:pt idx="828">
                  <c:v>2025</c:v>
                </c:pt>
                <c:pt idx="829">
                  <c:v>#N/A</c:v>
                </c:pt>
                <c:pt idx="830">
                  <c:v>#N/A</c:v>
                </c:pt>
                <c:pt idx="831">
                  <c:v>#N/A</c:v>
                </c:pt>
                <c:pt idx="832">
                  <c:v>2017</c:v>
                </c:pt>
                <c:pt idx="833">
                  <c:v>#N/A</c:v>
                </c:pt>
                <c:pt idx="834">
                  <c:v>2020</c:v>
                </c:pt>
                <c:pt idx="835">
                  <c:v>2025</c:v>
                </c:pt>
                <c:pt idx="836">
                  <c:v>2025</c:v>
                </c:pt>
                <c:pt idx="837">
                  <c:v>2024</c:v>
                </c:pt>
                <c:pt idx="838">
                  <c:v>#N/A</c:v>
                </c:pt>
                <c:pt idx="839">
                  <c:v>#N/A</c:v>
                </c:pt>
                <c:pt idx="840">
                  <c:v>2024</c:v>
                </c:pt>
                <c:pt idx="841">
                  <c:v>#N/A</c:v>
                </c:pt>
                <c:pt idx="842">
                  <c:v>#N/A</c:v>
                </c:pt>
                <c:pt idx="843">
                  <c:v>2024</c:v>
                </c:pt>
                <c:pt idx="844">
                  <c:v>#N/A</c:v>
                </c:pt>
                <c:pt idx="845">
                  <c:v>2018</c:v>
                </c:pt>
                <c:pt idx="846">
                  <c:v>2024</c:v>
                </c:pt>
                <c:pt idx="847">
                  <c:v>#N/A</c:v>
                </c:pt>
                <c:pt idx="848">
                  <c:v>#N/A</c:v>
                </c:pt>
                <c:pt idx="849">
                  <c:v>#N/A</c:v>
                </c:pt>
                <c:pt idx="850">
                  <c:v>#N/A</c:v>
                </c:pt>
                <c:pt idx="851">
                  <c:v>#N/A</c:v>
                </c:pt>
                <c:pt idx="852">
                  <c:v>2025</c:v>
                </c:pt>
                <c:pt idx="853">
                  <c:v>2023</c:v>
                </c:pt>
                <c:pt idx="854">
                  <c:v>#N/A</c:v>
                </c:pt>
                <c:pt idx="855">
                  <c:v>#N/A</c:v>
                </c:pt>
                <c:pt idx="856">
                  <c:v>#N/A</c:v>
                </c:pt>
                <c:pt idx="857">
                  <c:v>#N/A</c:v>
                </c:pt>
                <c:pt idx="858">
                  <c:v>#N/A</c:v>
                </c:pt>
                <c:pt idx="859">
                  <c:v>2014</c:v>
                </c:pt>
                <c:pt idx="860">
                  <c:v>2020</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#N/A</c:v>
                </c:pt>
                <c:pt idx="98">
                  <c:v>1.7130000000000001</c:v>
                </c:pt>
                <c:pt idx="99">
                  <c:v>1.736</c:v>
                </c:pt>
                <c:pt idx="100">
                  <c:v>#N/A</c:v>
                </c:pt>
                <c:pt idx="101">
                  <c:v>#N/A</c:v>
                </c:pt>
                <c:pt idx="102">
                  <c:v>#N/A</c:v>
                </c:pt>
                <c:pt idx="103">
                  <c:v>#N/A</c:v>
                </c:pt>
                <c:pt idx="104">
                  <c:v>#N/A</c:v>
                </c:pt>
                <c:pt idx="105">
                  <c:v>#N/A</c:v>
                </c:pt>
                <c:pt idx="106">
                  <c:v>#N/A</c:v>
                </c:pt>
                <c:pt idx="107">
                  <c:v>#N/A</c:v>
                </c:pt>
                <c:pt idx="108">
                  <c:v>#N/A</c:v>
                </c:pt>
                <c:pt idx="109">
                  <c:v>1.1839999999999999</c:v>
                </c:pt>
                <c:pt idx="110">
                  <c:v>#N/A</c:v>
                </c:pt>
                <c:pt idx="111">
                  <c:v>#N/A</c:v>
                </c:pt>
                <c:pt idx="112">
                  <c:v>1.2530000000000001</c:v>
                </c:pt>
                <c:pt idx="113">
                  <c:v>#N/A</c:v>
                </c:pt>
                <c:pt idx="114">
                  <c:v>1.2989999999999999</c:v>
                </c:pt>
                <c:pt idx="115">
                  <c:v>#N/A</c:v>
                </c:pt>
                <c:pt idx="116">
                  <c:v>1.345</c:v>
                </c:pt>
                <c:pt idx="117">
                  <c:v>#N/A</c:v>
                </c:pt>
                <c:pt idx="118">
                  <c:v>1.391</c:v>
                </c:pt>
                <c:pt idx="119">
                  <c:v>1.4139999999999999</c:v>
                </c:pt>
                <c:pt idx="120">
                  <c:v>#N/A</c:v>
                </c:pt>
                <c:pt idx="121">
                  <c:v>#N/A</c:v>
                </c:pt>
                <c:pt idx="122">
                  <c:v>#N/A</c:v>
                </c:pt>
                <c:pt idx="123">
                  <c:v>1.506</c:v>
                </c:pt>
                <c:pt idx="124">
                  <c:v>1.5289999999999999</c:v>
                </c:pt>
                <c:pt idx="125">
                  <c:v>#N/A</c:v>
                </c:pt>
                <c:pt idx="126">
                  <c:v>#N/A</c:v>
                </c:pt>
                <c:pt idx="127">
                  <c:v>1.5979999999999999</c:v>
                </c:pt>
                <c:pt idx="128">
                  <c:v>1.621</c:v>
                </c:pt>
                <c:pt idx="129">
                  <c:v>#N/A</c:v>
                </c:pt>
                <c:pt idx="130">
                  <c:v>#N/A</c:v>
                </c:pt>
                <c:pt idx="131">
                  <c:v>#N/A</c:v>
                </c:pt>
                <c:pt idx="132">
                  <c:v>#N/A</c:v>
                </c:pt>
                <c:pt idx="133">
                  <c:v>#N/A</c:v>
                </c:pt>
                <c:pt idx="134">
                  <c:v>#N/A</c:v>
                </c:pt>
                <c:pt idx="135">
                  <c:v>#N/A</c:v>
                </c:pt>
                <c:pt idx="136">
                  <c:v>1.0229999999999999</c:v>
                </c:pt>
                <c:pt idx="137">
                  <c:v>#N/A</c:v>
                </c:pt>
                <c:pt idx="138">
                  <c:v>#N/A</c:v>
                </c:pt>
                <c:pt idx="139">
                  <c:v>1.0920000000000001</c:v>
                </c:pt>
                <c:pt idx="140">
                  <c:v>#N/A</c:v>
                </c:pt>
                <c:pt idx="141">
                  <c:v>#N/A</c:v>
                </c:pt>
                <c:pt idx="142">
                  <c:v>1.161</c:v>
                </c:pt>
                <c:pt idx="143">
                  <c:v>1.1839999999999999</c:v>
                </c:pt>
                <c:pt idx="144">
                  <c:v>#N/A</c:v>
                </c:pt>
                <c:pt idx="145">
                  <c:v>1.23</c:v>
                </c:pt>
                <c:pt idx="146">
                  <c:v>1.2530000000000001</c:v>
                </c:pt>
                <c:pt idx="147">
                  <c:v>#N/A</c:v>
                </c:pt>
                <c:pt idx="148">
                  <c:v>#N/A</c:v>
                </c:pt>
                <c:pt idx="149">
                  <c:v>#N/A</c:v>
                </c:pt>
                <c:pt idx="150">
                  <c:v>#N/A</c:v>
                </c:pt>
                <c:pt idx="151">
                  <c:v>#N/A</c:v>
                </c:pt>
                <c:pt idx="152">
                  <c:v>#N/A</c:v>
                </c:pt>
                <c:pt idx="153">
                  <c:v>#N/A</c:v>
                </c:pt>
                <c:pt idx="154">
                  <c:v>1.4370000000000001</c:v>
                </c:pt>
                <c:pt idx="155">
                  <c:v>#N/A</c:v>
                </c:pt>
                <c:pt idx="156">
                  <c:v>#N/A</c:v>
                </c:pt>
                <c:pt idx="157">
                  <c:v>#N/A</c:v>
                </c:pt>
                <c:pt idx="158">
                  <c:v>#N/A</c:v>
                </c:pt>
                <c:pt idx="159">
                  <c:v>1.552</c:v>
                </c:pt>
                <c:pt idx="160">
                  <c:v>#N/A</c:v>
                </c:pt>
                <c:pt idx="161">
                  <c:v>#N/A</c:v>
                </c:pt>
                <c:pt idx="162">
                  <c:v>#N/A</c:v>
                </c:pt>
                <c:pt idx="163">
                  <c:v>#N/A</c:v>
                </c:pt>
                <c:pt idx="164">
                  <c:v>1.667</c:v>
                </c:pt>
                <c:pt idx="165">
                  <c:v>1.69</c:v>
                </c:pt>
                <c:pt idx="166">
                  <c:v>#N/A</c:v>
                </c:pt>
                <c:pt idx="167">
                  <c:v>1.736</c:v>
                </c:pt>
                <c:pt idx="168">
                  <c:v>1.7589999999999999</c:v>
                </c:pt>
                <c:pt idx="169">
                  <c:v>1</c:v>
                </c:pt>
                <c:pt idx="170">
                  <c:v>1.0229999999999999</c:v>
                </c:pt>
                <c:pt idx="171">
                  <c:v>#N/A</c:v>
                </c:pt>
                <c:pt idx="172">
                  <c:v>#N/A</c:v>
                </c:pt>
                <c:pt idx="173">
                  <c:v>1.0920000000000001</c:v>
                </c:pt>
                <c:pt idx="174">
                  <c:v>1.115</c:v>
                </c:pt>
                <c:pt idx="175">
                  <c:v>1.1379999999999999</c:v>
                </c:pt>
                <c:pt idx="176">
                  <c:v>#N/A</c:v>
                </c:pt>
                <c:pt idx="177">
                  <c:v>#N/A</c:v>
                </c:pt>
                <c:pt idx="178">
                  <c:v>1.2070000000000001</c:v>
                </c:pt>
                <c:pt idx="179">
                  <c:v>1.23</c:v>
                </c:pt>
                <c:pt idx="180">
                  <c:v>1.2530000000000001</c:v>
                </c:pt>
                <c:pt idx="181">
                  <c:v>1.276</c:v>
                </c:pt>
                <c:pt idx="182">
                  <c:v>#N/A</c:v>
                </c:pt>
                <c:pt idx="183">
                  <c:v>1.3220000000000001</c:v>
                </c:pt>
                <c:pt idx="184">
                  <c:v>#N/A</c:v>
                </c:pt>
                <c:pt idx="185">
                  <c:v>#N/A</c:v>
                </c:pt>
                <c:pt idx="186">
                  <c:v>#N/A</c:v>
                </c:pt>
                <c:pt idx="187">
                  <c:v>1.4139999999999999</c:v>
                </c:pt>
                <c:pt idx="188">
                  <c:v>1.4370000000000001</c:v>
                </c:pt>
                <c:pt idx="189">
                  <c:v>#N/A</c:v>
                </c:pt>
                <c:pt idx="190">
                  <c:v>#N/A</c:v>
                </c:pt>
                <c:pt idx="191">
                  <c:v>1.506</c:v>
                </c:pt>
                <c:pt idx="192">
                  <c:v>#N/A</c:v>
                </c:pt>
                <c:pt idx="193">
                  <c:v>#N/A</c:v>
                </c:pt>
                <c:pt idx="194">
                  <c:v>#N/A</c:v>
                </c:pt>
                <c:pt idx="195">
                  <c:v>#N/A</c:v>
                </c:pt>
                <c:pt idx="196">
                  <c:v>#N/A</c:v>
                </c:pt>
                <c:pt idx="197">
                  <c:v>1.6440000000000001</c:v>
                </c:pt>
                <c:pt idx="198">
                  <c:v>1.667</c:v>
                </c:pt>
                <c:pt idx="199">
                  <c:v>1.69</c:v>
                </c:pt>
                <c:pt idx="200">
                  <c:v>1.7130000000000001</c:v>
                </c:pt>
                <c:pt idx="201">
                  <c:v>#N/A</c:v>
                </c:pt>
                <c:pt idx="202">
                  <c:v>#N/A</c:v>
                </c:pt>
                <c:pt idx="203">
                  <c:v>#N/A</c:v>
                </c:pt>
                <c:pt idx="204">
                  <c:v>#N/A</c:v>
                </c:pt>
                <c:pt idx="205">
                  <c:v>#N/A</c:v>
                </c:pt>
                <c:pt idx="206">
                  <c:v>#N/A</c:v>
                </c:pt>
                <c:pt idx="207">
                  <c:v>#N/A</c:v>
                </c:pt>
                <c:pt idx="208">
                  <c:v>#N/A</c:v>
                </c:pt>
                <c:pt idx="209">
                  <c:v>#N/A</c:v>
                </c:pt>
                <c:pt idx="210">
                  <c:v>#N/A</c:v>
                </c:pt>
                <c:pt idx="211">
                  <c:v>1.1839999999999999</c:v>
                </c:pt>
                <c:pt idx="212">
                  <c:v>#N/A</c:v>
                </c:pt>
                <c:pt idx="213">
                  <c:v>1.23</c:v>
                </c:pt>
                <c:pt idx="214">
                  <c:v>1.2530000000000001</c:v>
                </c:pt>
                <c:pt idx="215">
                  <c:v>#N/A</c:v>
                </c:pt>
                <c:pt idx="216">
                  <c:v>#N/A</c:v>
                </c:pt>
                <c:pt idx="217">
                  <c:v>#N/A</c:v>
                </c:pt>
                <c:pt idx="218">
                  <c:v>#N/A</c:v>
                </c:pt>
                <c:pt idx="219">
                  <c:v>#N/A</c:v>
                </c:pt>
                <c:pt idx="220">
                  <c:v>1.391</c:v>
                </c:pt>
                <c:pt idx="221">
                  <c:v>1.4139999999999999</c:v>
                </c:pt>
                <c:pt idx="222">
                  <c:v>1.4370000000000001</c:v>
                </c:pt>
                <c:pt idx="223">
                  <c:v>#N/A</c:v>
                </c:pt>
                <c:pt idx="224">
                  <c:v>#N/A</c:v>
                </c:pt>
                <c:pt idx="225">
                  <c:v>1.506</c:v>
                </c:pt>
                <c:pt idx="226">
                  <c:v>1.5289999999999999</c:v>
                </c:pt>
                <c:pt idx="227">
                  <c:v>#N/A</c:v>
                </c:pt>
                <c:pt idx="228">
                  <c:v>#N/A</c:v>
                </c:pt>
                <c:pt idx="229">
                  <c:v>#N/A</c:v>
                </c:pt>
                <c:pt idx="230">
                  <c:v>#N/A</c:v>
                </c:pt>
                <c:pt idx="231">
                  <c:v>#N/A</c:v>
                </c:pt>
                <c:pt idx="232">
                  <c:v>#N/A</c:v>
                </c:pt>
                <c:pt idx="233">
                  <c:v>1.69</c:v>
                </c:pt>
                <c:pt idx="234">
                  <c:v>#N/A</c:v>
                </c:pt>
                <c:pt idx="235">
                  <c:v>#N/A</c:v>
                </c:pt>
                <c:pt idx="236">
                  <c:v>#N/A</c:v>
                </c:pt>
                <c:pt idx="237">
                  <c:v>#N/A</c:v>
                </c:pt>
                <c:pt idx="238">
                  <c:v>#N/A</c:v>
                </c:pt>
                <c:pt idx="239">
                  <c:v>#N/A</c:v>
                </c:pt>
                <c:pt idx="240">
                  <c:v>#N/A</c:v>
                </c:pt>
                <c:pt idx="241">
                  <c:v>1.0920000000000001</c:v>
                </c:pt>
                <c:pt idx="242">
                  <c:v>#N/A</c:v>
                </c:pt>
                <c:pt idx="243">
                  <c:v>#N/A</c:v>
                </c:pt>
                <c:pt idx="244">
                  <c:v>#N/A</c:v>
                </c:pt>
                <c:pt idx="245">
                  <c:v>#N/A</c:v>
                </c:pt>
                <c:pt idx="246">
                  <c:v>1.2070000000000001</c:v>
                </c:pt>
                <c:pt idx="247">
                  <c:v>#N/A</c:v>
                </c:pt>
                <c:pt idx="248">
                  <c:v>1.2530000000000001</c:v>
                </c:pt>
                <c:pt idx="249">
                  <c:v>1.276</c:v>
                </c:pt>
                <c:pt idx="250">
                  <c:v>#N/A</c:v>
                </c:pt>
                <c:pt idx="251">
                  <c:v>#N/A</c:v>
                </c:pt>
                <c:pt idx="252">
                  <c:v>1.345</c:v>
                </c:pt>
                <c:pt idx="253">
                  <c:v>1.3679999999999999</c:v>
                </c:pt>
                <c:pt idx="254">
                  <c:v>1.391</c:v>
                </c:pt>
                <c:pt idx="255">
                  <c:v>1.4139999999999999</c:v>
                </c:pt>
                <c:pt idx="256">
                  <c:v>#N/A</c:v>
                </c:pt>
                <c:pt idx="257">
                  <c:v>#N/A</c:v>
                </c:pt>
                <c:pt idx="258">
                  <c:v>1.4830000000000001</c:v>
                </c:pt>
                <c:pt idx="259">
                  <c:v>#N/A</c:v>
                </c:pt>
                <c:pt idx="260">
                  <c:v>#N/A</c:v>
                </c:pt>
                <c:pt idx="261">
                  <c:v>1.552</c:v>
                </c:pt>
                <c:pt idx="262">
                  <c:v>1.575</c:v>
                </c:pt>
                <c:pt idx="263">
                  <c:v>#N/A</c:v>
                </c:pt>
                <c:pt idx="264">
                  <c:v>#N/A</c:v>
                </c:pt>
                <c:pt idx="265">
                  <c:v>#N/A</c:v>
                </c:pt>
                <c:pt idx="266">
                  <c:v>#N/A</c:v>
                </c:pt>
                <c:pt idx="267">
                  <c:v>1.69</c:v>
                </c:pt>
                <c:pt idx="268">
                  <c:v>1.7130000000000001</c:v>
                </c:pt>
                <c:pt idx="269">
                  <c:v>1.736</c:v>
                </c:pt>
                <c:pt idx="270">
                  <c:v>#N/A</c:v>
                </c:pt>
                <c:pt idx="271">
                  <c:v>#N/A</c:v>
                </c:pt>
                <c:pt idx="272">
                  <c:v>#N/A</c:v>
                </c:pt>
                <c:pt idx="273">
                  <c:v>#N/A</c:v>
                </c:pt>
                <c:pt idx="274">
                  <c:v>#N/A</c:v>
                </c:pt>
                <c:pt idx="275">
                  <c:v>#N/A</c:v>
                </c:pt>
                <c:pt idx="276">
                  <c:v>#N/A</c:v>
                </c:pt>
                <c:pt idx="277">
                  <c:v>1.1379999999999999</c:v>
                </c:pt>
                <c:pt idx="278">
                  <c:v>1.161</c:v>
                </c:pt>
                <c:pt idx="279">
                  <c:v>#N/A</c:v>
                </c:pt>
                <c:pt idx="280">
                  <c:v>1.2070000000000001</c:v>
                </c:pt>
                <c:pt idx="281">
                  <c:v>#N/A</c:v>
                </c:pt>
                <c:pt idx="282">
                  <c:v>1.2530000000000001</c:v>
                </c:pt>
                <c:pt idx="283">
                  <c:v>#N/A</c:v>
                </c:pt>
                <c:pt idx="284">
                  <c:v>#N/A</c:v>
                </c:pt>
                <c:pt idx="285">
                  <c:v>#N/A</c:v>
                </c:pt>
                <c:pt idx="286">
                  <c:v>1.345</c:v>
                </c:pt>
                <c:pt idx="287">
                  <c:v>#N/A</c:v>
                </c:pt>
                <c:pt idx="288">
                  <c:v>1.391</c:v>
                </c:pt>
                <c:pt idx="289">
                  <c:v>1.4139999999999999</c:v>
                </c:pt>
                <c:pt idx="290">
                  <c:v>#N/A</c:v>
                </c:pt>
                <c:pt idx="291">
                  <c:v>#N/A</c:v>
                </c:pt>
                <c:pt idx="292">
                  <c:v>1.4830000000000001</c:v>
                </c:pt>
                <c:pt idx="293">
                  <c:v>1.506</c:v>
                </c:pt>
                <c:pt idx="294">
                  <c:v>#N/A</c:v>
                </c:pt>
                <c:pt idx="295">
                  <c:v>#N/A</c:v>
                </c:pt>
                <c:pt idx="296">
                  <c:v>1.575</c:v>
                </c:pt>
                <c:pt idx="297">
                  <c:v>#N/A</c:v>
                </c:pt>
                <c:pt idx="298">
                  <c:v>1.621</c:v>
                </c:pt>
                <c:pt idx="299">
                  <c:v>1.6440000000000001</c:v>
                </c:pt>
                <c:pt idx="300">
                  <c:v>#N/A</c:v>
                </c:pt>
                <c:pt idx="301">
                  <c:v>#N/A</c:v>
                </c:pt>
                <c:pt idx="302">
                  <c:v>#N/A</c:v>
                </c:pt>
                <c:pt idx="303">
                  <c:v>1.736</c:v>
                </c:pt>
                <c:pt idx="304">
                  <c:v>1.7589999999999999</c:v>
                </c:pt>
                <c:pt idx="305">
                  <c:v>1</c:v>
                </c:pt>
                <c:pt idx="306">
                  <c:v>1.0229999999999999</c:v>
                </c:pt>
                <c:pt idx="307">
                  <c:v>1.046</c:v>
                </c:pt>
                <c:pt idx="308">
                  <c:v>#N/A</c:v>
                </c:pt>
                <c:pt idx="309">
                  <c:v>#N/A</c:v>
                </c:pt>
                <c:pt idx="310">
                  <c:v>1.115</c:v>
                </c:pt>
                <c:pt idx="311">
                  <c:v>#N/A</c:v>
                </c:pt>
                <c:pt idx="312">
                  <c:v>1.161</c:v>
                </c:pt>
                <c:pt idx="313">
                  <c:v>1.1839999999999999</c:v>
                </c:pt>
                <c:pt idx="314">
                  <c:v>1.2070000000000001</c:v>
                </c:pt>
                <c:pt idx="315">
                  <c:v>#N/A</c:v>
                </c:pt>
                <c:pt idx="316">
                  <c:v>1.2530000000000001</c:v>
                </c:pt>
                <c:pt idx="317">
                  <c:v>1.276</c:v>
                </c:pt>
                <c:pt idx="318">
                  <c:v>1.2989999999999999</c:v>
                </c:pt>
                <c:pt idx="319">
                  <c:v>1.3220000000000001</c:v>
                </c:pt>
                <c:pt idx="320">
                  <c:v>1.345</c:v>
                </c:pt>
                <c:pt idx="321">
                  <c:v>#N/A</c:v>
                </c:pt>
                <c:pt idx="322">
                  <c:v>1.391</c:v>
                </c:pt>
                <c:pt idx="323">
                  <c:v>1.4139999999999999</c:v>
                </c:pt>
                <c:pt idx="324">
                  <c:v>#N/A</c:v>
                </c:pt>
                <c:pt idx="325">
                  <c:v>1.46</c:v>
                </c:pt>
                <c:pt idx="326">
                  <c:v>1.4830000000000001</c:v>
                </c:pt>
                <c:pt idx="327">
                  <c:v>#N/A</c:v>
                </c:pt>
                <c:pt idx="328">
                  <c:v>#N/A</c:v>
                </c:pt>
                <c:pt idx="329">
                  <c:v>1.552</c:v>
                </c:pt>
                <c:pt idx="330">
                  <c:v>1.575</c:v>
                </c:pt>
                <c:pt idx="331">
                  <c:v>1.5979999999999999</c:v>
                </c:pt>
                <c:pt idx="332">
                  <c:v>1.621</c:v>
                </c:pt>
                <c:pt idx="333">
                  <c:v>#N/A</c:v>
                </c:pt>
                <c:pt idx="334">
                  <c:v>#N/A</c:v>
                </c:pt>
                <c:pt idx="335">
                  <c:v>#N/A</c:v>
                </c:pt>
                <c:pt idx="336">
                  <c:v>1.7130000000000001</c:v>
                </c:pt>
                <c:pt idx="337">
                  <c:v>1.736</c:v>
                </c:pt>
                <c:pt idx="338">
                  <c:v>1.7589999999999999</c:v>
                </c:pt>
                <c:pt idx="339">
                  <c:v>#N/A</c:v>
                </c:pt>
                <c:pt idx="340">
                  <c:v>#N/A</c:v>
                </c:pt>
                <c:pt idx="341">
                  <c:v>1.046</c:v>
                </c:pt>
                <c:pt idx="342">
                  <c:v>#N/A</c:v>
                </c:pt>
                <c:pt idx="343">
                  <c:v>1.0920000000000001</c:v>
                </c:pt>
                <c:pt idx="344">
                  <c:v>#N/A</c:v>
                </c:pt>
                <c:pt idx="345">
                  <c:v>1.1379999999999999</c:v>
                </c:pt>
                <c:pt idx="346">
                  <c:v>1.161</c:v>
                </c:pt>
                <c:pt idx="347">
                  <c:v>1.1839999999999999</c:v>
                </c:pt>
                <c:pt idx="348">
                  <c:v>#N/A</c:v>
                </c:pt>
                <c:pt idx="349">
                  <c:v>1.23</c:v>
                </c:pt>
                <c:pt idx="350">
                  <c:v>1.2530000000000001</c:v>
                </c:pt>
                <c:pt idx="351">
                  <c:v>1.276</c:v>
                </c:pt>
                <c:pt idx="352">
                  <c:v>1.2989999999999999</c:v>
                </c:pt>
                <c:pt idx="353">
                  <c:v>1.3220000000000001</c:v>
                </c:pt>
                <c:pt idx="354">
                  <c:v>1.345</c:v>
                </c:pt>
                <c:pt idx="355">
                  <c:v>#N/A</c:v>
                </c:pt>
                <c:pt idx="356">
                  <c:v>1.391</c:v>
                </c:pt>
                <c:pt idx="357">
                  <c:v>1.4139999999999999</c:v>
                </c:pt>
                <c:pt idx="358">
                  <c:v>1.4370000000000001</c:v>
                </c:pt>
                <c:pt idx="359">
                  <c:v>1.46</c:v>
                </c:pt>
                <c:pt idx="360">
                  <c:v>#N/A</c:v>
                </c:pt>
                <c:pt idx="361">
                  <c:v>#N/A</c:v>
                </c:pt>
                <c:pt idx="362">
                  <c:v>1.5289999999999999</c:v>
                </c:pt>
                <c:pt idx="363">
                  <c:v>#N/A</c:v>
                </c:pt>
                <c:pt idx="364">
                  <c:v>#N/A</c:v>
                </c:pt>
                <c:pt idx="365">
                  <c:v>#N/A</c:v>
                </c:pt>
                <c:pt idx="366">
                  <c:v>1.621</c:v>
                </c:pt>
                <c:pt idx="367">
                  <c:v>#N/A</c:v>
                </c:pt>
                <c:pt idx="368">
                  <c:v>1.667</c:v>
                </c:pt>
                <c:pt idx="369">
                  <c:v>#N/A</c:v>
                </c:pt>
                <c:pt idx="370">
                  <c:v>1.7130000000000001</c:v>
                </c:pt>
                <c:pt idx="371">
                  <c:v>#N/A</c:v>
                </c:pt>
                <c:pt idx="372">
                  <c:v>1.7589999999999999</c:v>
                </c:pt>
                <c:pt idx="373">
                  <c:v>1</c:v>
                </c:pt>
                <c:pt idx="374">
                  <c:v>1.0229999999999999</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1.345</c:v>
                </c:pt>
                <c:pt idx="389">
                  <c:v>1.3679999999999999</c:v>
                </c:pt>
                <c:pt idx="390">
                  <c:v>#N/A</c:v>
                </c:pt>
                <c:pt idx="391">
                  <c:v>1.4139999999999999</c:v>
                </c:pt>
                <c:pt idx="392">
                  <c:v>#N/A</c:v>
                </c:pt>
                <c:pt idx="393">
                  <c:v>1.46</c:v>
                </c:pt>
                <c:pt idx="394">
                  <c:v>#N/A</c:v>
                </c:pt>
                <c:pt idx="395">
                  <c:v>1.506</c:v>
                </c:pt>
                <c:pt idx="396">
                  <c:v>#N/A</c:v>
                </c:pt>
                <c:pt idx="397">
                  <c:v>1.552</c:v>
                </c:pt>
                <c:pt idx="398">
                  <c:v>#N/A</c:v>
                </c:pt>
                <c:pt idx="399">
                  <c:v>1.5979999999999999</c:v>
                </c:pt>
                <c:pt idx="400">
                  <c:v>#N/A</c:v>
                </c:pt>
                <c:pt idx="401">
                  <c:v>#N/A</c:v>
                </c:pt>
                <c:pt idx="402">
                  <c:v>#N/A</c:v>
                </c:pt>
                <c:pt idx="403">
                  <c:v>#N/A</c:v>
                </c:pt>
                <c:pt idx="404">
                  <c:v>1.7130000000000001</c:v>
                </c:pt>
                <c:pt idx="405">
                  <c:v>#N/A</c:v>
                </c:pt>
                <c:pt idx="406">
                  <c:v>#N/A</c:v>
                </c:pt>
                <c:pt idx="407">
                  <c:v>#N/A</c:v>
                </c:pt>
                <c:pt idx="408">
                  <c:v>1.0229999999999999</c:v>
                </c:pt>
                <c:pt idx="409">
                  <c:v>#N/A</c:v>
                </c:pt>
                <c:pt idx="410">
                  <c:v>#N/A</c:v>
                </c:pt>
                <c:pt idx="411">
                  <c:v>#N/A</c:v>
                </c:pt>
                <c:pt idx="412">
                  <c:v>1.115</c:v>
                </c:pt>
                <c:pt idx="413">
                  <c:v>#N/A</c:v>
                </c:pt>
                <c:pt idx="414">
                  <c:v>#N/A</c:v>
                </c:pt>
                <c:pt idx="415">
                  <c:v>#N/A</c:v>
                </c:pt>
                <c:pt idx="416">
                  <c:v>#N/A</c:v>
                </c:pt>
                <c:pt idx="417">
                  <c:v>#N/A</c:v>
                </c:pt>
                <c:pt idx="418">
                  <c:v>1.2530000000000001</c:v>
                </c:pt>
                <c:pt idx="419">
                  <c:v>#N/A</c:v>
                </c:pt>
                <c:pt idx="420">
                  <c:v>#N/A</c:v>
                </c:pt>
                <c:pt idx="421">
                  <c:v>#N/A</c:v>
                </c:pt>
                <c:pt idx="422">
                  <c:v>1.345</c:v>
                </c:pt>
                <c:pt idx="423">
                  <c:v>#N/A</c:v>
                </c:pt>
                <c:pt idx="424">
                  <c:v>#N/A</c:v>
                </c:pt>
                <c:pt idx="425">
                  <c:v>#N/A</c:v>
                </c:pt>
                <c:pt idx="426">
                  <c:v>#N/A</c:v>
                </c:pt>
                <c:pt idx="427">
                  <c:v>1.46</c:v>
                </c:pt>
                <c:pt idx="428">
                  <c:v>#N/A</c:v>
                </c:pt>
                <c:pt idx="429">
                  <c:v>1.506</c:v>
                </c:pt>
                <c:pt idx="430">
                  <c:v>1.5289999999999999</c:v>
                </c:pt>
                <c:pt idx="431">
                  <c:v>1.552</c:v>
                </c:pt>
                <c:pt idx="432">
                  <c:v>1.575</c:v>
                </c:pt>
                <c:pt idx="433">
                  <c:v>#N/A</c:v>
                </c:pt>
                <c:pt idx="434">
                  <c:v>1.621</c:v>
                </c:pt>
                <c:pt idx="435">
                  <c:v>1.6440000000000001</c:v>
                </c:pt>
                <c:pt idx="436">
                  <c:v>#N/A</c:v>
                </c:pt>
                <c:pt idx="437">
                  <c:v>1.69</c:v>
                </c:pt>
                <c:pt idx="438">
                  <c:v>#N/A</c:v>
                </c:pt>
                <c:pt idx="439">
                  <c:v>1.736</c:v>
                </c:pt>
                <c:pt idx="440">
                  <c:v>#N/A</c:v>
                </c:pt>
                <c:pt idx="441">
                  <c:v>#N/A</c:v>
                </c:pt>
                <c:pt idx="442">
                  <c:v>#N/A</c:v>
                </c:pt>
                <c:pt idx="443">
                  <c:v>#N/A</c:v>
                </c:pt>
                <c:pt idx="444">
                  <c:v>#N/A</c:v>
                </c:pt>
                <c:pt idx="445">
                  <c:v>1.0920000000000001</c:v>
                </c:pt>
                <c:pt idx="446">
                  <c:v>1.115</c:v>
                </c:pt>
                <c:pt idx="447">
                  <c:v>#N/A</c:v>
                </c:pt>
                <c:pt idx="448">
                  <c:v>1.161</c:v>
                </c:pt>
                <c:pt idx="449">
                  <c:v>#N/A</c:v>
                </c:pt>
                <c:pt idx="450">
                  <c:v>#N/A</c:v>
                </c:pt>
                <c:pt idx="451">
                  <c:v>#N/A</c:v>
                </c:pt>
                <c:pt idx="452">
                  <c:v>#N/A</c:v>
                </c:pt>
                <c:pt idx="453">
                  <c:v>1.276</c:v>
                </c:pt>
                <c:pt idx="454">
                  <c:v>1.2989999999999999</c:v>
                </c:pt>
                <c:pt idx="455">
                  <c:v>#N/A</c:v>
                </c:pt>
                <c:pt idx="456">
                  <c:v>#N/A</c:v>
                </c:pt>
                <c:pt idx="457">
                  <c:v>#N/A</c:v>
                </c:pt>
                <c:pt idx="458">
                  <c:v>#N/A</c:v>
                </c:pt>
                <c:pt idx="459">
                  <c:v>#N/A</c:v>
                </c:pt>
                <c:pt idx="460">
                  <c:v>#N/A</c:v>
                </c:pt>
                <c:pt idx="461">
                  <c:v>#N/A</c:v>
                </c:pt>
                <c:pt idx="462">
                  <c:v>#N/A</c:v>
                </c:pt>
                <c:pt idx="463">
                  <c:v>1.506</c:v>
                </c:pt>
                <c:pt idx="464">
                  <c:v>1.5289999999999999</c:v>
                </c:pt>
                <c:pt idx="465">
                  <c:v>#N/A</c:v>
                </c:pt>
                <c:pt idx="466">
                  <c:v>1.575</c:v>
                </c:pt>
                <c:pt idx="467">
                  <c:v>1.5979999999999999</c:v>
                </c:pt>
                <c:pt idx="468">
                  <c:v>1.621</c:v>
                </c:pt>
                <c:pt idx="469">
                  <c:v>1.6440000000000001</c:v>
                </c:pt>
                <c:pt idx="470">
                  <c:v>#N/A</c:v>
                </c:pt>
                <c:pt idx="471">
                  <c:v>1.69</c:v>
                </c:pt>
                <c:pt idx="472">
                  <c:v>#N/A</c:v>
                </c:pt>
                <c:pt idx="473">
                  <c:v>#N/A</c:v>
                </c:pt>
                <c:pt idx="474">
                  <c:v>1.7589999999999999</c:v>
                </c:pt>
                <c:pt idx="475">
                  <c:v>1</c:v>
                </c:pt>
                <c:pt idx="476">
                  <c:v>1.0229999999999999</c:v>
                </c:pt>
                <c:pt idx="477">
                  <c:v>1.046</c:v>
                </c:pt>
                <c:pt idx="478">
                  <c:v>#N/A</c:v>
                </c:pt>
                <c:pt idx="479">
                  <c:v>1.0920000000000001</c:v>
                </c:pt>
                <c:pt idx="480">
                  <c:v>1.115</c:v>
                </c:pt>
                <c:pt idx="481">
                  <c:v>#N/A</c:v>
                </c:pt>
                <c:pt idx="482">
                  <c:v>#N/A</c:v>
                </c:pt>
                <c:pt idx="483">
                  <c:v>#N/A</c:v>
                </c:pt>
                <c:pt idx="484">
                  <c:v>1.2070000000000001</c:v>
                </c:pt>
                <c:pt idx="485">
                  <c:v>#N/A</c:v>
                </c:pt>
                <c:pt idx="486">
                  <c:v>1.2530000000000001</c:v>
                </c:pt>
                <c:pt idx="487">
                  <c:v>#N/A</c:v>
                </c:pt>
                <c:pt idx="488">
                  <c:v>1.2989999999999999</c:v>
                </c:pt>
                <c:pt idx="489">
                  <c:v>1.3220000000000001</c:v>
                </c:pt>
                <c:pt idx="490">
                  <c:v>1.345</c:v>
                </c:pt>
                <c:pt idx="491">
                  <c:v>1.3679999999999999</c:v>
                </c:pt>
                <c:pt idx="492">
                  <c:v>1.391</c:v>
                </c:pt>
                <c:pt idx="493">
                  <c:v>#N/A</c:v>
                </c:pt>
                <c:pt idx="494">
                  <c:v>1.4370000000000001</c:v>
                </c:pt>
                <c:pt idx="495">
                  <c:v>1.46</c:v>
                </c:pt>
                <c:pt idx="496">
                  <c:v>1.4830000000000001</c:v>
                </c:pt>
                <c:pt idx="497">
                  <c:v>1.506</c:v>
                </c:pt>
                <c:pt idx="498">
                  <c:v>#N/A</c:v>
                </c:pt>
                <c:pt idx="499">
                  <c:v>#N/A</c:v>
                </c:pt>
                <c:pt idx="500">
                  <c:v>1.575</c:v>
                </c:pt>
                <c:pt idx="501">
                  <c:v>1.5979999999999999</c:v>
                </c:pt>
                <c:pt idx="502">
                  <c:v>1.621</c:v>
                </c:pt>
                <c:pt idx="503">
                  <c:v>1.6440000000000001</c:v>
                </c:pt>
                <c:pt idx="504">
                  <c:v>#N/A</c:v>
                </c:pt>
                <c:pt idx="505">
                  <c:v>1.69</c:v>
                </c:pt>
                <c:pt idx="506">
                  <c:v>#N/A</c:v>
                </c:pt>
                <c:pt idx="507">
                  <c:v>1.736</c:v>
                </c:pt>
                <c:pt idx="508">
                  <c:v>#N/A</c:v>
                </c:pt>
                <c:pt idx="509">
                  <c:v>#N/A</c:v>
                </c:pt>
                <c:pt idx="510">
                  <c:v>1.0229999999999999</c:v>
                </c:pt>
                <c:pt idx="511">
                  <c:v>1.046</c:v>
                </c:pt>
                <c:pt idx="512">
                  <c:v>#N/A</c:v>
                </c:pt>
                <c:pt idx="513">
                  <c:v>1.0920000000000001</c:v>
                </c:pt>
                <c:pt idx="514">
                  <c:v>#N/A</c:v>
                </c:pt>
                <c:pt idx="515">
                  <c:v>1.1379999999999999</c:v>
                </c:pt>
                <c:pt idx="516">
                  <c:v>1.161</c:v>
                </c:pt>
                <c:pt idx="517">
                  <c:v>1.1839999999999999</c:v>
                </c:pt>
                <c:pt idx="518">
                  <c:v>1.2070000000000001</c:v>
                </c:pt>
                <c:pt idx="519">
                  <c:v>#N/A</c:v>
                </c:pt>
                <c:pt idx="520">
                  <c:v>#N/A</c:v>
                </c:pt>
                <c:pt idx="521">
                  <c:v>#N/A</c:v>
                </c:pt>
                <c:pt idx="522">
                  <c:v>#N/A</c:v>
                </c:pt>
                <c:pt idx="523">
                  <c:v>#N/A</c:v>
                </c:pt>
                <c:pt idx="524">
                  <c:v>1.345</c:v>
                </c:pt>
                <c:pt idx="525">
                  <c:v>#N/A</c:v>
                </c:pt>
                <c:pt idx="526">
                  <c:v>#N/A</c:v>
                </c:pt>
                <c:pt idx="527">
                  <c:v>#N/A</c:v>
                </c:pt>
                <c:pt idx="528">
                  <c:v>1.4370000000000001</c:v>
                </c:pt>
                <c:pt idx="529">
                  <c:v>1.46</c:v>
                </c:pt>
                <c:pt idx="530">
                  <c:v>#N/A</c:v>
                </c:pt>
                <c:pt idx="531">
                  <c:v>#N/A</c:v>
                </c:pt>
                <c:pt idx="532">
                  <c:v>#N/A</c:v>
                </c:pt>
                <c:pt idx="533">
                  <c:v>#N/A</c:v>
                </c:pt>
                <c:pt idx="534">
                  <c:v>1.575</c:v>
                </c:pt>
                <c:pt idx="535">
                  <c:v>#N/A</c:v>
                </c:pt>
                <c:pt idx="536">
                  <c:v>1.621</c:v>
                </c:pt>
                <c:pt idx="537">
                  <c:v>#N/A</c:v>
                </c:pt>
                <c:pt idx="538">
                  <c:v>1.667</c:v>
                </c:pt>
                <c:pt idx="539">
                  <c:v>#N/A</c:v>
                </c:pt>
                <c:pt idx="540">
                  <c:v>#N/A</c:v>
                </c:pt>
                <c:pt idx="541">
                  <c:v>#N/A</c:v>
                </c:pt>
                <c:pt idx="542">
                  <c:v>#N/A</c:v>
                </c:pt>
                <c:pt idx="543">
                  <c:v>1</c:v>
                </c:pt>
                <c:pt idx="544">
                  <c:v>1.0229999999999999</c:v>
                </c:pt>
                <c:pt idx="545">
                  <c:v>1.046</c:v>
                </c:pt>
                <c:pt idx="546">
                  <c:v>#N/A</c:v>
                </c:pt>
                <c:pt idx="547">
                  <c:v>#N/A</c:v>
                </c:pt>
                <c:pt idx="548">
                  <c:v>#N/A</c:v>
                </c:pt>
                <c:pt idx="549">
                  <c:v>#N/A</c:v>
                </c:pt>
                <c:pt idx="550">
                  <c:v>#N/A</c:v>
                </c:pt>
                <c:pt idx="551">
                  <c:v>#N/A</c:v>
                </c:pt>
                <c:pt idx="552">
                  <c:v>#N/A</c:v>
                </c:pt>
                <c:pt idx="553">
                  <c:v>1.23</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1.552</c:v>
                </c:pt>
                <c:pt idx="568">
                  <c:v>#N/A</c:v>
                </c:pt>
                <c:pt idx="569">
                  <c:v>1.5979999999999999</c:v>
                </c:pt>
                <c:pt idx="570">
                  <c:v>#N/A</c:v>
                </c:pt>
                <c:pt idx="571">
                  <c:v>#N/A</c:v>
                </c:pt>
                <c:pt idx="572">
                  <c:v>1.667</c:v>
                </c:pt>
                <c:pt idx="573">
                  <c:v>#N/A</c:v>
                </c:pt>
                <c:pt idx="574">
                  <c:v>#N/A</c:v>
                </c:pt>
                <c:pt idx="575">
                  <c:v>#N/A</c:v>
                </c:pt>
                <c:pt idx="576">
                  <c:v>1.7589999999999999</c:v>
                </c:pt>
                <c:pt idx="577">
                  <c:v>1</c:v>
                </c:pt>
                <c:pt idx="578">
                  <c:v>#N/A</c:v>
                </c:pt>
                <c:pt idx="579">
                  <c:v>1.046</c:v>
                </c:pt>
                <c:pt idx="580">
                  <c:v>1.069</c:v>
                </c:pt>
                <c:pt idx="581">
                  <c:v>1.0920000000000001</c:v>
                </c:pt>
                <c:pt idx="582">
                  <c:v>1.115</c:v>
                </c:pt>
                <c:pt idx="583">
                  <c:v>1.1379999999999999</c:v>
                </c:pt>
                <c:pt idx="584">
                  <c:v>#N/A</c:v>
                </c:pt>
                <c:pt idx="585">
                  <c:v>1.1839999999999999</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1.46</c:v>
                </c:pt>
                <c:pt idx="598">
                  <c:v>1.4830000000000001</c:v>
                </c:pt>
                <c:pt idx="599">
                  <c:v>1.506</c:v>
                </c:pt>
                <c:pt idx="600">
                  <c:v>1.5289999999999999</c:v>
                </c:pt>
                <c:pt idx="601">
                  <c:v>#N/A</c:v>
                </c:pt>
                <c:pt idx="602">
                  <c:v>1.575</c:v>
                </c:pt>
                <c:pt idx="603">
                  <c:v>1.5979999999999999</c:v>
                </c:pt>
                <c:pt idx="604">
                  <c:v>#N/A</c:v>
                </c:pt>
                <c:pt idx="605">
                  <c:v>#N/A</c:v>
                </c:pt>
                <c:pt idx="606">
                  <c:v>#N/A</c:v>
                </c:pt>
                <c:pt idx="607">
                  <c:v>1.69</c:v>
                </c:pt>
                <c:pt idx="608">
                  <c:v>1.7130000000000001</c:v>
                </c:pt>
                <c:pt idx="609">
                  <c:v>#N/A</c:v>
                </c:pt>
                <c:pt idx="610">
                  <c:v>1.7589999999999999</c:v>
                </c:pt>
                <c:pt idx="611">
                  <c:v>1</c:v>
                </c:pt>
                <c:pt idx="612">
                  <c:v>1.0229999999999999</c:v>
                </c:pt>
                <c:pt idx="613">
                  <c:v>#N/A</c:v>
                </c:pt>
                <c:pt idx="614">
                  <c:v>#N/A</c:v>
                </c:pt>
                <c:pt idx="615">
                  <c:v>#N/A</c:v>
                </c:pt>
                <c:pt idx="616">
                  <c:v>#N/A</c:v>
                </c:pt>
                <c:pt idx="617">
                  <c:v>1.1379999999999999</c:v>
                </c:pt>
                <c:pt idx="618">
                  <c:v>#N/A</c:v>
                </c:pt>
                <c:pt idx="619">
                  <c:v>#N/A</c:v>
                </c:pt>
                <c:pt idx="620">
                  <c:v>#N/A</c:v>
                </c:pt>
                <c:pt idx="621">
                  <c:v>#N/A</c:v>
                </c:pt>
                <c:pt idx="622">
                  <c:v>#N/A</c:v>
                </c:pt>
                <c:pt idx="623">
                  <c:v>#N/A</c:v>
                </c:pt>
                <c:pt idx="624">
                  <c:v>#N/A</c:v>
                </c:pt>
                <c:pt idx="625">
                  <c:v>#N/A</c:v>
                </c:pt>
                <c:pt idx="626">
                  <c:v>#N/A</c:v>
                </c:pt>
                <c:pt idx="627">
                  <c:v>1.3679999999999999</c:v>
                </c:pt>
                <c:pt idx="628">
                  <c:v>#N/A</c:v>
                </c:pt>
                <c:pt idx="629">
                  <c:v>#N/A</c:v>
                </c:pt>
                <c:pt idx="630">
                  <c:v>#N/A</c:v>
                </c:pt>
                <c:pt idx="631">
                  <c:v>#N/A</c:v>
                </c:pt>
                <c:pt idx="632">
                  <c:v>#N/A</c:v>
                </c:pt>
                <c:pt idx="633">
                  <c:v>1.506</c:v>
                </c:pt>
                <c:pt idx="634">
                  <c:v>1.5289999999999999</c:v>
                </c:pt>
                <c:pt idx="635">
                  <c:v>1.552</c:v>
                </c:pt>
                <c:pt idx="636">
                  <c:v>1.575</c:v>
                </c:pt>
                <c:pt idx="637">
                  <c:v>1.5979999999999999</c:v>
                </c:pt>
                <c:pt idx="638">
                  <c:v>1.621</c:v>
                </c:pt>
                <c:pt idx="639">
                  <c:v>#N/A</c:v>
                </c:pt>
                <c:pt idx="640">
                  <c:v>1.667</c:v>
                </c:pt>
                <c:pt idx="641">
                  <c:v>1.69</c:v>
                </c:pt>
                <c:pt idx="642">
                  <c:v>1.7130000000000001</c:v>
                </c:pt>
                <c:pt idx="643">
                  <c:v>#N/A</c:v>
                </c:pt>
                <c:pt idx="644">
                  <c:v>#N/A</c:v>
                </c:pt>
                <c:pt idx="645">
                  <c:v>1</c:v>
                </c:pt>
                <c:pt idx="646">
                  <c:v>1.0229999999999999</c:v>
                </c:pt>
                <c:pt idx="647">
                  <c:v>#N/A</c:v>
                </c:pt>
                <c:pt idx="648">
                  <c:v>1.069</c:v>
                </c:pt>
                <c:pt idx="649">
                  <c:v>#N/A</c:v>
                </c:pt>
                <c:pt idx="650">
                  <c:v>#N/A</c:v>
                </c:pt>
                <c:pt idx="651">
                  <c:v>#N/A</c:v>
                </c:pt>
                <c:pt idx="652">
                  <c:v>#N/A</c:v>
                </c:pt>
                <c:pt idx="653">
                  <c:v>#N/A</c:v>
                </c:pt>
                <c:pt idx="654">
                  <c:v>#N/A</c:v>
                </c:pt>
                <c:pt idx="655">
                  <c:v>#N/A</c:v>
                </c:pt>
                <c:pt idx="656">
                  <c:v>#N/A</c:v>
                </c:pt>
                <c:pt idx="657">
                  <c:v>#N/A</c:v>
                </c:pt>
                <c:pt idx="658">
                  <c:v>1.2989999999999999</c:v>
                </c:pt>
                <c:pt idx="659">
                  <c:v>#N/A</c:v>
                </c:pt>
                <c:pt idx="660">
                  <c:v>1.345</c:v>
                </c:pt>
                <c:pt idx="661">
                  <c:v>#N/A</c:v>
                </c:pt>
                <c:pt idx="662">
                  <c:v>#N/A</c:v>
                </c:pt>
                <c:pt idx="663">
                  <c:v>1.4139999999999999</c:v>
                </c:pt>
                <c:pt idx="664">
                  <c:v>1.4370000000000001</c:v>
                </c:pt>
                <c:pt idx="665">
                  <c:v>1.46</c:v>
                </c:pt>
                <c:pt idx="666">
                  <c:v>#N/A</c:v>
                </c:pt>
                <c:pt idx="667">
                  <c:v>#N/A</c:v>
                </c:pt>
                <c:pt idx="668">
                  <c:v>1.5289999999999999</c:v>
                </c:pt>
                <c:pt idx="669">
                  <c:v>#N/A</c:v>
                </c:pt>
                <c:pt idx="670">
                  <c:v>#N/A</c:v>
                </c:pt>
                <c:pt idx="671">
                  <c:v>#N/A</c:v>
                </c:pt>
                <c:pt idx="672">
                  <c:v>1.621</c:v>
                </c:pt>
                <c:pt idx="673">
                  <c:v>#N/A</c:v>
                </c:pt>
                <c:pt idx="674">
                  <c:v>#N/A</c:v>
                </c:pt>
                <c:pt idx="675">
                  <c:v>#N/A</c:v>
                </c:pt>
                <c:pt idx="676">
                  <c:v>1.7130000000000001</c:v>
                </c:pt>
                <c:pt idx="677">
                  <c:v>1.736</c:v>
                </c:pt>
                <c:pt idx="678">
                  <c:v>#N/A</c:v>
                </c:pt>
                <c:pt idx="679">
                  <c:v>#N/A</c:v>
                </c:pt>
                <c:pt idx="680">
                  <c:v>#N/A</c:v>
                </c:pt>
                <c:pt idx="681">
                  <c:v>#N/A</c:v>
                </c:pt>
                <c:pt idx="682">
                  <c:v>1.069</c:v>
                </c:pt>
                <c:pt idx="683">
                  <c:v>1.0920000000000001</c:v>
                </c:pt>
                <c:pt idx="684">
                  <c:v>1.115</c:v>
                </c:pt>
                <c:pt idx="685">
                  <c:v>#N/A</c:v>
                </c:pt>
                <c:pt idx="686">
                  <c:v>1.161</c:v>
                </c:pt>
                <c:pt idx="687">
                  <c:v>1.1839999999999999</c:v>
                </c:pt>
                <c:pt idx="688">
                  <c:v>#N/A</c:v>
                </c:pt>
                <c:pt idx="689">
                  <c:v>#N/A</c:v>
                </c:pt>
                <c:pt idx="690">
                  <c:v>1.2530000000000001</c:v>
                </c:pt>
                <c:pt idx="691">
                  <c:v>1.276</c:v>
                </c:pt>
                <c:pt idx="692">
                  <c:v>1.2989999999999999</c:v>
                </c:pt>
                <c:pt idx="693">
                  <c:v>#N/A</c:v>
                </c:pt>
                <c:pt idx="694">
                  <c:v>1.345</c:v>
                </c:pt>
                <c:pt idx="695">
                  <c:v>1.3679999999999999</c:v>
                </c:pt>
                <c:pt idx="696">
                  <c:v>1.391</c:v>
                </c:pt>
                <c:pt idx="697">
                  <c:v>#N/A</c:v>
                </c:pt>
                <c:pt idx="698">
                  <c:v>1.4370000000000001</c:v>
                </c:pt>
                <c:pt idx="699">
                  <c:v>#N/A</c:v>
                </c:pt>
                <c:pt idx="700">
                  <c:v>1.4830000000000001</c:v>
                </c:pt>
                <c:pt idx="701">
                  <c:v>1.506</c:v>
                </c:pt>
                <c:pt idx="702">
                  <c:v>1.5289999999999999</c:v>
                </c:pt>
                <c:pt idx="703">
                  <c:v>#N/A</c:v>
                </c:pt>
                <c:pt idx="704">
                  <c:v>#N/A</c:v>
                </c:pt>
                <c:pt idx="705">
                  <c:v>1.5979999999999999</c:v>
                </c:pt>
                <c:pt idx="706">
                  <c:v>#N/A</c:v>
                </c:pt>
                <c:pt idx="707">
                  <c:v>#N/A</c:v>
                </c:pt>
                <c:pt idx="708">
                  <c:v>1.667</c:v>
                </c:pt>
                <c:pt idx="709">
                  <c:v>#N/A</c:v>
                </c:pt>
                <c:pt idx="710">
                  <c:v>1.7130000000000001</c:v>
                </c:pt>
                <c:pt idx="711">
                  <c:v>1.736</c:v>
                </c:pt>
                <c:pt idx="712">
                  <c:v>1.7589999999999999</c:v>
                </c:pt>
                <c:pt idx="713">
                  <c:v>#N/A</c:v>
                </c:pt>
                <c:pt idx="714">
                  <c:v>#N/A</c:v>
                </c:pt>
                <c:pt idx="715">
                  <c:v>#N/A</c:v>
                </c:pt>
                <c:pt idx="716">
                  <c:v>#N/A</c:v>
                </c:pt>
                <c:pt idx="717">
                  <c:v>1.0920000000000001</c:v>
                </c:pt>
                <c:pt idx="718">
                  <c:v>#N/A</c:v>
                </c:pt>
                <c:pt idx="719">
                  <c:v>1.1379999999999999</c:v>
                </c:pt>
                <c:pt idx="720">
                  <c:v>1.161</c:v>
                </c:pt>
                <c:pt idx="721">
                  <c:v>1.1839999999999999</c:v>
                </c:pt>
                <c:pt idx="722">
                  <c:v>#N/A</c:v>
                </c:pt>
                <c:pt idx="723">
                  <c:v>1.23</c:v>
                </c:pt>
                <c:pt idx="724">
                  <c:v>1.2530000000000001</c:v>
                </c:pt>
                <c:pt idx="725">
                  <c:v>#N/A</c:v>
                </c:pt>
                <c:pt idx="726">
                  <c:v>1.2989999999999999</c:v>
                </c:pt>
                <c:pt idx="727">
                  <c:v>1.3220000000000001</c:v>
                </c:pt>
                <c:pt idx="728">
                  <c:v>1.345</c:v>
                </c:pt>
                <c:pt idx="729">
                  <c:v>1.3679999999999999</c:v>
                </c:pt>
                <c:pt idx="730">
                  <c:v>#N/A</c:v>
                </c:pt>
                <c:pt idx="731">
                  <c:v>#N/A</c:v>
                </c:pt>
                <c:pt idx="732">
                  <c:v>1.4370000000000001</c:v>
                </c:pt>
                <c:pt idx="733">
                  <c:v>#N/A</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#N/A</c:v>
                </c:pt>
                <c:pt idx="750">
                  <c:v>#N/A</c:v>
                </c:pt>
                <c:pt idx="751">
                  <c:v>#N/A</c:v>
                </c:pt>
                <c:pt idx="752">
                  <c:v>1.115</c:v>
                </c:pt>
                <c:pt idx="753">
                  <c:v>#N/A</c:v>
                </c:pt>
                <c:pt idx="754">
                  <c:v>#N/A</c:v>
                </c:pt>
                <c:pt idx="755">
                  <c:v>#N/A</c:v>
                </c:pt>
                <c:pt idx="756">
                  <c:v>#N/A</c:v>
                </c:pt>
                <c:pt idx="757">
                  <c:v>1.23</c:v>
                </c:pt>
                <c:pt idx="758">
                  <c:v>#N/A</c:v>
                </c:pt>
                <c:pt idx="759">
                  <c:v>#N/A</c:v>
                </c:pt>
                <c:pt idx="760">
                  <c:v>#N/A</c:v>
                </c:pt>
                <c:pt idx="761">
                  <c:v>#N/A</c:v>
                </c:pt>
                <c:pt idx="762">
                  <c:v>1.345</c:v>
                </c:pt>
                <c:pt idx="763">
                  <c:v>#N/A</c:v>
                </c:pt>
                <c:pt idx="764">
                  <c:v>1.391</c:v>
                </c:pt>
                <c:pt idx="765">
                  <c:v>#N/A</c:v>
                </c:pt>
                <c:pt idx="766">
                  <c:v>1.4370000000000001</c:v>
                </c:pt>
                <c:pt idx="767">
                  <c:v>1.46</c:v>
                </c:pt>
                <c:pt idx="768">
                  <c:v>#N/A</c:v>
                </c:pt>
                <c:pt idx="769">
                  <c:v>#N/A</c:v>
                </c:pt>
                <c:pt idx="770">
                  <c:v>#N/A</c:v>
                </c:pt>
                <c:pt idx="771">
                  <c:v>1.552</c:v>
                </c:pt>
                <c:pt idx="772">
                  <c:v>1.575</c:v>
                </c:pt>
                <c:pt idx="773">
                  <c:v>#N/A</c:v>
                </c:pt>
                <c:pt idx="774">
                  <c:v>1.621</c:v>
                </c:pt>
                <c:pt idx="775">
                  <c:v>#N/A</c:v>
                </c:pt>
                <c:pt idx="776">
                  <c:v>1.667</c:v>
                </c:pt>
                <c:pt idx="777">
                  <c:v>1.69</c:v>
                </c:pt>
                <c:pt idx="778">
                  <c:v>1.7130000000000001</c:v>
                </c:pt>
                <c:pt idx="779">
                  <c:v>#N/A</c:v>
                </c:pt>
                <c:pt idx="780">
                  <c:v>#N/A</c:v>
                </c:pt>
                <c:pt idx="781">
                  <c:v>#N/A</c:v>
                </c:pt>
                <c:pt idx="782">
                  <c:v>#N/A</c:v>
                </c:pt>
                <c:pt idx="783">
                  <c:v>#N/A</c:v>
                </c:pt>
                <c:pt idx="784">
                  <c:v>#N/A</c:v>
                </c:pt>
                <c:pt idx="785">
                  <c:v>#N/A</c:v>
                </c:pt>
                <c:pt idx="786">
                  <c:v>#N/A</c:v>
                </c:pt>
                <c:pt idx="787">
                  <c:v>#N/A</c:v>
                </c:pt>
                <c:pt idx="788">
                  <c:v>#N/A</c:v>
                </c:pt>
                <c:pt idx="789">
                  <c:v>1.1839999999999999</c:v>
                </c:pt>
                <c:pt idx="790">
                  <c:v>1.2070000000000001</c:v>
                </c:pt>
                <c:pt idx="791">
                  <c:v>#N/A</c:v>
                </c:pt>
                <c:pt idx="792">
                  <c:v>#N/A</c:v>
                </c:pt>
                <c:pt idx="793">
                  <c:v>#N/A</c:v>
                </c:pt>
                <c:pt idx="794">
                  <c:v>1.2989999999999999</c:v>
                </c:pt>
                <c:pt idx="795">
                  <c:v>#N/A</c:v>
                </c:pt>
                <c:pt idx="796">
                  <c:v>1.345</c:v>
                </c:pt>
                <c:pt idx="797">
                  <c:v>#N/A</c:v>
                </c:pt>
                <c:pt idx="798">
                  <c:v>#N/A</c:v>
                </c:pt>
                <c:pt idx="799">
                  <c:v>#N/A</c:v>
                </c:pt>
                <c:pt idx="800">
                  <c:v>#N/A</c:v>
                </c:pt>
                <c:pt idx="801">
                  <c:v>1.46</c:v>
                </c:pt>
                <c:pt idx="802">
                  <c:v>1.4830000000000001</c:v>
                </c:pt>
                <c:pt idx="803">
                  <c:v>1.506</c:v>
                </c:pt>
                <c:pt idx="804">
                  <c:v>1.5289999999999999</c:v>
                </c:pt>
                <c:pt idx="805">
                  <c:v>1.552</c:v>
                </c:pt>
                <c:pt idx="806">
                  <c:v>#N/A</c:v>
                </c:pt>
                <c:pt idx="807">
                  <c:v>1.5979999999999999</c:v>
                </c:pt>
                <c:pt idx="808">
                  <c:v>#N/A</c:v>
                </c:pt>
                <c:pt idx="809">
                  <c:v>1.6440000000000001</c:v>
                </c:pt>
                <c:pt idx="810">
                  <c:v>1.667</c:v>
                </c:pt>
                <c:pt idx="811">
                  <c:v>#N/A</c:v>
                </c:pt>
                <c:pt idx="812">
                  <c:v>1.7130000000000001</c:v>
                </c:pt>
                <c:pt idx="813">
                  <c:v>1.736</c:v>
                </c:pt>
                <c:pt idx="814">
                  <c:v>#N/A</c:v>
                </c:pt>
                <c:pt idx="815">
                  <c:v>#N/A</c:v>
                </c:pt>
                <c:pt idx="816">
                  <c:v>#N/A</c:v>
                </c:pt>
                <c:pt idx="817">
                  <c:v>1.046</c:v>
                </c:pt>
                <c:pt idx="818">
                  <c:v>1.069</c:v>
                </c:pt>
                <c:pt idx="819">
                  <c:v>#N/A</c:v>
                </c:pt>
                <c:pt idx="820">
                  <c:v>1.115</c:v>
                </c:pt>
                <c:pt idx="821">
                  <c:v>1.1379999999999999</c:v>
                </c:pt>
                <c:pt idx="822">
                  <c:v>1.161</c:v>
                </c:pt>
                <c:pt idx="823">
                  <c:v>#N/A</c:v>
                </c:pt>
                <c:pt idx="824">
                  <c:v>#N/A</c:v>
                </c:pt>
                <c:pt idx="825">
                  <c:v>#N/A</c:v>
                </c:pt>
                <c:pt idx="826">
                  <c:v>1.2530000000000001</c:v>
                </c:pt>
                <c:pt idx="827">
                  <c:v>1.276</c:v>
                </c:pt>
                <c:pt idx="828">
                  <c:v>#N/A</c:v>
                </c:pt>
                <c:pt idx="829">
                  <c:v>1.3220000000000001</c:v>
                </c:pt>
                <c:pt idx="830">
                  <c:v>#N/A</c:v>
                </c:pt>
                <c:pt idx="831">
                  <c:v>#N/A</c:v>
                </c:pt>
                <c:pt idx="832">
                  <c:v>#N/A</c:v>
                </c:pt>
                <c:pt idx="833">
                  <c:v>1.4139999999999999</c:v>
                </c:pt>
                <c:pt idx="834">
                  <c:v>#N/A</c:v>
                </c:pt>
                <c:pt idx="835">
                  <c:v>1.46</c:v>
                </c:pt>
                <c:pt idx="836">
                  <c:v>1.4830000000000001</c:v>
                </c:pt>
                <c:pt idx="837">
                  <c:v>1.506</c:v>
                </c:pt>
                <c:pt idx="838">
                  <c:v>1.5289999999999999</c:v>
                </c:pt>
                <c:pt idx="839">
                  <c:v>#N/A</c:v>
                </c:pt>
                <c:pt idx="840">
                  <c:v>#N/A</c:v>
                </c:pt>
                <c:pt idx="841">
                  <c:v>1.5979999999999999</c:v>
                </c:pt>
                <c:pt idx="842">
                  <c:v>#N/A</c:v>
                </c:pt>
                <c:pt idx="843">
                  <c:v>#N/A</c:v>
                </c:pt>
                <c:pt idx="844">
                  <c:v>1.667</c:v>
                </c:pt>
                <c:pt idx="845">
                  <c:v>#N/A</c:v>
                </c:pt>
                <c:pt idx="846">
                  <c:v>1.7130000000000001</c:v>
                </c:pt>
                <c:pt idx="847">
                  <c:v>1.736</c:v>
                </c:pt>
                <c:pt idx="848">
                  <c:v>#N/A</c:v>
                </c:pt>
                <c:pt idx="849">
                  <c:v>#N/A</c:v>
                </c:pt>
                <c:pt idx="850">
                  <c:v>#N/A</c:v>
                </c:pt>
                <c:pt idx="851">
                  <c:v>#N/A</c:v>
                </c:pt>
                <c:pt idx="852">
                  <c:v>#N/A</c:v>
                </c:pt>
                <c:pt idx="853">
                  <c:v>1.0920000000000001</c:v>
                </c:pt>
                <c:pt idx="854">
                  <c:v>1.115</c:v>
                </c:pt>
                <c:pt idx="855">
                  <c:v>#N/A</c:v>
                </c:pt>
                <c:pt idx="856">
                  <c:v>#N/A</c:v>
                </c:pt>
                <c:pt idx="857">
                  <c:v>#N/A</c:v>
                </c:pt>
                <c:pt idx="858">
                  <c:v>#N/A</c:v>
                </c:pt>
                <c:pt idx="859">
                  <c:v>#N/A</c:v>
                </c:pt>
                <c:pt idx="860">
                  <c:v>1.2530000000000001</c:v>
                </c:pt>
                <c:pt idx="861">
                  <c:v>1.276</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2025</c:v>
                </c:pt>
                <c:pt idx="129">
                  <c:v>2024</c:v>
                </c:pt>
                <c:pt idx="130">
                  <c:v>#N/A</c:v>
                </c:pt>
                <c:pt idx="131">
                  <c:v>2025</c:v>
                </c:pt>
                <c:pt idx="132">
                  <c:v>#N/A</c:v>
                </c:pt>
                <c:pt idx="133">
                  <c:v>#N/A</c:v>
                </c:pt>
                <c:pt idx="134">
                  <c:v>#N/A</c:v>
                </c:pt>
                <c:pt idx="135">
                  <c:v>#N/A</c:v>
                </c:pt>
                <c:pt idx="136">
                  <c:v>2026</c:v>
                </c:pt>
                <c:pt idx="137">
                  <c:v>#N/A</c:v>
                </c:pt>
                <c:pt idx="138">
                  <c:v>#N/A</c:v>
                </c:pt>
                <c:pt idx="139">
                  <c:v>2015</c:v>
                </c:pt>
                <c:pt idx="140">
                  <c:v>2020</c:v>
                </c:pt>
                <c:pt idx="141">
                  <c:v>#N/A</c:v>
                </c:pt>
                <c:pt idx="142">
                  <c:v>#N/A</c:v>
                </c:pt>
                <c:pt idx="143">
                  <c:v>#N/A</c:v>
                </c:pt>
                <c:pt idx="144">
                  <c:v>#N/A</c:v>
                </c:pt>
                <c:pt idx="145">
                  <c:v>#N/A</c:v>
                </c:pt>
                <c:pt idx="146">
                  <c:v>#N/A</c:v>
                </c:pt>
                <c:pt idx="147">
                  <c:v>#N/A</c:v>
                </c:pt>
                <c:pt idx="148">
                  <c:v>#N/A</c:v>
                </c:pt>
                <c:pt idx="149">
                  <c:v>2020</c:v>
                </c:pt>
                <c:pt idx="150">
                  <c:v>#N/A</c:v>
                </c:pt>
                <c:pt idx="151">
                  <c:v>2019</c:v>
                </c:pt>
                <c:pt idx="152">
                  <c:v>#N/A</c:v>
                </c:pt>
                <c:pt idx="153">
                  <c:v>#N/A</c:v>
                </c:pt>
                <c:pt idx="154">
                  <c:v>#N/A</c:v>
                </c:pt>
                <c:pt idx="155">
                  <c:v>#N/A</c:v>
                </c:pt>
                <c:pt idx="156">
                  <c:v>#N/A</c:v>
                </c:pt>
                <c:pt idx="157">
                  <c:v>#N/A</c:v>
                </c:pt>
                <c:pt idx="158">
                  <c:v>#N/A</c:v>
                </c:pt>
                <c:pt idx="159">
                  <c:v>2018</c:v>
                </c:pt>
                <c:pt idx="160">
                  <c:v>#N/A</c:v>
                </c:pt>
                <c:pt idx="161">
                  <c:v>2016</c:v>
                </c:pt>
                <c:pt idx="162">
                  <c:v>2020</c:v>
                </c:pt>
                <c:pt idx="163">
                  <c:v>#N/A</c:v>
                </c:pt>
                <c:pt idx="164">
                  <c:v>#N/A</c:v>
                </c:pt>
                <c:pt idx="165">
                  <c:v>2026</c:v>
                </c:pt>
                <c:pt idx="166">
                  <c:v>#N/A</c:v>
                </c:pt>
                <c:pt idx="167">
                  <c:v>#N/A</c:v>
                </c:pt>
                <c:pt idx="168">
                  <c:v>#N/A</c:v>
                </c:pt>
                <c:pt idx="169">
                  <c:v>#N/A</c:v>
                </c:pt>
                <c:pt idx="170">
                  <c:v>2015</c:v>
                </c:pt>
                <c:pt idx="171">
                  <c:v>2023</c:v>
                </c:pt>
                <c:pt idx="172">
                  <c:v>#N/A</c:v>
                </c:pt>
                <c:pt idx="173">
                  <c:v>#N/A</c:v>
                </c:pt>
                <c:pt idx="174">
                  <c:v>#N/A</c:v>
                </c:pt>
                <c:pt idx="175">
                  <c:v>#N/A</c:v>
                </c:pt>
                <c:pt idx="176">
                  <c:v>2026</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2019</c:v>
                </c:pt>
                <c:pt idx="193">
                  <c:v>#N/A</c:v>
                </c:pt>
                <c:pt idx="194">
                  <c:v>2022</c:v>
                </c:pt>
                <c:pt idx="195">
                  <c:v>#N/A</c:v>
                </c:pt>
                <c:pt idx="196">
                  <c:v>#N/A</c:v>
                </c:pt>
                <c:pt idx="197">
                  <c:v>#N/A</c:v>
                </c:pt>
                <c:pt idx="198">
                  <c:v>#N/A</c:v>
                </c:pt>
                <c:pt idx="199">
                  <c:v>#N/A</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2022</c:v>
                </c:pt>
                <c:pt idx="218">
                  <c:v>2026</c:v>
                </c:pt>
                <c:pt idx="219">
                  <c:v>#N/A</c:v>
                </c:pt>
                <c:pt idx="220">
                  <c:v>#N/A</c:v>
                </c:pt>
                <c:pt idx="221">
                  <c:v>#N/A</c:v>
                </c:pt>
                <c:pt idx="222">
                  <c:v>#N/A</c:v>
                </c:pt>
                <c:pt idx="223">
                  <c:v>2019</c:v>
                </c:pt>
                <c:pt idx="224">
                  <c:v>#N/A</c:v>
                </c:pt>
                <c:pt idx="225">
                  <c:v>#N/A</c:v>
                </c:pt>
                <c:pt idx="226">
                  <c:v>#N/A</c:v>
                </c:pt>
                <c:pt idx="227">
                  <c:v>#N/A</c:v>
                </c:pt>
                <c:pt idx="228">
                  <c:v>#N/A</c:v>
                </c:pt>
                <c:pt idx="229">
                  <c:v>#N/A</c:v>
                </c:pt>
                <c:pt idx="230">
                  <c:v>2025</c:v>
                </c:pt>
                <c:pt idx="231">
                  <c:v>#N/A</c:v>
                </c:pt>
                <c:pt idx="232">
                  <c:v>#N/A</c:v>
                </c:pt>
                <c:pt idx="233">
                  <c:v>2024</c:v>
                </c:pt>
                <c:pt idx="234">
                  <c:v>2025</c:v>
                </c:pt>
                <c:pt idx="235">
                  <c:v>2025</c:v>
                </c:pt>
                <c:pt idx="236">
                  <c:v>#N/A</c:v>
                </c:pt>
                <c:pt idx="237">
                  <c:v>#N/A</c:v>
                </c:pt>
                <c:pt idx="238">
                  <c:v>2021</c:v>
                </c:pt>
                <c:pt idx="239">
                  <c:v>#N/A</c:v>
                </c:pt>
                <c:pt idx="240">
                  <c:v>#N/A</c:v>
                </c:pt>
                <c:pt idx="241">
                  <c:v>#N/A</c:v>
                </c:pt>
                <c:pt idx="242">
                  <c:v>2016</c:v>
                </c:pt>
                <c:pt idx="243">
                  <c:v>#N/A</c:v>
                </c:pt>
                <c:pt idx="244">
                  <c:v>#N/A</c:v>
                </c:pt>
                <c:pt idx="245">
                  <c:v>#N/A</c:v>
                </c:pt>
                <c:pt idx="246">
                  <c:v>#N/A</c:v>
                </c:pt>
                <c:pt idx="247">
                  <c:v>#N/A</c:v>
                </c:pt>
                <c:pt idx="248">
                  <c:v>#N/A</c:v>
                </c:pt>
                <c:pt idx="249">
                  <c:v>2006</c:v>
                </c:pt>
                <c:pt idx="250">
                  <c:v>2023</c:v>
                </c:pt>
                <c:pt idx="251">
                  <c:v>#N/A</c:v>
                </c:pt>
                <c:pt idx="252">
                  <c:v>#N/A</c:v>
                </c:pt>
                <c:pt idx="253">
                  <c:v>#N/A</c:v>
                </c:pt>
                <c:pt idx="254">
                  <c:v>#N/A</c:v>
                </c:pt>
                <c:pt idx="255">
                  <c:v>#N/A</c:v>
                </c:pt>
                <c:pt idx="256">
                  <c:v>#N/A</c:v>
                </c:pt>
                <c:pt idx="257">
                  <c:v>#N/A</c:v>
                </c:pt>
                <c:pt idx="258">
                  <c:v>2024</c:v>
                </c:pt>
                <c:pt idx="259">
                  <c:v>#N/A</c:v>
                </c:pt>
                <c:pt idx="260">
                  <c:v>#N/A</c:v>
                </c:pt>
                <c:pt idx="261">
                  <c:v>#N/A</c:v>
                </c:pt>
                <c:pt idx="262">
                  <c:v>2025</c:v>
                </c:pt>
                <c:pt idx="263">
                  <c:v>#N/A</c:v>
                </c:pt>
                <c:pt idx="264">
                  <c:v>#N/A</c:v>
                </c:pt>
                <c:pt idx="265">
                  <c:v>#N/A</c:v>
                </c:pt>
                <c:pt idx="266">
                  <c:v>#N/A</c:v>
                </c:pt>
                <c:pt idx="267">
                  <c:v>#N/A</c:v>
                </c:pt>
                <c:pt idx="268">
                  <c:v>#N/A</c:v>
                </c:pt>
                <c:pt idx="269">
                  <c:v>#N/A</c:v>
                </c:pt>
                <c:pt idx="270">
                  <c:v>#N/A</c:v>
                </c:pt>
                <c:pt idx="271">
                  <c:v>#N/A</c:v>
                </c:pt>
                <c:pt idx="272">
                  <c:v>2018</c:v>
                </c:pt>
                <c:pt idx="273">
                  <c:v>2024</c:v>
                </c:pt>
                <c:pt idx="274">
                  <c:v>#N/A</c:v>
                </c:pt>
                <c:pt idx="275">
                  <c:v>#N/A</c:v>
                </c:pt>
                <c:pt idx="276">
                  <c:v>#N/A</c:v>
                </c:pt>
                <c:pt idx="277">
                  <c:v>#N/A</c:v>
                </c:pt>
                <c:pt idx="278">
                  <c:v>2025</c:v>
                </c:pt>
                <c:pt idx="279">
                  <c:v>#N/A</c:v>
                </c:pt>
                <c:pt idx="280">
                  <c:v>#N/A</c:v>
                </c:pt>
                <c:pt idx="281">
                  <c:v>#N/A</c:v>
                </c:pt>
                <c:pt idx="282">
                  <c:v>2018</c:v>
                </c:pt>
                <c:pt idx="283">
                  <c:v>2023</c:v>
                </c:pt>
                <c:pt idx="284">
                  <c:v>#N/A</c:v>
                </c:pt>
                <c:pt idx="285">
                  <c:v>#N/A</c:v>
                </c:pt>
                <c:pt idx="286">
                  <c:v>2022</c:v>
                </c:pt>
                <c:pt idx="287">
                  <c:v>#N/A</c:v>
                </c:pt>
                <c:pt idx="288">
                  <c:v>#N/A</c:v>
                </c:pt>
                <c:pt idx="289">
                  <c:v>#N/A</c:v>
                </c:pt>
                <c:pt idx="290">
                  <c:v>2012</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2025</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2017</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2025</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2015</c:v>
                </c:pt>
                <c:pt idx="376">
                  <c:v>#N/A</c:v>
                </c:pt>
                <c:pt idx="377">
                  <c:v>2023</c:v>
                </c:pt>
                <c:pt idx="378">
                  <c:v>2025</c:v>
                </c:pt>
                <c:pt idx="379">
                  <c:v>#N/A</c:v>
                </c:pt>
                <c:pt idx="380">
                  <c:v>2021</c:v>
                </c:pt>
                <c:pt idx="381">
                  <c:v>2018</c:v>
                </c:pt>
                <c:pt idx="382">
                  <c:v>#N/A</c:v>
                </c:pt>
                <c:pt idx="383">
                  <c:v>2019</c:v>
                </c:pt>
                <c:pt idx="384">
                  <c:v>#N/A</c:v>
                </c:pt>
                <c:pt idx="385">
                  <c:v>#N/A</c:v>
                </c:pt>
                <c:pt idx="386">
                  <c:v>#N/A</c:v>
                </c:pt>
                <c:pt idx="387">
                  <c:v>#N/A</c:v>
                </c:pt>
                <c:pt idx="388">
                  <c:v>#N/A</c:v>
                </c:pt>
                <c:pt idx="389">
                  <c:v>#N/A</c:v>
                </c:pt>
                <c:pt idx="390">
                  <c:v>#N/A</c:v>
                </c:pt>
                <c:pt idx="391">
                  <c:v>2024</c:v>
                </c:pt>
                <c:pt idx="392">
                  <c:v>#N/A</c:v>
                </c:pt>
                <c:pt idx="393">
                  <c:v>#N/A</c:v>
                </c:pt>
                <c:pt idx="394">
                  <c:v>#N/A</c:v>
                </c:pt>
                <c:pt idx="395">
                  <c:v>2025</c:v>
                </c:pt>
                <c:pt idx="396">
                  <c:v>#N/A</c:v>
                </c:pt>
                <c:pt idx="397">
                  <c:v>2016</c:v>
                </c:pt>
                <c:pt idx="398">
                  <c:v>#N/A</c:v>
                </c:pt>
                <c:pt idx="399">
                  <c:v>2025</c:v>
                </c:pt>
                <c:pt idx="400">
                  <c:v>#N/A</c:v>
                </c:pt>
                <c:pt idx="401">
                  <c:v>#N/A</c:v>
                </c:pt>
                <c:pt idx="402">
                  <c:v>#N/A</c:v>
                </c:pt>
                <c:pt idx="403">
                  <c:v>#N/A</c:v>
                </c:pt>
                <c:pt idx="404">
                  <c:v>#N/A</c:v>
                </c:pt>
                <c:pt idx="405">
                  <c:v>#N/A</c:v>
                </c:pt>
                <c:pt idx="406">
                  <c:v>2019</c:v>
                </c:pt>
                <c:pt idx="407">
                  <c:v>#N/A</c:v>
                </c:pt>
                <c:pt idx="408">
                  <c:v>#N/A</c:v>
                </c:pt>
                <c:pt idx="409">
                  <c:v>2023</c:v>
                </c:pt>
                <c:pt idx="410">
                  <c:v>#N/A</c:v>
                </c:pt>
                <c:pt idx="411">
                  <c:v>#N/A</c:v>
                </c:pt>
                <c:pt idx="412">
                  <c:v>2024</c:v>
                </c:pt>
                <c:pt idx="413">
                  <c:v>2021</c:v>
                </c:pt>
                <c:pt idx="414">
                  <c:v>2017</c:v>
                </c:pt>
                <c:pt idx="415">
                  <c:v>2022</c:v>
                </c:pt>
                <c:pt idx="416">
                  <c:v>2025</c:v>
                </c:pt>
                <c:pt idx="417">
                  <c:v>#N/A</c:v>
                </c:pt>
                <c:pt idx="418">
                  <c:v>#N/A</c:v>
                </c:pt>
                <c:pt idx="419">
                  <c:v>#N/A</c:v>
                </c:pt>
                <c:pt idx="420">
                  <c:v>#N/A</c:v>
                </c:pt>
                <c:pt idx="421">
                  <c:v>#N/A</c:v>
                </c:pt>
                <c:pt idx="422">
                  <c:v>#N/A</c:v>
                </c:pt>
                <c:pt idx="423">
                  <c:v>#N/A</c:v>
                </c:pt>
                <c:pt idx="424">
                  <c:v>#N/A</c:v>
                </c:pt>
                <c:pt idx="425">
                  <c:v>#N/A</c:v>
                </c:pt>
                <c:pt idx="426">
                  <c:v>#N/A</c:v>
                </c:pt>
                <c:pt idx="427">
                  <c:v>2026</c:v>
                </c:pt>
                <c:pt idx="428">
                  <c:v>#N/A</c:v>
                </c:pt>
                <c:pt idx="429">
                  <c:v>#N/A</c:v>
                </c:pt>
                <c:pt idx="430">
                  <c:v>#N/A</c:v>
                </c:pt>
                <c:pt idx="431">
                  <c:v>#N/A</c:v>
                </c:pt>
                <c:pt idx="432">
                  <c:v>#N/A</c:v>
                </c:pt>
                <c:pt idx="433">
                  <c:v>#N/A</c:v>
                </c:pt>
                <c:pt idx="434">
                  <c:v>#N/A</c:v>
                </c:pt>
                <c:pt idx="435">
                  <c:v>#N/A</c:v>
                </c:pt>
                <c:pt idx="436">
                  <c:v>#N/A</c:v>
                </c:pt>
                <c:pt idx="437">
                  <c:v>2022</c:v>
                </c:pt>
                <c:pt idx="438">
                  <c:v>#N/A</c:v>
                </c:pt>
                <c:pt idx="439">
                  <c:v>#N/A</c:v>
                </c:pt>
                <c:pt idx="440">
                  <c:v>#N/A</c:v>
                </c:pt>
                <c:pt idx="441">
                  <c:v>#N/A</c:v>
                </c:pt>
                <c:pt idx="442">
                  <c:v>#N/A</c:v>
                </c:pt>
                <c:pt idx="443">
                  <c:v>2024</c:v>
                </c:pt>
                <c:pt idx="444">
                  <c:v>#N/A</c:v>
                </c:pt>
                <c:pt idx="445">
                  <c:v>#N/A</c:v>
                </c:pt>
                <c:pt idx="446">
                  <c:v>2026</c:v>
                </c:pt>
                <c:pt idx="447">
                  <c:v>#N/A</c:v>
                </c:pt>
                <c:pt idx="448">
                  <c:v>2024</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2024</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2025</c:v>
                </c:pt>
                <c:pt idx="504">
                  <c:v>#N/A</c:v>
                </c:pt>
                <c:pt idx="505">
                  <c:v>2025</c:v>
                </c:pt>
                <c:pt idx="506">
                  <c:v>#N/A</c:v>
                </c:pt>
                <c:pt idx="507">
                  <c:v>#N/A</c:v>
                </c:pt>
                <c:pt idx="508">
                  <c:v>2024</c:v>
                </c:pt>
                <c:pt idx="509">
                  <c:v>#N/A</c:v>
                </c:pt>
                <c:pt idx="510">
                  <c:v>#N/A</c:v>
                </c:pt>
                <c:pt idx="511">
                  <c:v>2026</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2025</c:v>
                </c:pt>
                <c:pt idx="530">
                  <c:v>#N/A</c:v>
                </c:pt>
                <c:pt idx="531">
                  <c:v>#N/A</c:v>
                </c:pt>
                <c:pt idx="532">
                  <c:v>#N/A</c:v>
                </c:pt>
                <c:pt idx="533">
                  <c:v>#N/A</c:v>
                </c:pt>
                <c:pt idx="534">
                  <c:v>2025</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2022</c:v>
                </c:pt>
                <c:pt idx="548">
                  <c:v>#N/A</c:v>
                </c:pt>
                <c:pt idx="549">
                  <c:v>#N/A</c:v>
                </c:pt>
                <c:pt idx="550">
                  <c:v>#N/A</c:v>
                </c:pt>
                <c:pt idx="551">
                  <c:v>#N/A</c:v>
                </c:pt>
                <c:pt idx="552">
                  <c:v>#N/A</c:v>
                </c:pt>
                <c:pt idx="553">
                  <c:v>2026</c:v>
                </c:pt>
                <c:pt idx="554">
                  <c:v>2021</c:v>
                </c:pt>
                <c:pt idx="555">
                  <c:v>2026</c:v>
                </c:pt>
                <c:pt idx="556">
                  <c:v>#N/A</c:v>
                </c:pt>
                <c:pt idx="557">
                  <c:v>#N/A</c:v>
                </c:pt>
                <c:pt idx="558">
                  <c:v>#N/A</c:v>
                </c:pt>
                <c:pt idx="559">
                  <c:v>#N/A</c:v>
                </c:pt>
                <c:pt idx="560">
                  <c:v>#N/A</c:v>
                </c:pt>
                <c:pt idx="561">
                  <c:v>#N/A</c:v>
                </c:pt>
                <c:pt idx="562">
                  <c:v>2024</c:v>
                </c:pt>
                <c:pt idx="563">
                  <c:v>2025</c:v>
                </c:pt>
                <c:pt idx="564">
                  <c:v>2020</c:v>
                </c:pt>
                <c:pt idx="565">
                  <c:v>#N/A</c:v>
                </c:pt>
                <c:pt idx="566">
                  <c:v>#N/A</c:v>
                </c:pt>
                <c:pt idx="567">
                  <c:v>2026</c:v>
                </c:pt>
                <c:pt idx="568">
                  <c:v>#N/A</c:v>
                </c:pt>
                <c:pt idx="569">
                  <c:v>#N/A</c:v>
                </c:pt>
                <c:pt idx="570">
                  <c:v>#N/A</c:v>
                </c:pt>
                <c:pt idx="571">
                  <c:v>#N/A</c:v>
                </c:pt>
                <c:pt idx="572">
                  <c:v>#N/A</c:v>
                </c:pt>
                <c:pt idx="573">
                  <c:v>2024</c:v>
                </c:pt>
                <c:pt idx="574">
                  <c:v>#N/A</c:v>
                </c:pt>
                <c:pt idx="575">
                  <c:v>#N/A</c:v>
                </c:pt>
                <c:pt idx="576">
                  <c:v>#N/A</c:v>
                </c:pt>
                <c:pt idx="577">
                  <c:v>#N/A</c:v>
                </c:pt>
                <c:pt idx="578">
                  <c:v>#N/A</c:v>
                </c:pt>
                <c:pt idx="579">
                  <c:v>#N/A</c:v>
                </c:pt>
                <c:pt idx="580">
                  <c:v>#N/A</c:v>
                </c:pt>
                <c:pt idx="581">
                  <c:v>#N/A</c:v>
                </c:pt>
                <c:pt idx="582">
                  <c:v>#N/A</c:v>
                </c:pt>
                <c:pt idx="583">
                  <c:v>2015</c:v>
                </c:pt>
                <c:pt idx="584">
                  <c:v>#N/A</c:v>
                </c:pt>
                <c:pt idx="585">
                  <c:v>#N/A</c:v>
                </c:pt>
                <c:pt idx="586">
                  <c:v>#N/A</c:v>
                </c:pt>
                <c:pt idx="587">
                  <c:v>#N/A</c:v>
                </c:pt>
                <c:pt idx="588">
                  <c:v>#N/A</c:v>
                </c:pt>
                <c:pt idx="589">
                  <c:v>#N/A</c:v>
                </c:pt>
                <c:pt idx="590">
                  <c:v>#N/A</c:v>
                </c:pt>
                <c:pt idx="591">
                  <c:v>#N/A</c:v>
                </c:pt>
                <c:pt idx="592">
                  <c:v>#N/A</c:v>
                </c:pt>
                <c:pt idx="593">
                  <c:v>#N/A</c:v>
                </c:pt>
                <c:pt idx="594">
                  <c:v>2020</c:v>
                </c:pt>
                <c:pt idx="595">
                  <c:v>#N/A</c:v>
                </c:pt>
                <c:pt idx="596">
                  <c:v>#N/A</c:v>
                </c:pt>
                <c:pt idx="597">
                  <c:v>#N/A</c:v>
                </c:pt>
                <c:pt idx="598">
                  <c:v>#N/A</c:v>
                </c:pt>
                <c:pt idx="599">
                  <c:v>#N/A</c:v>
                </c:pt>
                <c:pt idx="600">
                  <c:v>2014</c:v>
                </c:pt>
                <c:pt idx="601">
                  <c:v>#N/A</c:v>
                </c:pt>
                <c:pt idx="602">
                  <c:v>#N/A</c:v>
                </c:pt>
                <c:pt idx="603">
                  <c:v>#N/A</c:v>
                </c:pt>
                <c:pt idx="604">
                  <c:v>2024</c:v>
                </c:pt>
                <c:pt idx="605">
                  <c:v>#N/A</c:v>
                </c:pt>
                <c:pt idx="606">
                  <c:v>#N/A</c:v>
                </c:pt>
                <c:pt idx="607">
                  <c:v>#N/A</c:v>
                </c:pt>
                <c:pt idx="608">
                  <c:v>#N/A</c:v>
                </c:pt>
                <c:pt idx="609">
                  <c:v>#N/A</c:v>
                </c:pt>
                <c:pt idx="610">
                  <c:v>#N/A</c:v>
                </c:pt>
                <c:pt idx="611">
                  <c:v>#N/A</c:v>
                </c:pt>
                <c:pt idx="612">
                  <c:v>2021</c:v>
                </c:pt>
                <c:pt idx="613">
                  <c:v>2022</c:v>
                </c:pt>
                <c:pt idx="614">
                  <c:v>#N/A</c:v>
                </c:pt>
                <c:pt idx="615">
                  <c:v>2016</c:v>
                </c:pt>
                <c:pt idx="616">
                  <c:v>#N/A</c:v>
                </c:pt>
                <c:pt idx="617">
                  <c:v>#N/A</c:v>
                </c:pt>
                <c:pt idx="618">
                  <c:v>#N/A</c:v>
                </c:pt>
                <c:pt idx="619">
                  <c:v>#N/A</c:v>
                </c:pt>
                <c:pt idx="620">
                  <c:v>#N/A</c:v>
                </c:pt>
                <c:pt idx="621">
                  <c:v>2022</c:v>
                </c:pt>
                <c:pt idx="622">
                  <c:v>2021</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2025</c:v>
                </c:pt>
                <c:pt idx="639">
                  <c:v>#N/A</c:v>
                </c:pt>
                <c:pt idx="640">
                  <c:v>#N/A</c:v>
                </c:pt>
                <c:pt idx="641">
                  <c:v>#N/A</c:v>
                </c:pt>
                <c:pt idx="642">
                  <c:v>#N/A</c:v>
                </c:pt>
                <c:pt idx="643">
                  <c:v>2025</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2023</c:v>
                </c:pt>
                <c:pt idx="657">
                  <c:v>#N/A</c:v>
                </c:pt>
                <c:pt idx="658">
                  <c:v>2022</c:v>
                </c:pt>
                <c:pt idx="659">
                  <c:v>#N/A</c:v>
                </c:pt>
                <c:pt idx="660">
                  <c:v>#N/A</c:v>
                </c:pt>
                <c:pt idx="661">
                  <c:v>2026</c:v>
                </c:pt>
                <c:pt idx="662">
                  <c:v>#N/A</c:v>
                </c:pt>
                <c:pt idx="663">
                  <c:v>#N/A</c:v>
                </c:pt>
                <c:pt idx="664">
                  <c:v>#N/A</c:v>
                </c:pt>
                <c:pt idx="665">
                  <c:v>#N/A</c:v>
                </c:pt>
                <c:pt idx="666">
                  <c:v>#N/A</c:v>
                </c:pt>
                <c:pt idx="667">
                  <c:v>#N/A</c:v>
                </c:pt>
                <c:pt idx="668">
                  <c:v>#N/A</c:v>
                </c:pt>
                <c:pt idx="669">
                  <c:v>#N/A</c:v>
                </c:pt>
                <c:pt idx="670">
                  <c:v>2018</c:v>
                </c:pt>
                <c:pt idx="671">
                  <c:v>#N/A</c:v>
                </c:pt>
                <c:pt idx="672">
                  <c:v>#N/A</c:v>
                </c:pt>
                <c:pt idx="673">
                  <c:v>#N/A</c:v>
                </c:pt>
                <c:pt idx="674">
                  <c:v>#N/A</c:v>
                </c:pt>
                <c:pt idx="675">
                  <c:v>#N/A</c:v>
                </c:pt>
                <c:pt idx="676">
                  <c:v>#N/A</c:v>
                </c:pt>
                <c:pt idx="677">
                  <c:v>2025</c:v>
                </c:pt>
                <c:pt idx="678">
                  <c:v>#N/A</c:v>
                </c:pt>
                <c:pt idx="679">
                  <c:v>#N/A</c:v>
                </c:pt>
                <c:pt idx="680">
                  <c:v>#N/A</c:v>
                </c:pt>
                <c:pt idx="681">
                  <c:v>#N/A</c:v>
                </c:pt>
                <c:pt idx="682">
                  <c:v>#N/A</c:v>
                </c:pt>
                <c:pt idx="683">
                  <c:v>#N/A</c:v>
                </c:pt>
                <c:pt idx="684">
                  <c:v>#N/A</c:v>
                </c:pt>
                <c:pt idx="685">
                  <c:v>#N/A</c:v>
                </c:pt>
                <c:pt idx="686">
                  <c:v>#N/A</c:v>
                </c:pt>
                <c:pt idx="687">
                  <c:v>2023</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2023</c:v>
                </c:pt>
                <c:pt idx="707">
                  <c:v>#N/A</c:v>
                </c:pt>
                <c:pt idx="708">
                  <c:v>2002</c:v>
                </c:pt>
                <c:pt idx="709">
                  <c:v>#N/A</c:v>
                </c:pt>
                <c:pt idx="710">
                  <c:v>#N/A</c:v>
                </c:pt>
                <c:pt idx="711">
                  <c:v>#N/A</c:v>
                </c:pt>
                <c:pt idx="712">
                  <c:v>2015</c:v>
                </c:pt>
                <c:pt idx="713">
                  <c:v>2021</c:v>
                </c:pt>
                <c:pt idx="714">
                  <c:v>#N/A</c:v>
                </c:pt>
                <c:pt idx="715">
                  <c:v>2025</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2026</c:v>
                </c:pt>
                <c:pt idx="730">
                  <c:v>#N/A</c:v>
                </c:pt>
                <c:pt idx="731">
                  <c:v>#N/A</c:v>
                </c:pt>
                <c:pt idx="732">
                  <c:v>#N/A</c:v>
                </c:pt>
                <c:pt idx="733">
                  <c:v>#N/A</c:v>
                </c:pt>
                <c:pt idx="734">
                  <c:v>#N/A</c:v>
                </c:pt>
                <c:pt idx="735">
                  <c:v>2026</c:v>
                </c:pt>
                <c:pt idx="736">
                  <c:v>#N/A</c:v>
                </c:pt>
                <c:pt idx="737">
                  <c:v>#N/A</c:v>
                </c:pt>
                <c:pt idx="738">
                  <c:v>2019</c:v>
                </c:pt>
                <c:pt idx="739">
                  <c:v>#N/A</c:v>
                </c:pt>
                <c:pt idx="740">
                  <c:v>#N/A</c:v>
                </c:pt>
                <c:pt idx="741">
                  <c:v>#N/A</c:v>
                </c:pt>
                <c:pt idx="742">
                  <c:v>2022</c:v>
                </c:pt>
                <c:pt idx="743">
                  <c:v>#N/A</c:v>
                </c:pt>
                <c:pt idx="744">
                  <c:v>#N/A</c:v>
                </c:pt>
                <c:pt idx="745">
                  <c:v>2025</c:v>
                </c:pt>
                <c:pt idx="746">
                  <c:v>#N/A</c:v>
                </c:pt>
                <c:pt idx="747">
                  <c:v>#N/A</c:v>
                </c:pt>
                <c:pt idx="748">
                  <c:v>#N/A</c:v>
                </c:pt>
                <c:pt idx="749">
                  <c:v>#N/A</c:v>
                </c:pt>
                <c:pt idx="750">
                  <c:v>#N/A</c:v>
                </c:pt>
                <c:pt idx="751">
                  <c:v>#N/A</c:v>
                </c:pt>
                <c:pt idx="752">
                  <c:v>#N/A</c:v>
                </c:pt>
                <c:pt idx="753">
                  <c:v>#N/A</c:v>
                </c:pt>
                <c:pt idx="754">
                  <c:v>2025</c:v>
                </c:pt>
                <c:pt idx="755">
                  <c:v>2024</c:v>
                </c:pt>
                <c:pt idx="756">
                  <c:v>#N/A</c:v>
                </c:pt>
                <c:pt idx="757">
                  <c:v>2021</c:v>
                </c:pt>
                <c:pt idx="758">
                  <c:v>2019</c:v>
                </c:pt>
                <c:pt idx="759">
                  <c:v>#N/A</c:v>
                </c:pt>
                <c:pt idx="760">
                  <c:v>2023</c:v>
                </c:pt>
                <c:pt idx="761">
                  <c:v>#N/A</c:v>
                </c:pt>
                <c:pt idx="762">
                  <c:v>#N/A</c:v>
                </c:pt>
                <c:pt idx="763">
                  <c:v>#N/A</c:v>
                </c:pt>
                <c:pt idx="764">
                  <c:v>#N/A</c:v>
                </c:pt>
                <c:pt idx="765">
                  <c:v>#N/A</c:v>
                </c:pt>
                <c:pt idx="766">
                  <c:v>#N/A</c:v>
                </c:pt>
                <c:pt idx="767">
                  <c:v>#N/A</c:v>
                </c:pt>
                <c:pt idx="768">
                  <c:v>2025</c:v>
                </c:pt>
                <c:pt idx="769">
                  <c:v>#N/A</c:v>
                </c:pt>
                <c:pt idx="770">
                  <c:v>#N/A</c:v>
                </c:pt>
                <c:pt idx="771">
                  <c:v>#N/A</c:v>
                </c:pt>
                <c:pt idx="772">
                  <c:v>#N/A</c:v>
                </c:pt>
                <c:pt idx="773">
                  <c:v>#N/A</c:v>
                </c:pt>
                <c:pt idx="774">
                  <c:v>2022</c:v>
                </c:pt>
                <c:pt idx="775">
                  <c:v>#N/A</c:v>
                </c:pt>
                <c:pt idx="776">
                  <c:v>#N/A</c:v>
                </c:pt>
                <c:pt idx="777">
                  <c:v>#N/A</c:v>
                </c:pt>
                <c:pt idx="778">
                  <c:v>#N/A</c:v>
                </c:pt>
                <c:pt idx="779">
                  <c:v>#N/A</c:v>
                </c:pt>
                <c:pt idx="780">
                  <c:v>#N/A</c:v>
                </c:pt>
                <c:pt idx="781">
                  <c:v>#N/A</c:v>
                </c:pt>
                <c:pt idx="782">
                  <c:v>#N/A</c:v>
                </c:pt>
                <c:pt idx="783">
                  <c:v>#N/A</c:v>
                </c:pt>
                <c:pt idx="784">
                  <c:v>#N/A</c:v>
                </c:pt>
                <c:pt idx="785">
                  <c:v>2025</c:v>
                </c:pt>
                <c:pt idx="786">
                  <c:v>#N/A</c:v>
                </c:pt>
                <c:pt idx="787">
                  <c:v>2024</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2024</c:v>
                </c:pt>
                <c:pt idx="819">
                  <c:v>#N/A</c:v>
                </c:pt>
                <c:pt idx="820">
                  <c:v>#N/A</c:v>
                </c:pt>
                <c:pt idx="821">
                  <c:v>#N/A</c:v>
                </c:pt>
                <c:pt idx="822">
                  <c:v>#N/A</c:v>
                </c:pt>
                <c:pt idx="823">
                  <c:v>2023</c:v>
                </c:pt>
                <c:pt idx="824">
                  <c:v>2025</c:v>
                </c:pt>
                <c:pt idx="825">
                  <c:v>#N/A</c:v>
                </c:pt>
                <c:pt idx="826">
                  <c:v>#N/A</c:v>
                </c:pt>
                <c:pt idx="827">
                  <c:v>#N/A</c:v>
                </c:pt>
                <c:pt idx="828">
                  <c:v>#N/A</c:v>
                </c:pt>
                <c:pt idx="829">
                  <c:v>2017</c:v>
                </c:pt>
                <c:pt idx="830">
                  <c:v>#N/A</c:v>
                </c:pt>
                <c:pt idx="831">
                  <c:v>2012</c:v>
                </c:pt>
                <c:pt idx="832">
                  <c:v>#N/A</c:v>
                </c:pt>
                <c:pt idx="833">
                  <c:v>2005</c:v>
                </c:pt>
                <c:pt idx="834">
                  <c:v>#N/A</c:v>
                </c:pt>
                <c:pt idx="835">
                  <c:v>#N/A</c:v>
                </c:pt>
                <c:pt idx="836">
                  <c:v>#N/A</c:v>
                </c:pt>
                <c:pt idx="837">
                  <c:v>#N/A</c:v>
                </c:pt>
                <c:pt idx="838">
                  <c:v>2019</c:v>
                </c:pt>
                <c:pt idx="839">
                  <c:v>#N/A</c:v>
                </c:pt>
                <c:pt idx="840">
                  <c:v>#N/A</c:v>
                </c:pt>
                <c:pt idx="841">
                  <c:v>#N/A</c:v>
                </c:pt>
                <c:pt idx="842">
                  <c:v>2026</c:v>
                </c:pt>
                <c:pt idx="843">
                  <c:v>#N/A</c:v>
                </c:pt>
                <c:pt idx="844">
                  <c:v>#N/A</c:v>
                </c:pt>
                <c:pt idx="845">
                  <c:v>#N/A</c:v>
                </c:pt>
                <c:pt idx="846">
                  <c:v>#N/A</c:v>
                </c:pt>
                <c:pt idx="847">
                  <c:v>2021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2.3220000000000001</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2.6440000000000001</c:v>
                </c:pt>
                <c:pt idx="130">
                  <c:v>2.6669999999999998</c:v>
                </c:pt>
                <c:pt idx="131">
                  <c:v>#N/A</c:v>
                </c:pt>
                <c:pt idx="132">
                  <c:v>2.7130000000000001</c:v>
                </c:pt>
                <c:pt idx="133">
                  <c:v>#N/A</c:v>
                </c:pt>
                <c:pt idx="134">
                  <c:v>#N/A</c:v>
                </c:pt>
                <c:pt idx="135">
                  <c:v>#N/A</c:v>
                </c:pt>
                <c:pt idx="136">
                  <c:v>#N/A</c:v>
                </c:pt>
                <c:pt idx="137">
                  <c:v>2.0459999999999998</c:v>
                </c:pt>
                <c:pt idx="138">
                  <c:v>#N/A</c:v>
                </c:pt>
                <c:pt idx="139">
                  <c:v>#N/A</c:v>
                </c:pt>
                <c:pt idx="140">
                  <c:v>2.1150000000000002</c:v>
                </c:pt>
                <c:pt idx="141">
                  <c:v>2.1379999999999999</c:v>
                </c:pt>
                <c:pt idx="142">
                  <c:v>#N/A</c:v>
                </c:pt>
                <c:pt idx="143">
                  <c:v>#N/A</c:v>
                </c:pt>
                <c:pt idx="144">
                  <c:v>#N/A</c:v>
                </c:pt>
                <c:pt idx="145">
                  <c:v>#N/A</c:v>
                </c:pt>
                <c:pt idx="146">
                  <c:v>#N/A</c:v>
                </c:pt>
                <c:pt idx="147">
                  <c:v>#N/A</c:v>
                </c:pt>
                <c:pt idx="148">
                  <c:v>#N/A</c:v>
                </c:pt>
                <c:pt idx="149">
                  <c:v>#N/A</c:v>
                </c:pt>
                <c:pt idx="150">
                  <c:v>2.3449999999999998</c:v>
                </c:pt>
                <c:pt idx="151">
                  <c:v>#N/A</c:v>
                </c:pt>
                <c:pt idx="152">
                  <c:v>2.391</c:v>
                </c:pt>
                <c:pt idx="153">
                  <c:v>#N/A</c:v>
                </c:pt>
                <c:pt idx="154">
                  <c:v>#N/A</c:v>
                </c:pt>
                <c:pt idx="155">
                  <c:v>#N/A</c:v>
                </c:pt>
                <c:pt idx="156">
                  <c:v>#N/A</c:v>
                </c:pt>
                <c:pt idx="157">
                  <c:v>#N/A</c:v>
                </c:pt>
                <c:pt idx="158">
                  <c:v>#N/A</c:v>
                </c:pt>
                <c:pt idx="159">
                  <c:v>#N/A</c:v>
                </c:pt>
                <c:pt idx="160">
                  <c:v>2.5750000000000002</c:v>
                </c:pt>
                <c:pt idx="161">
                  <c:v>#N/A</c:v>
                </c:pt>
                <c:pt idx="162">
                  <c:v>2.621</c:v>
                </c:pt>
                <c:pt idx="163">
                  <c:v>2.6440000000000001</c:v>
                </c:pt>
                <c:pt idx="164">
                  <c:v>#N/A</c:v>
                </c:pt>
                <c:pt idx="165">
                  <c:v>#N/A</c:v>
                </c:pt>
                <c:pt idx="166">
                  <c:v>2.7130000000000001</c:v>
                </c:pt>
                <c:pt idx="167">
                  <c:v>#N/A</c:v>
                </c:pt>
                <c:pt idx="168">
                  <c:v>#N/A</c:v>
                </c:pt>
                <c:pt idx="169">
                  <c:v>#N/A</c:v>
                </c:pt>
                <c:pt idx="170">
                  <c:v>#N/A</c:v>
                </c:pt>
                <c:pt idx="171">
                  <c:v>2.0459999999999998</c:v>
                </c:pt>
                <c:pt idx="172">
                  <c:v>2.069</c:v>
                </c:pt>
                <c:pt idx="173">
                  <c:v>#N/A</c:v>
                </c:pt>
                <c:pt idx="174">
                  <c:v>#N/A</c:v>
                </c:pt>
                <c:pt idx="175">
                  <c:v>#N/A</c:v>
                </c:pt>
                <c:pt idx="176">
                  <c:v>#N/A</c:v>
                </c:pt>
                <c:pt idx="177">
                  <c:v>2.1840000000000002</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2.552</c:v>
                </c:pt>
                <c:pt idx="194">
                  <c:v>#N/A</c:v>
                </c:pt>
                <c:pt idx="195">
                  <c:v>2.5979999999999999</c:v>
                </c:pt>
                <c:pt idx="196">
                  <c:v>#N/A</c:v>
                </c:pt>
                <c:pt idx="197">
                  <c:v>#N/A</c:v>
                </c:pt>
                <c:pt idx="198">
                  <c:v>#N/A</c:v>
                </c:pt>
                <c:pt idx="199">
                  <c:v>#N/A</c:v>
                </c:pt>
                <c:pt idx="200">
                  <c:v>#N/A</c:v>
                </c:pt>
                <c:pt idx="201">
                  <c:v>#N/A</c:v>
                </c:pt>
                <c:pt idx="202">
                  <c:v>#N/A</c:v>
                </c:pt>
                <c:pt idx="203">
                  <c:v>#N/A</c:v>
                </c:pt>
                <c:pt idx="204">
                  <c:v>2.0230000000000001</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2.3449999999999998</c:v>
                </c:pt>
                <c:pt idx="219">
                  <c:v>2.3679999999999999</c:v>
                </c:pt>
                <c:pt idx="220">
                  <c:v>#N/A</c:v>
                </c:pt>
                <c:pt idx="221">
                  <c:v>#N/A</c:v>
                </c:pt>
                <c:pt idx="222">
                  <c:v>#N/A</c:v>
                </c:pt>
                <c:pt idx="223">
                  <c:v>#N/A</c:v>
                </c:pt>
                <c:pt idx="224">
                  <c:v>2.4830000000000001</c:v>
                </c:pt>
                <c:pt idx="225">
                  <c:v>#N/A</c:v>
                </c:pt>
                <c:pt idx="226">
                  <c:v>#N/A</c:v>
                </c:pt>
                <c:pt idx="227">
                  <c:v>#N/A</c:v>
                </c:pt>
                <c:pt idx="228">
                  <c:v>#N/A</c:v>
                </c:pt>
                <c:pt idx="229">
                  <c:v>#N/A</c:v>
                </c:pt>
                <c:pt idx="230">
                  <c:v>#N/A</c:v>
                </c:pt>
                <c:pt idx="231">
                  <c:v>2.6440000000000001</c:v>
                </c:pt>
                <c:pt idx="232">
                  <c:v>#N/A</c:v>
                </c:pt>
                <c:pt idx="233">
                  <c:v>#N/A</c:v>
                </c:pt>
                <c:pt idx="234">
                  <c:v>2.7130000000000001</c:v>
                </c:pt>
                <c:pt idx="235">
                  <c:v>2.7359999999999998</c:v>
                </c:pt>
                <c:pt idx="236">
                  <c:v>2.7589999999999999</c:v>
                </c:pt>
                <c:pt idx="237">
                  <c:v>#N/A</c:v>
                </c:pt>
                <c:pt idx="238">
                  <c:v>#N/A</c:v>
                </c:pt>
                <c:pt idx="239">
                  <c:v>2.0459999999999998</c:v>
                </c:pt>
                <c:pt idx="240">
                  <c:v>#N/A</c:v>
                </c:pt>
                <c:pt idx="241">
                  <c:v>#N/A</c:v>
                </c:pt>
                <c:pt idx="242">
                  <c:v>#N/A</c:v>
                </c:pt>
                <c:pt idx="243">
                  <c:v>2.1379999999999999</c:v>
                </c:pt>
                <c:pt idx="244">
                  <c:v>#N/A</c:v>
                </c:pt>
                <c:pt idx="245">
                  <c:v>#N/A</c:v>
                </c:pt>
                <c:pt idx="246">
                  <c:v>#N/A</c:v>
                </c:pt>
                <c:pt idx="247">
                  <c:v>#N/A</c:v>
                </c:pt>
                <c:pt idx="248">
                  <c:v>#N/A</c:v>
                </c:pt>
                <c:pt idx="249">
                  <c:v>#N/A</c:v>
                </c:pt>
                <c:pt idx="250">
                  <c:v>2.2989999999999999</c:v>
                </c:pt>
                <c:pt idx="251">
                  <c:v>2.3220000000000001</c:v>
                </c:pt>
                <c:pt idx="252">
                  <c:v>#N/A</c:v>
                </c:pt>
                <c:pt idx="253">
                  <c:v>#N/A</c:v>
                </c:pt>
                <c:pt idx="254">
                  <c:v>#N/A</c:v>
                </c:pt>
                <c:pt idx="255">
                  <c:v>#N/A</c:v>
                </c:pt>
                <c:pt idx="256">
                  <c:v>#N/A</c:v>
                </c:pt>
                <c:pt idx="257">
                  <c:v>#N/A</c:v>
                </c:pt>
                <c:pt idx="258">
                  <c:v>#N/A</c:v>
                </c:pt>
                <c:pt idx="259">
                  <c:v>2.5060000000000002</c:v>
                </c:pt>
                <c:pt idx="260">
                  <c:v>#N/A</c:v>
                </c:pt>
                <c:pt idx="261">
                  <c:v>#N/A</c:v>
                </c:pt>
                <c:pt idx="262">
                  <c:v>#N/A</c:v>
                </c:pt>
                <c:pt idx="263">
                  <c:v>2.5979999999999999</c:v>
                </c:pt>
                <c:pt idx="264">
                  <c:v>#N/A</c:v>
                </c:pt>
                <c:pt idx="265">
                  <c:v>#N/A</c:v>
                </c:pt>
                <c:pt idx="266">
                  <c:v>#N/A</c:v>
                </c:pt>
                <c:pt idx="267">
                  <c:v>#N/A</c:v>
                </c:pt>
                <c:pt idx="268">
                  <c:v>#N/A</c:v>
                </c:pt>
                <c:pt idx="269">
                  <c:v>#N/A</c:v>
                </c:pt>
                <c:pt idx="270">
                  <c:v>#N/A</c:v>
                </c:pt>
                <c:pt idx="271">
                  <c:v>#N/A</c:v>
                </c:pt>
                <c:pt idx="272">
                  <c:v>#N/A</c:v>
                </c:pt>
                <c:pt idx="273">
                  <c:v>2.0459999999999998</c:v>
                </c:pt>
                <c:pt idx="274">
                  <c:v>2.069</c:v>
                </c:pt>
                <c:pt idx="275">
                  <c:v>#N/A</c:v>
                </c:pt>
                <c:pt idx="276">
                  <c:v>#N/A</c:v>
                </c:pt>
                <c:pt idx="277">
                  <c:v>#N/A</c:v>
                </c:pt>
                <c:pt idx="278">
                  <c:v>#N/A</c:v>
                </c:pt>
                <c:pt idx="279">
                  <c:v>2.1840000000000002</c:v>
                </c:pt>
                <c:pt idx="280">
                  <c:v>#N/A</c:v>
                </c:pt>
                <c:pt idx="281">
                  <c:v>#N/A</c:v>
                </c:pt>
                <c:pt idx="282">
                  <c:v>#N/A</c:v>
                </c:pt>
                <c:pt idx="283">
                  <c:v>2.2759999999999998</c:v>
                </c:pt>
                <c:pt idx="284">
                  <c:v>2.2989999999999999</c:v>
                </c:pt>
                <c:pt idx="285">
                  <c:v>#N/A</c:v>
                </c:pt>
                <c:pt idx="286">
                  <c:v>#N/A</c:v>
                </c:pt>
                <c:pt idx="287">
                  <c:v>2.3679999999999999</c:v>
                </c:pt>
                <c:pt idx="288">
                  <c:v>#N/A</c:v>
                </c:pt>
                <c:pt idx="289">
                  <c:v>#N/A</c:v>
                </c:pt>
                <c:pt idx="290">
                  <c:v>#N/A</c:v>
                </c:pt>
                <c:pt idx="291">
                  <c:v>2.46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2.0920000000000001</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2.5289999999999999</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2.4830000000000001</c:v>
                </c:pt>
                <c:pt idx="361">
                  <c:v>2.5060000000000002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#N/A</c:v>
                </c:pt>
                <c:pt idx="378">
                  <c:v>2.1150000000000002</c:v>
                </c:pt>
                <c:pt idx="379">
                  <c:v>2.1379999999999999</c:v>
                </c:pt>
                <c:pt idx="380">
                  <c:v>#N/A</c:v>
                </c:pt>
                <c:pt idx="381">
                  <c:v>2.1840000000000002</c:v>
                </c:pt>
                <c:pt idx="382">
                  <c:v>2.2069999999999999</c:v>
                </c:pt>
                <c:pt idx="383">
                  <c:v>#N/A</c:v>
                </c:pt>
                <c:pt idx="384">
                  <c:v>2.2530000000000001</c:v>
                </c:pt>
                <c:pt idx="385">
                  <c:v>#N/A</c:v>
                </c:pt>
                <c:pt idx="386">
                  <c:v>#N/A</c:v>
                </c:pt>
                <c:pt idx="387">
                  <c:v>#N/A</c:v>
                </c:pt>
                <c:pt idx="388">
                  <c:v>#N/A</c:v>
                </c:pt>
                <c:pt idx="389">
                  <c:v>#N/A</c:v>
                </c:pt>
                <c:pt idx="390">
                  <c:v>#N/A</c:v>
                </c:pt>
                <c:pt idx="391">
                  <c:v>#N/A</c:v>
                </c:pt>
                <c:pt idx="392">
                  <c:v>2.4369999999999998</c:v>
                </c:pt>
                <c:pt idx="393">
                  <c:v>#N/A</c:v>
                </c:pt>
                <c:pt idx="394">
                  <c:v>#N/A</c:v>
                </c:pt>
                <c:pt idx="395">
                  <c:v>#N/A</c:v>
                </c:pt>
                <c:pt idx="396">
                  <c:v>2.5289999999999999</c:v>
                </c:pt>
                <c:pt idx="397">
                  <c:v>#N/A</c:v>
                </c:pt>
                <c:pt idx="398">
                  <c:v>2.5750000000000002</c:v>
                </c:pt>
                <c:pt idx="399">
                  <c:v>#N/A</c:v>
                </c:pt>
                <c:pt idx="400">
                  <c:v>2.621</c:v>
                </c:pt>
                <c:pt idx="401">
                  <c:v>#N/A</c:v>
                </c:pt>
                <c:pt idx="402">
                  <c:v>#N/A</c:v>
                </c:pt>
                <c:pt idx="403">
                  <c:v>#N/A</c:v>
                </c:pt>
                <c:pt idx="404">
                  <c:v>#N/A</c:v>
                </c:pt>
                <c:pt idx="405">
                  <c:v>#N/A</c:v>
                </c:pt>
                <c:pt idx="406">
                  <c:v>#N/A</c:v>
                </c:pt>
                <c:pt idx="407">
                  <c:v>2</c:v>
                </c:pt>
                <c:pt idx="408">
                  <c:v>#N/A</c:v>
                </c:pt>
                <c:pt idx="409">
                  <c:v>#N/A</c:v>
                </c:pt>
                <c:pt idx="410">
                  <c:v>2.069</c:v>
                </c:pt>
                <c:pt idx="411">
                  <c:v>#N/A</c:v>
                </c:pt>
                <c:pt idx="412">
                  <c:v>#N/A</c:v>
                </c:pt>
                <c:pt idx="413">
                  <c:v>2.1379999999999999</c:v>
                </c:pt>
                <c:pt idx="414">
                  <c:v>2.161</c:v>
                </c:pt>
                <c:pt idx="415">
                  <c:v>2.1840000000000002</c:v>
                </c:pt>
                <c:pt idx="416">
                  <c:v>2.2069999999999999</c:v>
                </c:pt>
                <c:pt idx="417">
                  <c:v>2.23</c:v>
                </c:pt>
                <c:pt idx="418">
                  <c:v>#N/A</c:v>
                </c:pt>
                <c:pt idx="419">
                  <c:v>#N/A</c:v>
                </c:pt>
                <c:pt idx="420">
                  <c:v>#N/A</c:v>
                </c:pt>
                <c:pt idx="421">
                  <c:v>#N/A</c:v>
                </c:pt>
                <c:pt idx="422">
                  <c:v>#N/A</c:v>
                </c:pt>
                <c:pt idx="423">
                  <c:v>#N/A</c:v>
                </c:pt>
                <c:pt idx="424">
                  <c:v>#N/A</c:v>
                </c:pt>
                <c:pt idx="425">
                  <c:v>#N/A</c:v>
                </c:pt>
                <c:pt idx="426">
                  <c:v>#N/A</c:v>
                </c:pt>
                <c:pt idx="427">
                  <c:v>#N/A</c:v>
                </c:pt>
                <c:pt idx="428">
                  <c:v>2.4830000000000001</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2.069</c:v>
                </c:pt>
                <c:pt idx="445">
                  <c:v>#N/A</c:v>
                </c:pt>
                <c:pt idx="446">
                  <c:v>#N/A</c:v>
                </c:pt>
                <c:pt idx="447">
                  <c:v>2.1379999999999999</c:v>
                </c:pt>
                <c:pt idx="448">
                  <c:v>#N/A</c:v>
                </c:pt>
                <c:pt idx="449">
                  <c:v>2.1840000000000002</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2.2759999999999998</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2.6669999999999998</c:v>
                </c:pt>
                <c:pt idx="505">
                  <c:v>#N/A</c:v>
                </c:pt>
                <c:pt idx="506">
                  <c:v>2.7130000000000001</c:v>
                </c:pt>
                <c:pt idx="507">
                  <c:v>#N/A</c:v>
                </c:pt>
                <c:pt idx="508">
                  <c:v>#N/A</c:v>
                </c:pt>
                <c:pt idx="509">
                  <c:v>2</c:v>
                </c:pt>
                <c:pt idx="510">
                  <c:v>#N/A</c:v>
                </c:pt>
                <c:pt idx="511">
                  <c:v>#N/A</c:v>
                </c:pt>
                <c:pt idx="512">
                  <c:v>2.069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2.4830000000000001</c:v>
                </c:pt>
                <c:pt idx="531">
                  <c:v>#N/A</c:v>
                </c:pt>
                <c:pt idx="532">
                  <c:v>#N/A</c:v>
                </c:pt>
                <c:pt idx="533">
                  <c:v>#N/A</c:v>
                </c:pt>
                <c:pt idx="534">
                  <c:v>#N/A</c:v>
                </c:pt>
                <c:pt idx="535">
                  <c:v>2.5979999999999999</c:v>
                </c:pt>
                <c:pt idx="536">
                  <c:v>#N/A</c:v>
                </c:pt>
                <c:pt idx="537">
                  <c:v>#N/A</c:v>
                </c:pt>
                <c:pt idx="538">
                  <c:v>#N/A</c:v>
                </c:pt>
                <c:pt idx="539">
                  <c:v>#N/A</c:v>
                </c:pt>
                <c:pt idx="540">
                  <c:v>2.7130000000000001</c:v>
                </c:pt>
                <c:pt idx="541">
                  <c:v>#N/A</c:v>
                </c:pt>
                <c:pt idx="542">
                  <c:v>#N/A</c:v>
                </c:pt>
                <c:pt idx="543">
                  <c:v>#N/A</c:v>
                </c:pt>
                <c:pt idx="544">
                  <c:v>#N/A</c:v>
                </c:pt>
                <c:pt idx="545">
                  <c:v>#N/A</c:v>
                </c:pt>
                <c:pt idx="546">
                  <c:v>#N/A</c:v>
                </c:pt>
                <c:pt idx="547">
                  <c:v>#N/A</c:v>
                </c:pt>
                <c:pt idx="548">
                  <c:v>2.1150000000000002</c:v>
                </c:pt>
                <c:pt idx="549">
                  <c:v>#N/A</c:v>
                </c:pt>
                <c:pt idx="550">
                  <c:v>#N/A</c:v>
                </c:pt>
                <c:pt idx="551">
                  <c:v>#N/A</c:v>
                </c:pt>
                <c:pt idx="552">
                  <c:v>#N/A</c:v>
                </c:pt>
                <c:pt idx="553">
                  <c:v>#N/A</c:v>
                </c:pt>
                <c:pt idx="554">
                  <c:v>2.2530000000000001</c:v>
                </c:pt>
                <c:pt idx="555">
                  <c:v>2.2759999999999998</c:v>
                </c:pt>
                <c:pt idx="556">
                  <c:v>2.2989999999999999</c:v>
                </c:pt>
                <c:pt idx="557">
                  <c:v>#N/A</c:v>
                </c:pt>
                <c:pt idx="558">
                  <c:v>#N/A</c:v>
                </c:pt>
                <c:pt idx="559">
                  <c:v>#N/A</c:v>
                </c:pt>
                <c:pt idx="560">
                  <c:v>#N/A</c:v>
                </c:pt>
                <c:pt idx="561">
                  <c:v>#N/A</c:v>
                </c:pt>
                <c:pt idx="562">
                  <c:v>#N/A</c:v>
                </c:pt>
                <c:pt idx="563">
                  <c:v>2.46</c:v>
                </c:pt>
                <c:pt idx="564">
                  <c:v>2.4830000000000001</c:v>
                </c:pt>
                <c:pt idx="565">
                  <c:v>2.5060000000000002</c:v>
                </c:pt>
                <c:pt idx="566">
                  <c:v>#N/A</c:v>
                </c:pt>
                <c:pt idx="567">
                  <c:v>#N/A</c:v>
                </c:pt>
                <c:pt idx="568">
                  <c:v>2.5750000000000002</c:v>
                </c:pt>
                <c:pt idx="569">
                  <c:v>#N/A</c:v>
                </c:pt>
                <c:pt idx="570">
                  <c:v>#N/A</c:v>
                </c:pt>
                <c:pt idx="571">
                  <c:v>#N/A</c:v>
                </c:pt>
                <c:pt idx="572">
                  <c:v>#N/A</c:v>
                </c:pt>
                <c:pt idx="573">
                  <c:v>#N/A</c:v>
                </c:pt>
                <c:pt idx="574">
                  <c:v>2.7130000000000001</c:v>
                </c:pt>
                <c:pt idx="575">
                  <c:v>#N/A</c:v>
                </c:pt>
                <c:pt idx="576">
                  <c:v>#N/A</c:v>
                </c:pt>
                <c:pt idx="577">
                  <c:v>#N/A</c:v>
                </c:pt>
                <c:pt idx="578">
                  <c:v>#N/A</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2.4140000000000001</c:v>
                </c:pt>
                <c:pt idx="596">
                  <c:v>#N/A</c:v>
                </c:pt>
                <c:pt idx="597">
                  <c:v>#N/A</c:v>
                </c:pt>
                <c:pt idx="598">
                  <c:v>#N/A</c:v>
                </c:pt>
                <c:pt idx="599">
                  <c:v>#N/A</c:v>
                </c:pt>
                <c:pt idx="600">
                  <c:v>#N/A</c:v>
                </c:pt>
                <c:pt idx="601">
                  <c:v>2.552</c:v>
                </c:pt>
                <c:pt idx="602">
                  <c:v>#N/A</c:v>
                </c:pt>
                <c:pt idx="603">
                  <c:v>#N/A</c:v>
                </c:pt>
                <c:pt idx="604">
                  <c:v>#N/A</c:v>
                </c:pt>
                <c:pt idx="605">
                  <c:v>2.6440000000000001</c:v>
                </c:pt>
                <c:pt idx="606">
                  <c:v>#N/A</c:v>
                </c:pt>
                <c:pt idx="607">
                  <c:v>#N/A</c:v>
                </c:pt>
                <c:pt idx="608">
                  <c:v>#N/A</c:v>
                </c:pt>
                <c:pt idx="609">
                  <c:v>#N/A</c:v>
                </c:pt>
                <c:pt idx="610">
                  <c:v>#N/A</c:v>
                </c:pt>
                <c:pt idx="611">
                  <c:v>#N/A</c:v>
                </c:pt>
                <c:pt idx="612">
                  <c:v>#N/A</c:v>
                </c:pt>
                <c:pt idx="613">
                  <c:v>2.0459999999999998</c:v>
                </c:pt>
                <c:pt idx="614">
                  <c:v>2.069</c:v>
                </c:pt>
                <c:pt idx="615">
                  <c:v>#N/A</c:v>
                </c:pt>
                <c:pt idx="616">
                  <c:v>2.1150000000000002</c:v>
                </c:pt>
                <c:pt idx="617">
                  <c:v>#N/A</c:v>
                </c:pt>
                <c:pt idx="618">
                  <c:v>#N/A</c:v>
                </c:pt>
                <c:pt idx="619">
                  <c:v>#N/A</c:v>
                </c:pt>
                <c:pt idx="620">
                  <c:v>#N/A</c:v>
                </c:pt>
                <c:pt idx="621">
                  <c:v>#N/A</c:v>
                </c:pt>
                <c:pt idx="622">
                  <c:v>2.2530000000000001</c:v>
                </c:pt>
                <c:pt idx="623">
                  <c:v>2.2759999999999998</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2.2759999999999998</c:v>
                </c:pt>
                <c:pt idx="658">
                  <c:v>#N/A</c:v>
                </c:pt>
                <c:pt idx="659">
                  <c:v>2.3220000000000001</c:v>
                </c:pt>
                <c:pt idx="660">
                  <c:v>#N/A</c:v>
                </c:pt>
                <c:pt idx="661">
                  <c:v>#N/A</c:v>
                </c:pt>
                <c:pt idx="662">
                  <c:v>2.391</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2.7589999999999999</c:v>
                </c:pt>
                <c:pt idx="679">
                  <c:v>#N/A</c:v>
                </c:pt>
                <c:pt idx="680">
                  <c:v>#N/A</c:v>
                </c:pt>
                <c:pt idx="681">
                  <c:v>#N/A</c:v>
                </c:pt>
                <c:pt idx="682">
                  <c:v>#N/A</c:v>
                </c:pt>
                <c:pt idx="683">
                  <c:v>#N/A</c:v>
                </c:pt>
                <c:pt idx="684">
                  <c:v>#N/A</c:v>
                </c:pt>
                <c:pt idx="685">
                  <c:v>#N/A</c:v>
                </c:pt>
                <c:pt idx="686">
                  <c:v>#N/A</c:v>
                </c:pt>
                <c:pt idx="687">
                  <c:v>#N/A</c:v>
                </c:pt>
                <c:pt idx="688">
                  <c:v>2.2069999999999999</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2.6440000000000001</c:v>
                </c:pt>
                <c:pt idx="708">
                  <c:v>#N/A</c:v>
                </c:pt>
                <c:pt idx="709">
                  <c:v>2.69</c:v>
                </c:pt>
                <c:pt idx="710">
                  <c:v>#N/A</c:v>
                </c:pt>
                <c:pt idx="711">
                  <c:v>#N/A</c:v>
                </c:pt>
                <c:pt idx="712">
                  <c:v>#N/A</c:v>
                </c:pt>
                <c:pt idx="713">
                  <c:v>2</c:v>
                </c:pt>
                <c:pt idx="714">
                  <c:v>2.0230000000000001</c:v>
                </c:pt>
                <c:pt idx="715">
                  <c:v>#N/A</c:v>
                </c:pt>
                <c:pt idx="716">
                  <c:v>2.069</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2.391</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2.69</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2.2069999999999999</c:v>
                </c:pt>
                <c:pt idx="757">
                  <c:v>#N/A</c:v>
                </c:pt>
                <c:pt idx="758">
                  <c:v>2.2530000000000001</c:v>
                </c:pt>
                <c:pt idx="759">
                  <c:v>2.2759999999999998</c:v>
                </c:pt>
                <c:pt idx="760">
                  <c:v>#N/A</c:v>
                </c:pt>
                <c:pt idx="761">
                  <c:v>2.3220000000000001</c:v>
                </c:pt>
                <c:pt idx="762">
                  <c:v>#N/A</c:v>
                </c:pt>
                <c:pt idx="763">
                  <c:v>#N/A</c:v>
                </c:pt>
                <c:pt idx="764">
                  <c:v>#N/A</c:v>
                </c:pt>
                <c:pt idx="765">
                  <c:v>#N/A</c:v>
                </c:pt>
                <c:pt idx="766">
                  <c:v>#N/A</c:v>
                </c:pt>
                <c:pt idx="767">
                  <c:v>#N/A</c:v>
                </c:pt>
                <c:pt idx="768">
                  <c:v>#N/A</c:v>
                </c:pt>
                <c:pt idx="769">
                  <c:v>2.5060000000000002</c:v>
                </c:pt>
                <c:pt idx="770">
                  <c:v>#N/A</c:v>
                </c:pt>
                <c:pt idx="771">
                  <c:v>#N/A</c:v>
                </c:pt>
                <c:pt idx="772">
                  <c:v>#N/A</c:v>
                </c:pt>
                <c:pt idx="773">
                  <c:v>#N/A</c:v>
                </c:pt>
                <c:pt idx="774">
                  <c:v>#N/A</c:v>
                </c:pt>
                <c:pt idx="775">
                  <c:v>2.6440000000000001</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#N/A</c:v>
                </c:pt>
                <c:pt idx="800">
                  <c:v>2.4369999999999998</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2.0920000000000001</c:v>
                </c:pt>
                <c:pt idx="820">
                  <c:v>#N/A</c:v>
                </c:pt>
                <c:pt idx="821">
                  <c:v>#N/A</c:v>
                </c:pt>
                <c:pt idx="822">
                  <c:v>#N/A</c:v>
                </c:pt>
                <c:pt idx="823">
                  <c:v>#N/A</c:v>
                </c:pt>
                <c:pt idx="824">
                  <c:v>2.2069999999999999</c:v>
                </c:pt>
                <c:pt idx="825">
                  <c:v>2.23</c:v>
                </c:pt>
                <c:pt idx="826">
                  <c:v>#N/A</c:v>
                </c:pt>
                <c:pt idx="827">
                  <c:v>#N/A</c:v>
                </c:pt>
                <c:pt idx="828">
                  <c:v>#N/A</c:v>
                </c:pt>
                <c:pt idx="829">
                  <c:v>#N/A</c:v>
                </c:pt>
                <c:pt idx="830">
                  <c:v>2.3449999999999998</c:v>
                </c:pt>
                <c:pt idx="831">
                  <c:v>#N/A</c:v>
                </c:pt>
                <c:pt idx="832">
                  <c:v>2.391</c:v>
                </c:pt>
                <c:pt idx="833">
                  <c:v>#N/A</c:v>
                </c:pt>
                <c:pt idx="834">
                  <c:v>2.4369999999999998</c:v>
                </c:pt>
                <c:pt idx="835">
                  <c:v>#N/A</c:v>
                </c:pt>
                <c:pt idx="836">
                  <c:v>#N/A</c:v>
                </c:pt>
                <c:pt idx="837">
                  <c:v>#N/A</c:v>
                </c:pt>
                <c:pt idx="838">
                  <c:v>#N/A</c:v>
                </c:pt>
                <c:pt idx="839">
                  <c:v>2.552</c:v>
                </c:pt>
                <c:pt idx="840">
                  <c:v>#N/A</c:v>
                </c:pt>
                <c:pt idx="841">
                  <c:v>#N/A</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2024</c:v>
                </c:pt>
                <c:pt idx="104">
                  <c:v>#N/A</c:v>
                </c:pt>
                <c:pt idx="105">
                  <c:v>#N/A</c:v>
                </c:pt>
                <c:pt idx="106">
                  <c:v>#N/A</c:v>
                </c:pt>
                <c:pt idx="107">
                  <c:v>#N/A</c:v>
                </c:pt>
                <c:pt idx="108">
                  <c:v>#N/A</c:v>
                </c:pt>
                <c:pt idx="109">
                  <c:v>2025</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2026</c:v>
                </c:pt>
                <c:pt idx="125">
                  <c:v>2019</c:v>
                </c:pt>
                <c:pt idx="126">
                  <c:v>#N/A</c:v>
                </c:pt>
                <c:pt idx="127">
                  <c:v>#N/A</c:v>
                </c:pt>
                <c:pt idx="128">
                  <c:v>#N/A</c:v>
                </c:pt>
                <c:pt idx="129">
                  <c:v>#N/A</c:v>
                </c:pt>
                <c:pt idx="130">
                  <c:v>2025</c:v>
                </c:pt>
                <c:pt idx="131">
                  <c:v>#N/A</c:v>
                </c:pt>
                <c:pt idx="132">
                  <c:v>2023</c:v>
                </c:pt>
                <c:pt idx="133">
                  <c:v>#N/A</c:v>
                </c:pt>
                <c:pt idx="134">
                  <c:v>2013</c:v>
                </c:pt>
                <c:pt idx="135">
                  <c:v>#N/A</c:v>
                </c:pt>
                <c:pt idx="136">
                  <c:v>#N/A</c:v>
                </c:pt>
                <c:pt idx="137">
                  <c:v>2025</c:v>
                </c:pt>
                <c:pt idx="138">
                  <c:v>#N/A</c:v>
                </c:pt>
                <c:pt idx="139">
                  <c:v>#N/A</c:v>
                </c:pt>
                <c:pt idx="140">
                  <c:v>#N/A</c:v>
                </c:pt>
                <c:pt idx="141">
                  <c:v>#N/A</c:v>
                </c:pt>
                <c:pt idx="142">
                  <c:v>#N/A</c:v>
                </c:pt>
                <c:pt idx="143">
                  <c:v>#N/A</c:v>
                </c:pt>
                <c:pt idx="144">
                  <c:v>#N/A</c:v>
                </c:pt>
                <c:pt idx="145">
                  <c:v>#N/A</c:v>
                </c:pt>
                <c:pt idx="146">
                  <c:v>2023</c:v>
                </c:pt>
                <c:pt idx="147">
                  <c:v>2026</c:v>
                </c:pt>
                <c:pt idx="148">
                  <c:v>2023</c:v>
                </c:pt>
                <c:pt idx="149">
                  <c:v>#N/A</c:v>
                </c:pt>
                <c:pt idx="150">
                  <c:v>2025</c:v>
                </c:pt>
                <c:pt idx="151">
                  <c:v>#N/A</c:v>
                </c:pt>
                <c:pt idx="152">
                  <c:v>#N/A</c:v>
                </c:pt>
                <c:pt idx="153">
                  <c:v>#N/A</c:v>
                </c:pt>
                <c:pt idx="154">
                  <c:v>#N/A</c:v>
                </c:pt>
                <c:pt idx="155">
                  <c:v>2023</c:v>
                </c:pt>
                <c:pt idx="156">
                  <c:v>2025</c:v>
                </c:pt>
                <c:pt idx="157">
                  <c:v>2026</c:v>
                </c:pt>
                <c:pt idx="158">
                  <c:v>#N/A</c:v>
                </c:pt>
                <c:pt idx="159">
                  <c:v>#N/A</c:v>
                </c:pt>
                <c:pt idx="160">
                  <c:v>2024</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2025</c:v>
                </c:pt>
                <c:pt idx="176">
                  <c:v>#N/A</c:v>
                </c:pt>
                <c:pt idx="177">
                  <c:v>#N/A</c:v>
                </c:pt>
                <c:pt idx="178">
                  <c:v>#N/A</c:v>
                </c:pt>
                <c:pt idx="179">
                  <c:v>#N/A</c:v>
                </c:pt>
                <c:pt idx="180">
                  <c:v>#N/A</c:v>
                </c:pt>
                <c:pt idx="181">
                  <c:v>2023</c:v>
                </c:pt>
                <c:pt idx="182">
                  <c:v>#N/A</c:v>
                </c:pt>
                <c:pt idx="183">
                  <c:v>2019</c:v>
                </c:pt>
                <c:pt idx="184">
                  <c:v>2025</c:v>
                </c:pt>
                <c:pt idx="185">
                  <c:v>2025</c:v>
                </c:pt>
                <c:pt idx="186">
                  <c:v>#N/A</c:v>
                </c:pt>
                <c:pt idx="187">
                  <c:v>#N/A</c:v>
                </c:pt>
                <c:pt idx="188">
                  <c:v>2018</c:v>
                </c:pt>
                <c:pt idx="189">
                  <c:v>2021</c:v>
                </c:pt>
                <c:pt idx="190">
                  <c:v>#N/A</c:v>
                </c:pt>
                <c:pt idx="191">
                  <c:v>#N/A</c:v>
                </c:pt>
                <c:pt idx="192">
                  <c:v>#N/A</c:v>
                </c:pt>
                <c:pt idx="193">
                  <c:v>2025</c:v>
                </c:pt>
                <c:pt idx="194">
                  <c:v>#N/A</c:v>
                </c:pt>
                <c:pt idx="195">
                  <c:v>#N/A</c:v>
                </c:pt>
                <c:pt idx="196">
                  <c:v>#N/A</c:v>
                </c:pt>
                <c:pt idx="197">
                  <c:v>#N/A</c:v>
                </c:pt>
                <c:pt idx="198">
                  <c:v>#N/A</c:v>
                </c:pt>
                <c:pt idx="199">
                  <c:v>#N/A</c:v>
                </c:pt>
                <c:pt idx="200">
                  <c:v>2024</c:v>
                </c:pt>
                <c:pt idx="201">
                  <c:v>2026</c:v>
                </c:pt>
                <c:pt idx="202">
                  <c:v>2025</c:v>
                </c:pt>
                <c:pt idx="203">
                  <c:v>#N/A</c:v>
                </c:pt>
                <c:pt idx="204">
                  <c:v>2025</c:v>
                </c:pt>
                <c:pt idx="205">
                  <c:v>2024</c:v>
                </c:pt>
                <c:pt idx="206">
                  <c:v>2024</c:v>
                </c:pt>
                <c:pt idx="207">
                  <c:v>2019</c:v>
                </c:pt>
                <c:pt idx="208">
                  <c:v>2025</c:v>
                </c:pt>
                <c:pt idx="209">
                  <c:v>2025</c:v>
                </c:pt>
                <c:pt idx="210">
                  <c:v>#N/A</c:v>
                </c:pt>
                <c:pt idx="211">
                  <c:v>2024</c:v>
                </c:pt>
                <c:pt idx="212">
                  <c:v>#N/A</c:v>
                </c:pt>
                <c:pt idx="213">
                  <c:v>#N/A</c:v>
                </c:pt>
                <c:pt idx="214">
                  <c:v>2024</c:v>
                </c:pt>
                <c:pt idx="215">
                  <c:v>2025</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2014</c:v>
                </c:pt>
                <c:pt idx="232">
                  <c:v>#N/A</c:v>
                </c:pt>
                <c:pt idx="233">
                  <c:v>#N/A</c:v>
                </c:pt>
                <c:pt idx="234">
                  <c:v>#N/A</c:v>
                </c:pt>
                <c:pt idx="235">
                  <c:v>#N/A</c:v>
                </c:pt>
                <c:pt idx="236">
                  <c:v>2024</c:v>
                </c:pt>
                <c:pt idx="237">
                  <c:v>#N/A</c:v>
                </c:pt>
                <c:pt idx="238">
                  <c:v>#N/A</c:v>
                </c:pt>
                <c:pt idx="239">
                  <c:v>#N/A</c:v>
                </c:pt>
                <c:pt idx="240">
                  <c:v>#N/A</c:v>
                </c:pt>
                <c:pt idx="241">
                  <c:v>#N/A</c:v>
                </c:pt>
                <c:pt idx="242">
                  <c:v>#N/A</c:v>
                </c:pt>
                <c:pt idx="243">
                  <c:v>#N/A</c:v>
                </c:pt>
                <c:pt idx="244">
                  <c:v>2024</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2023</c:v>
                </c:pt>
                <c:pt idx="260">
                  <c:v>#N/A</c:v>
                </c:pt>
                <c:pt idx="261">
                  <c:v>#N/A</c:v>
                </c:pt>
                <c:pt idx="262">
                  <c:v>#N/A</c:v>
                </c:pt>
                <c:pt idx="263">
                  <c:v>#N/A</c:v>
                </c:pt>
                <c:pt idx="264">
                  <c:v>#N/A</c:v>
                </c:pt>
                <c:pt idx="265">
                  <c:v>#N/A</c:v>
                </c:pt>
                <c:pt idx="266">
                  <c:v>#N/A</c:v>
                </c:pt>
                <c:pt idx="267">
                  <c:v>#N/A</c:v>
                </c:pt>
                <c:pt idx="268">
                  <c:v>#N/A</c:v>
                </c:pt>
                <c:pt idx="269">
                  <c:v>2024</c:v>
                </c:pt>
                <c:pt idx="270">
                  <c:v>2024</c:v>
                </c:pt>
                <c:pt idx="271">
                  <c:v>#N/A</c:v>
                </c:pt>
                <c:pt idx="272">
                  <c:v>#N/A</c:v>
                </c:pt>
                <c:pt idx="273">
                  <c:v>#N/A</c:v>
                </c:pt>
                <c:pt idx="274">
                  <c:v>2021</c:v>
                </c:pt>
                <c:pt idx="275">
                  <c:v>#N/A</c:v>
                </c:pt>
                <c:pt idx="276">
                  <c:v>#N/A</c:v>
                </c:pt>
                <c:pt idx="277">
                  <c:v>#N/A</c:v>
                </c:pt>
                <c:pt idx="278">
                  <c:v>#N/A</c:v>
                </c:pt>
                <c:pt idx="279">
                  <c:v>#N/A</c:v>
                </c:pt>
                <c:pt idx="280">
                  <c:v>2026</c:v>
                </c:pt>
                <c:pt idx="281">
                  <c:v>#N/A</c:v>
                </c:pt>
                <c:pt idx="282">
                  <c:v>#N/A</c:v>
                </c:pt>
                <c:pt idx="283">
                  <c:v>#N/A</c:v>
                </c:pt>
                <c:pt idx="284">
                  <c:v>2020</c:v>
                </c:pt>
                <c:pt idx="285">
                  <c:v>#N/A</c:v>
                </c:pt>
                <c:pt idx="286">
                  <c:v>#N/A</c:v>
                </c:pt>
                <c:pt idx="287">
                  <c:v>#N/A</c:v>
                </c:pt>
                <c:pt idx="288">
                  <c:v>#N/A</c:v>
                </c:pt>
                <c:pt idx="289">
                  <c:v>#N/A</c:v>
                </c:pt>
                <c:pt idx="290">
                  <c:v>#N/A</c:v>
                </c:pt>
                <c:pt idx="291">
                  <c:v>#N/A</c:v>
                </c:pt>
                <c:pt idx="292">
                  <c:v>#N/A</c:v>
                </c:pt>
                <c:pt idx="293">
                  <c:v>#N/A</c:v>
                </c:pt>
                <c:pt idx="294">
                  <c:v>#N/A</c:v>
                </c:pt>
                <c:pt idx="295">
                  <c:v>#N/A</c:v>
                </c:pt>
                <c:pt idx="296">
                  <c:v>2026</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2026</c:v>
                </c:pt>
                <c:pt idx="311">
                  <c:v>#N/A</c:v>
                </c:pt>
                <c:pt idx="312">
                  <c:v>#N/A</c:v>
                </c:pt>
                <c:pt idx="313">
                  <c:v>#N/A</c:v>
                </c:pt>
                <c:pt idx="314">
                  <c:v>#N/A</c:v>
                </c:pt>
                <c:pt idx="315">
                  <c:v>#N/A</c:v>
                </c:pt>
                <c:pt idx="316">
                  <c:v>#N/A</c:v>
                </c:pt>
                <c:pt idx="317">
                  <c:v>#N/A</c:v>
                </c:pt>
                <c:pt idx="318">
                  <c:v>#N/A</c:v>
                </c:pt>
                <c:pt idx="319">
                  <c:v>#N/A</c:v>
                </c:pt>
                <c:pt idx="320">
                  <c:v>2020</c:v>
                </c:pt>
                <c:pt idx="321">
                  <c:v>#N/A</c:v>
                </c:pt>
                <c:pt idx="322">
                  <c:v>#N/A</c:v>
                </c:pt>
                <c:pt idx="323">
                  <c:v>2020</c:v>
                </c:pt>
                <c:pt idx="324">
                  <c:v>#N/A</c:v>
                </c:pt>
                <c:pt idx="325">
                  <c:v>#N/A</c:v>
                </c:pt>
                <c:pt idx="326">
                  <c:v>2015</c:v>
                </c:pt>
                <c:pt idx="327">
                  <c:v>#N/A</c:v>
                </c:pt>
                <c:pt idx="328">
                  <c:v>#N/A</c:v>
                </c:pt>
                <c:pt idx="329">
                  <c:v>#N/A</c:v>
                </c:pt>
                <c:pt idx="330">
                  <c:v>#N/A</c:v>
                </c:pt>
                <c:pt idx="331">
                  <c:v>#N/A</c:v>
                </c:pt>
                <c:pt idx="332">
                  <c:v>#N/A</c:v>
                </c:pt>
                <c:pt idx="333">
                  <c:v>#N/A</c:v>
                </c:pt>
                <c:pt idx="334">
                  <c:v>2021</c:v>
                </c:pt>
                <c:pt idx="335">
                  <c:v>#N/A</c:v>
                </c:pt>
                <c:pt idx="336">
                  <c:v>#N/A</c:v>
                </c:pt>
                <c:pt idx="337">
                  <c:v>#N/A</c:v>
                </c:pt>
                <c:pt idx="338">
                  <c:v>2014</c:v>
                </c:pt>
                <c:pt idx="339">
                  <c:v>2017</c:v>
                </c:pt>
                <c:pt idx="340">
                  <c:v>#N/A</c:v>
                </c:pt>
                <c:pt idx="341">
                  <c:v>2026</c:v>
                </c:pt>
                <c:pt idx="342">
                  <c:v>#N/A</c:v>
                </c:pt>
                <c:pt idx="343">
                  <c:v>#N/A</c:v>
                </c:pt>
                <c:pt idx="344">
                  <c:v>#N/A</c:v>
                </c:pt>
                <c:pt idx="345">
                  <c:v>#N/A</c:v>
                </c:pt>
                <c:pt idx="346">
                  <c:v>#N/A</c:v>
                </c:pt>
                <c:pt idx="347">
                  <c:v>2025</c:v>
                </c:pt>
                <c:pt idx="348">
                  <c:v>#N/A</c:v>
                </c:pt>
                <c:pt idx="349">
                  <c:v>#N/A</c:v>
                </c:pt>
                <c:pt idx="350">
                  <c:v>#N/A</c:v>
                </c:pt>
                <c:pt idx="351">
                  <c:v>#N/A</c:v>
                </c:pt>
                <c:pt idx="352">
                  <c:v>#N/A</c:v>
                </c:pt>
                <c:pt idx="353">
                  <c:v>#N/A</c:v>
                </c:pt>
                <c:pt idx="354">
                  <c:v>2023</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2021</c:v>
                </c:pt>
                <c:pt idx="380">
                  <c:v>#N/A</c:v>
                </c:pt>
                <c:pt idx="381">
                  <c:v>#N/A</c:v>
                </c:pt>
                <c:pt idx="382">
                  <c:v>2025</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2025</c:v>
                </c:pt>
                <c:pt idx="401">
                  <c:v>2020</c:v>
                </c:pt>
                <c:pt idx="402">
                  <c:v>#N/A</c:v>
                </c:pt>
                <c:pt idx="403">
                  <c:v>#N/A</c:v>
                </c:pt>
                <c:pt idx="404">
                  <c:v>#N/A</c:v>
                </c:pt>
                <c:pt idx="405">
                  <c:v>#N/A</c:v>
                </c:pt>
                <c:pt idx="406">
                  <c:v>#N/A</c:v>
                </c:pt>
                <c:pt idx="407">
                  <c:v>#N/A</c:v>
                </c:pt>
                <c:pt idx="408">
                  <c:v>2026</c:v>
                </c:pt>
                <c:pt idx="409">
                  <c:v>#N/A</c:v>
                </c:pt>
                <c:pt idx="410">
                  <c:v>#N/A</c:v>
                </c:pt>
                <c:pt idx="411">
                  <c:v>#N/A</c:v>
                </c:pt>
                <c:pt idx="412">
                  <c:v>#N/A</c:v>
                </c:pt>
                <c:pt idx="413">
                  <c:v>#N/A</c:v>
                </c:pt>
                <c:pt idx="414">
                  <c:v>#N/A</c:v>
                </c:pt>
                <c:pt idx="415">
                  <c:v>#N/A</c:v>
                </c:pt>
                <c:pt idx="416">
                  <c:v>#N/A</c:v>
                </c:pt>
                <c:pt idx="417">
                  <c:v>#N/A</c:v>
                </c:pt>
                <c:pt idx="418">
                  <c:v>#N/A</c:v>
                </c:pt>
                <c:pt idx="419">
                  <c:v>2023</c:v>
                </c:pt>
                <c:pt idx="420">
                  <c:v>2022</c:v>
                </c:pt>
                <c:pt idx="421">
                  <c:v>#N/A</c:v>
                </c:pt>
                <c:pt idx="422">
                  <c:v>#N/A</c:v>
                </c:pt>
                <c:pt idx="423">
                  <c:v>2024</c:v>
                </c:pt>
                <c:pt idx="424">
                  <c:v>2021</c:v>
                </c:pt>
                <c:pt idx="425">
                  <c:v>2023</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2024</c:v>
                </c:pt>
                <c:pt idx="440">
                  <c:v>2024</c:v>
                </c:pt>
                <c:pt idx="441">
                  <c:v>2026</c:v>
                </c:pt>
                <c:pt idx="442">
                  <c:v>2025</c:v>
                </c:pt>
                <c:pt idx="443">
                  <c:v>#N/A</c:v>
                </c:pt>
                <c:pt idx="444">
                  <c:v>#N/A</c:v>
                </c:pt>
                <c:pt idx="445">
                  <c:v>#N/A</c:v>
                </c:pt>
                <c:pt idx="446">
                  <c:v>#N/A</c:v>
                </c:pt>
                <c:pt idx="447">
                  <c:v>#N/A</c:v>
                </c:pt>
                <c:pt idx="448">
                  <c:v>#N/A</c:v>
                </c:pt>
                <c:pt idx="449">
                  <c:v>#N/A</c:v>
                </c:pt>
                <c:pt idx="450">
                  <c:v>#N/A</c:v>
                </c:pt>
                <c:pt idx="451">
                  <c:v>#N/A</c:v>
                </c:pt>
                <c:pt idx="452">
                  <c:v>#N/A</c:v>
                </c:pt>
                <c:pt idx="453">
                  <c:v>#N/A</c:v>
                </c:pt>
                <c:pt idx="454">
                  <c:v>2021</c:v>
                </c:pt>
                <c:pt idx="455">
                  <c:v>#N/A</c:v>
                </c:pt>
                <c:pt idx="456">
                  <c:v>#N/A</c:v>
                </c:pt>
                <c:pt idx="457">
                  <c:v>#N/A</c:v>
                </c:pt>
                <c:pt idx="458">
                  <c:v>#N/A</c:v>
                </c:pt>
                <c:pt idx="459">
                  <c:v>2017</c:v>
                </c:pt>
                <c:pt idx="460">
                  <c:v>2020</c:v>
                </c:pt>
                <c:pt idx="461">
                  <c:v>2025</c:v>
                </c:pt>
                <c:pt idx="462">
                  <c:v>#N/A</c:v>
                </c:pt>
                <c:pt idx="463">
                  <c:v>#N/A</c:v>
                </c:pt>
                <c:pt idx="464">
                  <c:v>2026</c:v>
                </c:pt>
                <c:pt idx="465">
                  <c:v>#N/A</c:v>
                </c:pt>
                <c:pt idx="466">
                  <c:v>#N/A</c:v>
                </c:pt>
                <c:pt idx="467">
                  <c:v>#N/A</c:v>
                </c:pt>
                <c:pt idx="468">
                  <c:v>#N/A</c:v>
                </c:pt>
                <c:pt idx="469">
                  <c:v>#N/A</c:v>
                </c:pt>
                <c:pt idx="470">
                  <c:v>#N/A</c:v>
                </c:pt>
                <c:pt idx="471">
                  <c:v>#N/A</c:v>
                </c:pt>
                <c:pt idx="472">
                  <c:v>2024</c:v>
                </c:pt>
                <c:pt idx="473">
                  <c:v>#N/A</c:v>
                </c:pt>
                <c:pt idx="474">
                  <c:v>#N/A</c:v>
                </c:pt>
                <c:pt idx="475">
                  <c:v>#N/A</c:v>
                </c:pt>
                <c:pt idx="476">
                  <c:v>#N/A</c:v>
                </c:pt>
                <c:pt idx="477">
                  <c:v>#N/A</c:v>
                </c:pt>
                <c:pt idx="478">
                  <c:v>#N/A</c:v>
                </c:pt>
                <c:pt idx="479">
                  <c:v>#N/A</c:v>
                </c:pt>
                <c:pt idx="480">
                  <c:v>2025</c:v>
                </c:pt>
                <c:pt idx="481">
                  <c:v>#N/A</c:v>
                </c:pt>
                <c:pt idx="482">
                  <c:v>#N/A</c:v>
                </c:pt>
                <c:pt idx="483">
                  <c:v>#N/A</c:v>
                </c:pt>
                <c:pt idx="484">
                  <c:v>2022</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2026</c:v>
                </c:pt>
                <c:pt idx="498">
                  <c:v>#N/A</c:v>
                </c:pt>
                <c:pt idx="499">
                  <c:v>#N/A</c:v>
                </c:pt>
                <c:pt idx="500">
                  <c:v>#N/A</c:v>
                </c:pt>
                <c:pt idx="501">
                  <c:v>#N/A</c:v>
                </c:pt>
                <c:pt idx="502">
                  <c:v>#N/A</c:v>
                </c:pt>
                <c:pt idx="503">
                  <c:v>#N/A</c:v>
                </c:pt>
                <c:pt idx="504">
                  <c:v>#N/A</c:v>
                </c:pt>
                <c:pt idx="505">
                  <c:v>#N/A</c:v>
                </c:pt>
                <c:pt idx="506">
                  <c:v>#N/A</c:v>
                </c:pt>
                <c:pt idx="507">
                  <c:v>2019</c:v>
                </c:pt>
                <c:pt idx="508">
                  <c:v>#N/A</c:v>
                </c:pt>
                <c:pt idx="509">
                  <c:v>#N/A</c:v>
                </c:pt>
                <c:pt idx="510">
                  <c:v>#N/A</c:v>
                </c:pt>
                <c:pt idx="511">
                  <c:v>#N/A</c:v>
                </c:pt>
                <c:pt idx="512">
                  <c:v>#N/A</c:v>
                </c:pt>
                <c:pt idx="513">
                  <c:v>2021</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2026</c:v>
                </c:pt>
                <c:pt idx="527">
                  <c:v>#N/A</c:v>
                </c:pt>
                <c:pt idx="528">
                  <c:v>#N/A</c:v>
                </c:pt>
                <c:pt idx="529">
                  <c:v>#N/A</c:v>
                </c:pt>
                <c:pt idx="530">
                  <c:v>#N/A</c:v>
                </c:pt>
                <c:pt idx="531">
                  <c:v>2025</c:v>
                </c:pt>
                <c:pt idx="532">
                  <c:v>#N/A</c:v>
                </c:pt>
                <c:pt idx="533">
                  <c:v>#N/A</c:v>
                </c:pt>
                <c:pt idx="534">
                  <c:v>#N/A</c:v>
                </c:pt>
                <c:pt idx="535">
                  <c:v>#N/A</c:v>
                </c:pt>
                <c:pt idx="536">
                  <c:v>#N/A</c:v>
                </c:pt>
                <c:pt idx="537">
                  <c:v>#N/A</c:v>
                </c:pt>
                <c:pt idx="538">
                  <c:v>#N/A</c:v>
                </c:pt>
                <c:pt idx="539">
                  <c:v>#N/A</c:v>
                </c:pt>
                <c:pt idx="540">
                  <c:v>2022</c:v>
                </c:pt>
                <c:pt idx="541">
                  <c:v>2026</c:v>
                </c:pt>
                <c:pt idx="542">
                  <c:v>#N/A</c:v>
                </c:pt>
                <c:pt idx="543">
                  <c:v>#N/A</c:v>
                </c:pt>
                <c:pt idx="544">
                  <c:v>#N/A</c:v>
                </c:pt>
                <c:pt idx="545">
                  <c:v>2025</c:v>
                </c:pt>
                <c:pt idx="546">
                  <c:v>#N/A</c:v>
                </c:pt>
                <c:pt idx="547">
                  <c:v>#N/A</c:v>
                </c:pt>
                <c:pt idx="548">
                  <c:v>2026</c:v>
                </c:pt>
                <c:pt idx="549">
                  <c:v>2021</c:v>
                </c:pt>
                <c:pt idx="550">
                  <c:v>2026</c:v>
                </c:pt>
                <c:pt idx="551">
                  <c:v>2022</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2026</c:v>
                </c:pt>
                <c:pt idx="573">
                  <c:v>#N/A</c:v>
                </c:pt>
                <c:pt idx="574">
                  <c:v>#N/A</c:v>
                </c:pt>
                <c:pt idx="575">
                  <c:v>#N/A</c:v>
                </c:pt>
                <c:pt idx="576">
                  <c:v>#N/A</c:v>
                </c:pt>
                <c:pt idx="577">
                  <c:v>2019</c:v>
                </c:pt>
                <c:pt idx="578">
                  <c:v>#N/A</c:v>
                </c:pt>
                <c:pt idx="579">
                  <c:v>#N/A</c:v>
                </c:pt>
                <c:pt idx="580">
                  <c:v>#N/A</c:v>
                </c:pt>
                <c:pt idx="581">
                  <c:v>#N/A</c:v>
                </c:pt>
                <c:pt idx="582">
                  <c:v>#N/A</c:v>
                </c:pt>
                <c:pt idx="583">
                  <c:v>#N/A</c:v>
                </c:pt>
                <c:pt idx="584">
                  <c:v>#N/A</c:v>
                </c:pt>
                <c:pt idx="585">
                  <c:v>2025</c:v>
                </c:pt>
                <c:pt idx="586">
                  <c:v>#N/A</c:v>
                </c:pt>
                <c:pt idx="587">
                  <c:v>#N/A</c:v>
                </c:pt>
                <c:pt idx="588">
                  <c:v>#N/A</c:v>
                </c:pt>
                <c:pt idx="589">
                  <c:v>#N/A</c:v>
                </c:pt>
                <c:pt idx="590">
                  <c:v>#N/A</c:v>
                </c:pt>
                <c:pt idx="591">
                  <c:v>#N/A</c:v>
                </c:pt>
                <c:pt idx="592">
                  <c:v>#N/A</c:v>
                </c:pt>
                <c:pt idx="593">
                  <c:v>2022</c:v>
                </c:pt>
                <c:pt idx="594">
                  <c:v>#N/A</c:v>
                </c:pt>
                <c:pt idx="595">
                  <c:v>2025</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2024</c:v>
                </c:pt>
                <c:pt idx="615">
                  <c:v>#N/A</c:v>
                </c:pt>
                <c:pt idx="616">
                  <c:v>#N/A</c:v>
                </c:pt>
                <c:pt idx="617">
                  <c:v>2021</c:v>
                </c:pt>
                <c:pt idx="618">
                  <c:v>#N/A</c:v>
                </c:pt>
                <c:pt idx="619">
                  <c:v>2026</c:v>
                </c:pt>
                <c:pt idx="620">
                  <c:v>#N/A</c:v>
                </c:pt>
                <c:pt idx="621">
                  <c:v>#N/A</c:v>
                </c:pt>
                <c:pt idx="622">
                  <c:v>#N/A</c:v>
                </c:pt>
                <c:pt idx="623">
                  <c:v>#N/A</c:v>
                </c:pt>
                <c:pt idx="624">
                  <c:v>2026</c:v>
                </c:pt>
                <c:pt idx="625">
                  <c:v>2025</c:v>
                </c:pt>
                <c:pt idx="626">
                  <c:v>#N/A</c:v>
                </c:pt>
                <c:pt idx="627">
                  <c:v>2026</c:v>
                </c:pt>
                <c:pt idx="628">
                  <c:v>2025</c:v>
                </c:pt>
                <c:pt idx="629">
                  <c:v>2026</c:v>
                </c:pt>
                <c:pt idx="630">
                  <c:v>2023</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2024</c:v>
                </c:pt>
                <c:pt idx="666">
                  <c:v>#N/A</c:v>
                </c:pt>
                <c:pt idx="667">
                  <c:v>#N/A</c:v>
                </c:pt>
                <c:pt idx="668">
                  <c:v>2017</c:v>
                </c:pt>
                <c:pt idx="669">
                  <c:v>2026</c:v>
                </c:pt>
                <c:pt idx="670">
                  <c:v>#N/A</c:v>
                </c:pt>
                <c:pt idx="671">
                  <c:v>#N/A</c:v>
                </c:pt>
                <c:pt idx="672">
                  <c:v>2025</c:v>
                </c:pt>
                <c:pt idx="673">
                  <c:v>2026</c:v>
                </c:pt>
                <c:pt idx="674">
                  <c:v>2025</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2024</c:v>
                </c:pt>
                <c:pt idx="689">
                  <c:v>#N/A</c:v>
                </c:pt>
                <c:pt idx="690">
                  <c:v>#N/A</c:v>
                </c:pt>
                <c:pt idx="691">
                  <c:v>#N/A</c:v>
                </c:pt>
                <c:pt idx="692">
                  <c:v>2024</c:v>
                </c:pt>
                <c:pt idx="693">
                  <c:v>#N/A</c:v>
                </c:pt>
                <c:pt idx="694">
                  <c:v>#N/A</c:v>
                </c:pt>
                <c:pt idx="695">
                  <c:v>#N/A</c:v>
                </c:pt>
                <c:pt idx="696">
                  <c:v>#N/A</c:v>
                </c:pt>
                <c:pt idx="697">
                  <c:v>#N/A</c:v>
                </c:pt>
                <c:pt idx="698">
                  <c:v>2025</c:v>
                </c:pt>
                <c:pt idx="699">
                  <c:v>#N/A</c:v>
                </c:pt>
                <c:pt idx="700">
                  <c:v>#N/A</c:v>
                </c:pt>
                <c:pt idx="701">
                  <c:v>#N/A</c:v>
                </c:pt>
                <c:pt idx="702">
                  <c:v>2025</c:v>
                </c:pt>
                <c:pt idx="703">
                  <c:v>2025</c:v>
                </c:pt>
                <c:pt idx="704">
                  <c:v>#N/A</c:v>
                </c:pt>
                <c:pt idx="705">
                  <c:v>#N/A</c:v>
                </c:pt>
                <c:pt idx="706">
                  <c:v>#N/A</c:v>
                </c:pt>
                <c:pt idx="707">
                  <c:v>#N/A</c:v>
                </c:pt>
                <c:pt idx="708">
                  <c:v>#N/A</c:v>
                </c:pt>
                <c:pt idx="709">
                  <c:v>#N/A</c:v>
                </c:pt>
                <c:pt idx="710">
                  <c:v>#N/A</c:v>
                </c:pt>
                <c:pt idx="711">
                  <c:v>#N/A</c:v>
                </c:pt>
                <c:pt idx="712">
                  <c:v>#N/A</c:v>
                </c:pt>
                <c:pt idx="713">
                  <c:v>#N/A</c:v>
                </c:pt>
                <c:pt idx="714">
                  <c:v>2022</c:v>
                </c:pt>
                <c:pt idx="715">
                  <c:v>#N/A</c:v>
                </c:pt>
                <c:pt idx="716">
                  <c:v>#N/A</c:v>
                </c:pt>
                <c:pt idx="717">
                  <c:v>2025</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2020</c:v>
                </c:pt>
                <c:pt idx="731">
                  <c:v>#N/A</c:v>
                </c:pt>
                <c:pt idx="732">
                  <c:v>#N/A</c:v>
                </c:pt>
                <c:pt idx="733">
                  <c:v>2026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2025</c:v>
                </c:pt>
                <c:pt idx="751">
                  <c:v>#N/A</c:v>
                </c:pt>
                <c:pt idx="752">
                  <c:v>#N/A</c:v>
                </c:pt>
                <c:pt idx="753">
                  <c:v>#N/A</c:v>
                </c:pt>
                <c:pt idx="754">
                  <c:v>#N/A</c:v>
                </c:pt>
                <c:pt idx="755">
                  <c:v>#N/A</c:v>
                </c:pt>
                <c:pt idx="756">
                  <c:v>#N/A</c:v>
                </c:pt>
                <c:pt idx="757">
                  <c:v>#N/A</c:v>
                </c:pt>
                <c:pt idx="758">
                  <c:v>#N/A</c:v>
                </c:pt>
                <c:pt idx="759">
                  <c:v>#N/A</c:v>
                </c:pt>
                <c:pt idx="760">
                  <c:v>#N/A</c:v>
                </c:pt>
                <c:pt idx="761">
                  <c:v>#N/A</c:v>
                </c:pt>
                <c:pt idx="762">
                  <c:v>2025</c:v>
                </c:pt>
                <c:pt idx="763">
                  <c:v>#N/A</c:v>
                </c:pt>
                <c:pt idx="764">
                  <c:v>2026</c:v>
                </c:pt>
                <c:pt idx="765">
                  <c:v>#N/A</c:v>
                </c:pt>
                <c:pt idx="766">
                  <c:v>#N/A</c:v>
                </c:pt>
                <c:pt idx="767">
                  <c:v>#N/A</c:v>
                </c:pt>
                <c:pt idx="768">
                  <c:v>#N/A</c:v>
                </c:pt>
                <c:pt idx="769">
                  <c:v>2025</c:v>
                </c:pt>
                <c:pt idx="770">
                  <c:v>#N/A</c:v>
                </c:pt>
                <c:pt idx="771">
                  <c:v>#N/A</c:v>
                </c:pt>
                <c:pt idx="772">
                  <c:v>2025</c:v>
                </c:pt>
                <c:pt idx="773">
                  <c:v>#N/A</c:v>
                </c:pt>
                <c:pt idx="774">
                  <c:v>#N/A</c:v>
                </c:pt>
                <c:pt idx="775">
                  <c:v>#N/A</c:v>
                </c:pt>
                <c:pt idx="776">
                  <c:v>#N/A</c:v>
                </c:pt>
                <c:pt idx="777">
                  <c:v>#N/A</c:v>
                </c:pt>
                <c:pt idx="778">
                  <c:v>#N/A</c:v>
                </c:pt>
                <c:pt idx="779">
                  <c:v>#N/A</c:v>
                </c:pt>
                <c:pt idx="780">
                  <c:v>#N/A</c:v>
                </c:pt>
                <c:pt idx="781">
                  <c:v>#N/A</c:v>
                </c:pt>
                <c:pt idx="782">
                  <c:v>#N/A</c:v>
                </c:pt>
                <c:pt idx="783">
                  <c:v>#N/A</c:v>
                </c:pt>
                <c:pt idx="784">
                  <c:v>2022</c:v>
                </c:pt>
                <c:pt idx="785">
                  <c:v>#N/A</c:v>
                </c:pt>
                <c:pt idx="786">
                  <c:v>2023</c:v>
                </c:pt>
                <c:pt idx="787">
                  <c:v>#N/A</c:v>
                </c:pt>
                <c:pt idx="788">
                  <c:v>#N/A</c:v>
                </c:pt>
                <c:pt idx="789">
                  <c:v>#N/A</c:v>
                </c:pt>
                <c:pt idx="790">
                  <c:v>2021</c:v>
                </c:pt>
                <c:pt idx="791">
                  <c:v>2025</c:v>
                </c:pt>
                <c:pt idx="792">
                  <c:v>2019</c:v>
                </c:pt>
                <c:pt idx="793">
                  <c:v>#N/A</c:v>
                </c:pt>
                <c:pt idx="794">
                  <c:v>2026</c:v>
                </c:pt>
                <c:pt idx="795">
                  <c:v>#N/A</c:v>
                </c:pt>
                <c:pt idx="796">
                  <c:v>#N/A</c:v>
                </c:pt>
                <c:pt idx="797">
                  <c:v>#N/A</c:v>
                </c:pt>
                <c:pt idx="798">
                  <c:v>2026</c:v>
                </c:pt>
                <c:pt idx="799">
                  <c:v>#N/A</c:v>
                </c:pt>
                <c:pt idx="800">
                  <c:v>#N/A</c:v>
                </c:pt>
                <c:pt idx="801">
                  <c:v>#N/A</c:v>
                </c:pt>
                <c:pt idx="802">
                  <c:v>#N/A</c:v>
                </c:pt>
                <c:pt idx="803">
                  <c:v>#N/A</c:v>
                </c:pt>
                <c:pt idx="804">
                  <c:v>#N/A</c:v>
                </c:pt>
                <c:pt idx="805">
                  <c:v>#N/A</c:v>
                </c:pt>
                <c:pt idx="806">
                  <c:v>#N/A</c:v>
                </c:pt>
                <c:pt idx="807">
                  <c:v>2026</c:v>
                </c:pt>
                <c:pt idx="808">
                  <c:v>#N/A</c:v>
                </c:pt>
                <c:pt idx="809">
                  <c:v>#N/A</c:v>
                </c:pt>
                <c:pt idx="810">
                  <c:v>2020</c:v>
                </c:pt>
                <c:pt idx="811">
                  <c:v>#N/A</c:v>
                </c:pt>
                <c:pt idx="812">
                  <c:v>#N/A</c:v>
                </c:pt>
                <c:pt idx="813">
                  <c:v>2021</c:v>
                </c:pt>
                <c:pt idx="814">
                  <c:v>2025</c:v>
                </c:pt>
                <c:pt idx="815">
                  <c:v>2026</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2023</c:v>
                </c:pt>
                <c:pt idx="840">
                  <c:v>#N/A</c:v>
                </c:pt>
                <c:pt idx="841">
                  <c:v>2026</c:v>
                </c:pt>
                <c:pt idx="842">
                  <c:v>#N/A</c:v>
                </c:pt>
                <c:pt idx="843">
                  <c:v>#N/A</c:v>
                </c:pt>
                <c:pt idx="844">
                  <c:v>2026</c:v>
                </c:pt>
                <c:pt idx="845">
                  <c:v>#N/A</c:v>
                </c:pt>
                <c:pt idx="846">
                  <c:v>#N/A</c:v>
                </c:pt>
                <c:pt idx="847">
                  <c:v>#N/A</c:v>
                </c:pt>
                <c:pt idx="848">
                  <c:v>2025</c:v>
                </c:pt>
                <c:pt idx="849">
                  <c:v>2025</c:v>
                </c:pt>
                <c:pt idx="850">
                  <c:v>2022</c:v>
                </c:pt>
                <c:pt idx="851">
                  <c:v>2026</c:v>
                </c:pt>
                <c:pt idx="852">
                  <c:v>#N/A</c:v>
                </c:pt>
                <c:pt idx="853">
                  <c:v>#N/A</c:v>
                </c:pt>
                <c:pt idx="854">
                  <c:v>2024</c:v>
                </c:pt>
                <c:pt idx="855">
                  <c:v>#N/A</c:v>
                </c:pt>
                <c:pt idx="856">
                  <c:v>#N/A</c:v>
                </c:pt>
                <c:pt idx="857">
                  <c:v>#N/A</c:v>
                </c:pt>
                <c:pt idx="858">
                  <c:v>2024</c:v>
                </c:pt>
                <c:pt idx="859">
                  <c:v>#N/A</c:v>
                </c:pt>
                <c:pt idx="860">
                  <c:v>#N/A</c:v>
                </c:pt>
                <c:pt idx="861">
                  <c:v>#N/A</c:v>
                </c:pt>
                <c:pt idx="862">
                  <c:v>2023</c:v>
                </c:pt>
                <c:pt idx="863">
                  <c:v>2026</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3.069</c:v>
                </c:pt>
                <c:pt idx="105">
                  <c:v>#N/A</c:v>
                </c:pt>
                <c:pt idx="106">
                  <c:v>#N/A</c:v>
                </c:pt>
                <c:pt idx="107">
                  <c:v>#N/A</c:v>
                </c:pt>
                <c:pt idx="108">
                  <c:v>#N/A</c:v>
                </c:pt>
                <c:pt idx="109">
                  <c:v>#N/A</c:v>
                </c:pt>
                <c:pt idx="110">
                  <c:v>3.2069999999999999</c:v>
                </c:pt>
                <c:pt idx="111">
                  <c:v>#N/A</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3.552</c:v>
                </c:pt>
                <c:pt idx="126">
                  <c:v>3.5750000000000002</c:v>
                </c:pt>
                <c:pt idx="127">
                  <c:v>#N/A</c:v>
                </c:pt>
                <c:pt idx="128">
                  <c:v>#N/A</c:v>
                </c:pt>
                <c:pt idx="129">
                  <c:v>#N/A</c:v>
                </c:pt>
                <c:pt idx="130">
                  <c:v>#N/A</c:v>
                </c:pt>
                <c:pt idx="131">
                  <c:v>3.69</c:v>
                </c:pt>
                <c:pt idx="132">
                  <c:v>#N/A</c:v>
                </c:pt>
                <c:pt idx="133">
                  <c:v>3.7359999999999998</c:v>
                </c:pt>
                <c:pt idx="134">
                  <c:v>#N/A</c:v>
                </c:pt>
                <c:pt idx="135">
                  <c:v>3</c:v>
                </c:pt>
                <c:pt idx="136">
                  <c:v>#N/A</c:v>
                </c:pt>
                <c:pt idx="137">
                  <c:v>#N/A</c:v>
                </c:pt>
                <c:pt idx="138">
                  <c:v>3.069</c:v>
                </c:pt>
                <c:pt idx="139">
                  <c:v>#N/A</c:v>
                </c:pt>
                <c:pt idx="140">
                  <c:v>#N/A</c:v>
                </c:pt>
                <c:pt idx="141">
                  <c:v>#N/A</c:v>
                </c:pt>
                <c:pt idx="142">
                  <c:v>#N/A</c:v>
                </c:pt>
                <c:pt idx="143">
                  <c:v>#N/A</c:v>
                </c:pt>
                <c:pt idx="144">
                  <c:v>#N/A</c:v>
                </c:pt>
                <c:pt idx="145">
                  <c:v>#N/A</c:v>
                </c:pt>
                <c:pt idx="146">
                  <c:v>#N/A</c:v>
                </c:pt>
                <c:pt idx="147">
                  <c:v>3.2759999999999998</c:v>
                </c:pt>
                <c:pt idx="148">
                  <c:v>3.2989999999999999</c:v>
                </c:pt>
                <c:pt idx="149">
                  <c:v>3.3220000000000001</c:v>
                </c:pt>
                <c:pt idx="150">
                  <c:v>#N/A</c:v>
                </c:pt>
                <c:pt idx="151">
                  <c:v>3.3679999999999999</c:v>
                </c:pt>
                <c:pt idx="152">
                  <c:v>#N/A</c:v>
                </c:pt>
                <c:pt idx="153">
                  <c:v>#N/A</c:v>
                </c:pt>
                <c:pt idx="154">
                  <c:v>#N/A</c:v>
                </c:pt>
                <c:pt idx="155">
                  <c:v>#N/A</c:v>
                </c:pt>
                <c:pt idx="156">
                  <c:v>3.4830000000000001</c:v>
                </c:pt>
                <c:pt idx="157">
                  <c:v>3.5060000000000002</c:v>
                </c:pt>
                <c:pt idx="158">
                  <c:v>3.5289999999999999</c:v>
                </c:pt>
                <c:pt idx="159">
                  <c:v>#N/A</c:v>
                </c:pt>
                <c:pt idx="160">
                  <c:v>#N/A</c:v>
                </c:pt>
                <c:pt idx="161">
                  <c:v>3.5979999999999999</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3.161</c:v>
                </c:pt>
                <c:pt idx="177">
                  <c:v>#N/A</c:v>
                </c:pt>
                <c:pt idx="178">
                  <c:v>#N/A</c:v>
                </c:pt>
                <c:pt idx="179">
                  <c:v>#N/A</c:v>
                </c:pt>
                <c:pt idx="180">
                  <c:v>#N/A</c:v>
                </c:pt>
                <c:pt idx="181">
                  <c:v>#N/A</c:v>
                </c:pt>
                <c:pt idx="182">
                  <c:v>3.2989999999999999</c:v>
                </c:pt>
                <c:pt idx="183">
                  <c:v>#N/A</c:v>
                </c:pt>
                <c:pt idx="184">
                  <c:v>3.3449999999999998</c:v>
                </c:pt>
                <c:pt idx="185">
                  <c:v>3.3679999999999999</c:v>
                </c:pt>
                <c:pt idx="186">
                  <c:v>3.391</c:v>
                </c:pt>
                <c:pt idx="187">
                  <c:v>#N/A</c:v>
                </c:pt>
                <c:pt idx="188">
                  <c:v>#N/A</c:v>
                </c:pt>
                <c:pt idx="189">
                  <c:v>3.46</c:v>
                </c:pt>
                <c:pt idx="190">
                  <c:v>3.4830000000000001</c:v>
                </c:pt>
                <c:pt idx="191">
                  <c:v>#N/A</c:v>
                </c:pt>
                <c:pt idx="192">
                  <c:v>#N/A</c:v>
                </c:pt>
                <c:pt idx="193">
                  <c:v>#N/A</c:v>
                </c:pt>
                <c:pt idx="194">
                  <c:v>3.5750000000000002</c:v>
                </c:pt>
                <c:pt idx="195">
                  <c:v>#N/A</c:v>
                </c:pt>
                <c:pt idx="196">
                  <c:v>#N/A</c:v>
                </c:pt>
                <c:pt idx="197">
                  <c:v>#N/A</c:v>
                </c:pt>
                <c:pt idx="198">
                  <c:v>#N/A</c:v>
                </c:pt>
                <c:pt idx="199">
                  <c:v>#N/A</c:v>
                </c:pt>
                <c:pt idx="200">
                  <c:v>#N/A</c:v>
                </c:pt>
                <c:pt idx="201">
                  <c:v>3.7359999999999998</c:v>
                </c:pt>
                <c:pt idx="202">
                  <c:v>3.7589999999999999</c:v>
                </c:pt>
                <c:pt idx="203">
                  <c:v>3</c:v>
                </c:pt>
                <c:pt idx="204">
                  <c:v>#N/A</c:v>
                </c:pt>
                <c:pt idx="205">
                  <c:v>3.0459999999999998</c:v>
                </c:pt>
                <c:pt idx="206">
                  <c:v>3.069</c:v>
                </c:pt>
                <c:pt idx="207">
                  <c:v>3.0920000000000001</c:v>
                </c:pt>
                <c:pt idx="208">
                  <c:v>3.1150000000000002</c:v>
                </c:pt>
                <c:pt idx="209">
                  <c:v>3.1379999999999999</c:v>
                </c:pt>
                <c:pt idx="210">
                  <c:v>3.161</c:v>
                </c:pt>
                <c:pt idx="211">
                  <c:v>#N/A</c:v>
                </c:pt>
                <c:pt idx="212">
                  <c:v>3.2069999999999999</c:v>
                </c:pt>
                <c:pt idx="213">
                  <c:v>#N/A</c:v>
                </c:pt>
                <c:pt idx="214">
                  <c:v>#N/A</c:v>
                </c:pt>
                <c:pt idx="215">
                  <c:v>3.2759999999999998</c:v>
                </c:pt>
                <c:pt idx="216">
                  <c:v>3.2989999999999999</c:v>
                </c:pt>
                <c:pt idx="217">
                  <c:v>3.3220000000000001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3.6669999999999998</c:v>
                </c:pt>
                <c:pt idx="233">
                  <c:v>#N/A</c:v>
                </c:pt>
                <c:pt idx="234">
                  <c:v>#N/A</c:v>
                </c:pt>
                <c:pt idx="235">
                  <c:v>#N/A</c:v>
                </c:pt>
                <c:pt idx="236">
                  <c:v>#N/A</c:v>
                </c:pt>
                <c:pt idx="237">
                  <c:v>3</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3.7589999999999999</c:v>
                </c:pt>
                <c:pt idx="271">
                  <c:v>3</c:v>
                </c:pt>
                <c:pt idx="272">
                  <c:v>#N/A</c:v>
                </c:pt>
                <c:pt idx="273">
                  <c:v>#N/A</c:v>
                </c:pt>
                <c:pt idx="274">
                  <c:v>#N/A</c:v>
                </c:pt>
                <c:pt idx="275">
                  <c:v>3.0920000000000001</c:v>
                </c:pt>
                <c:pt idx="276">
                  <c:v>#N/A</c:v>
                </c:pt>
                <c:pt idx="277">
                  <c:v>#N/A</c:v>
                </c:pt>
                <c:pt idx="278">
                  <c:v>#N/A</c:v>
                </c:pt>
                <c:pt idx="279">
                  <c:v>#N/A</c:v>
                </c:pt>
                <c:pt idx="280">
                  <c:v>#N/A</c:v>
                </c:pt>
                <c:pt idx="281">
                  <c:v>3.23</c:v>
                </c:pt>
                <c:pt idx="282">
                  <c:v>#N/A</c:v>
                </c:pt>
                <c:pt idx="283">
                  <c:v>#N/A</c:v>
                </c:pt>
                <c:pt idx="284">
                  <c:v>#N/A</c:v>
                </c:pt>
                <c:pt idx="285">
                  <c:v>3.3220000000000001</c:v>
                </c:pt>
                <c:pt idx="286">
                  <c:v>#N/A</c:v>
                </c:pt>
                <c:pt idx="287">
                  <c:v>#N/A</c:v>
                </c:pt>
                <c:pt idx="288">
                  <c:v>#N/A</c:v>
                </c:pt>
                <c:pt idx="289">
                  <c:v>#N/A</c:v>
                </c:pt>
                <c:pt idx="290">
                  <c:v>#N/A</c:v>
                </c:pt>
                <c:pt idx="291">
                  <c:v>#N/A</c:v>
                </c:pt>
                <c:pt idx="292">
                  <c:v>#N/A</c:v>
                </c:pt>
                <c:pt idx="293">
                  <c:v>#N/A</c:v>
                </c:pt>
                <c:pt idx="294">
                  <c:v>#N/A</c:v>
                </c:pt>
                <c:pt idx="295">
                  <c:v>#N/A</c:v>
                </c:pt>
                <c:pt idx="296">
                  <c:v>#N/A</c:v>
                </c:pt>
                <c:pt idx="297">
                  <c:v>3.5979999999999999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3.1379999999999999</c:v>
                </c:pt>
                <c:pt idx="312">
                  <c:v>#N/A</c:v>
                </c:pt>
                <c:pt idx="313">
                  <c:v>#N/A</c:v>
                </c:pt>
                <c:pt idx="314">
                  <c:v>#N/A</c:v>
                </c:pt>
                <c:pt idx="315">
                  <c:v>#N/A</c:v>
                </c:pt>
                <c:pt idx="316">
                  <c:v>#N/A</c:v>
                </c:pt>
                <c:pt idx="317">
                  <c:v>#N/A</c:v>
                </c:pt>
                <c:pt idx="318">
                  <c:v>#N/A</c:v>
                </c:pt>
                <c:pt idx="319">
                  <c:v>#N/A</c:v>
                </c:pt>
                <c:pt idx="320">
                  <c:v>#N/A</c:v>
                </c:pt>
                <c:pt idx="321">
                  <c:v>3.3679999999999999</c:v>
                </c:pt>
                <c:pt idx="322">
                  <c:v>#N/A</c:v>
                </c:pt>
                <c:pt idx="323">
                  <c:v>#N/A</c:v>
                </c:pt>
                <c:pt idx="324">
                  <c:v>3.4369999999999998</c:v>
                </c:pt>
                <c:pt idx="325">
                  <c:v>#N/A</c:v>
                </c:pt>
                <c:pt idx="326">
                  <c:v>#N/A</c:v>
                </c:pt>
                <c:pt idx="327">
                  <c:v>3.5060000000000002</c:v>
                </c:pt>
                <c:pt idx="328">
                  <c:v>#N/A</c:v>
                </c:pt>
                <c:pt idx="329">
                  <c:v>#N/A</c:v>
                </c:pt>
                <c:pt idx="330">
                  <c:v>#N/A</c:v>
                </c:pt>
                <c:pt idx="331">
                  <c:v>#N/A</c:v>
                </c:pt>
                <c:pt idx="332">
                  <c:v>#N/A</c:v>
                </c:pt>
                <c:pt idx="333">
                  <c:v>#N/A</c:v>
                </c:pt>
                <c:pt idx="334">
                  <c:v>#N/A</c:v>
                </c:pt>
                <c:pt idx="335">
                  <c:v>3.69</c:v>
                </c:pt>
                <c:pt idx="336">
                  <c:v>#N/A</c:v>
                </c:pt>
                <c:pt idx="337">
                  <c:v>#N/A</c:v>
                </c:pt>
                <c:pt idx="338">
                  <c:v>#N/A</c:v>
                </c:pt>
                <c:pt idx="339">
                  <c:v>3</c:v>
                </c:pt>
                <c:pt idx="340">
                  <c:v>3.0230000000000001</c:v>
                </c:pt>
                <c:pt idx="341">
                  <c:v>#N/A</c:v>
                </c:pt>
                <c:pt idx="342">
                  <c:v>3.069</c:v>
                </c:pt>
                <c:pt idx="343">
                  <c:v>#N/A</c:v>
                </c:pt>
                <c:pt idx="344">
                  <c:v>#N/A</c:v>
                </c:pt>
                <c:pt idx="345">
                  <c:v>#N/A</c:v>
                </c:pt>
                <c:pt idx="346">
                  <c:v>#N/A</c:v>
                </c:pt>
                <c:pt idx="347">
                  <c:v>#N/A</c:v>
                </c:pt>
                <c:pt idx="348">
                  <c:v>3.2069999999999999</c:v>
                </c:pt>
                <c:pt idx="349">
                  <c:v>#N/A</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#N/A</c:v>
                </c:pt>
                <c:pt idx="363">
                  <c:v>#N/A</c:v>
                </c:pt>
                <c:pt idx="364">
                  <c:v>#N/A</c:v>
                </c:pt>
                <c:pt idx="365">
                  <c:v>#N/A</c:v>
                </c:pt>
                <c:pt idx="366">
                  <c:v>#N/A</c:v>
                </c:pt>
                <c:pt idx="367">
                  <c:v>3.6440000000000001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3.161</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3.6440000000000001</c:v>
                </c:pt>
                <c:pt idx="402">
                  <c:v>3.6669999999999998</c:v>
                </c:pt>
                <c:pt idx="403">
                  <c:v>#N/A</c:v>
                </c:pt>
                <c:pt idx="404">
                  <c:v>#N/A</c:v>
                </c:pt>
                <c:pt idx="405">
                  <c:v>#N/A</c:v>
                </c:pt>
                <c:pt idx="406">
                  <c:v>#N/A</c:v>
                </c:pt>
                <c:pt idx="407">
                  <c:v>#N/A</c:v>
                </c:pt>
                <c:pt idx="408">
                  <c:v>#N/A</c:v>
                </c:pt>
                <c:pt idx="409">
                  <c:v>3.0459999999999998</c:v>
                </c:pt>
                <c:pt idx="410">
                  <c:v>#N/A</c:v>
                </c:pt>
                <c:pt idx="411">
                  <c:v>#N/A</c:v>
                </c:pt>
                <c:pt idx="412">
                  <c:v>#N/A</c:v>
                </c:pt>
                <c:pt idx="413">
                  <c:v>#N/A</c:v>
                </c:pt>
                <c:pt idx="414">
                  <c:v>#N/A</c:v>
                </c:pt>
                <c:pt idx="415">
                  <c:v>#N/A</c:v>
                </c:pt>
                <c:pt idx="416">
                  <c:v>#N/A</c:v>
                </c:pt>
                <c:pt idx="417">
                  <c:v>#N/A</c:v>
                </c:pt>
                <c:pt idx="418">
                  <c:v>#N/A</c:v>
                </c:pt>
                <c:pt idx="419">
                  <c:v>#N/A</c:v>
                </c:pt>
                <c:pt idx="420">
                  <c:v>3.2989999999999999</c:v>
                </c:pt>
                <c:pt idx="421">
                  <c:v>3.3220000000000001</c:v>
                </c:pt>
                <c:pt idx="422">
                  <c:v>#N/A</c:v>
                </c:pt>
                <c:pt idx="423">
                  <c:v>#N/A</c:v>
                </c:pt>
                <c:pt idx="424">
                  <c:v>3.391</c:v>
                </c:pt>
                <c:pt idx="425">
                  <c:v>3.4140000000000001</c:v>
                </c:pt>
                <c:pt idx="426">
                  <c:v>3.4369999999999998</c:v>
                </c:pt>
                <c:pt idx="427">
                  <c:v>#N/A</c:v>
                </c:pt>
                <c:pt idx="428">
                  <c:v>#N/A</c:v>
                </c:pt>
                <c:pt idx="429">
                  <c:v>#N/A</c:v>
                </c:pt>
                <c:pt idx="430">
                  <c:v>#N/A</c:v>
                </c:pt>
                <c:pt idx="431">
                  <c:v>#N/A</c:v>
                </c:pt>
                <c:pt idx="432">
                  <c:v>#N/A</c:v>
                </c:pt>
                <c:pt idx="433">
                  <c:v>#N/A</c:v>
                </c:pt>
                <c:pt idx="434">
                  <c:v>#N/A</c:v>
                </c:pt>
                <c:pt idx="435">
                  <c:v>#N/A</c:v>
                </c:pt>
                <c:pt idx="436">
                  <c:v>3.6669999999999998</c:v>
                </c:pt>
                <c:pt idx="437">
                  <c:v>#N/A</c:v>
                </c:pt>
                <c:pt idx="438">
                  <c:v>#N/A</c:v>
                </c:pt>
                <c:pt idx="439">
                  <c:v>#N/A</c:v>
                </c:pt>
                <c:pt idx="440">
                  <c:v>3.7589999999999999</c:v>
                </c:pt>
                <c:pt idx="441">
                  <c:v>3</c:v>
                </c:pt>
                <c:pt idx="442">
                  <c:v>3.0230000000000001</c:v>
                </c:pt>
                <c:pt idx="443">
                  <c:v>3.0459999999999998</c:v>
                </c:pt>
                <c:pt idx="444">
                  <c:v>#N/A</c:v>
                </c:pt>
                <c:pt idx="445">
                  <c:v>#N/A</c:v>
                </c:pt>
                <c:pt idx="446">
                  <c:v>#N/A</c:v>
                </c:pt>
                <c:pt idx="447">
                  <c:v>#N/A</c:v>
                </c:pt>
                <c:pt idx="448">
                  <c:v>#N/A</c:v>
                </c:pt>
                <c:pt idx="449">
                  <c:v>#N/A</c:v>
                </c:pt>
                <c:pt idx="450">
                  <c:v>#N/A</c:v>
                </c:pt>
                <c:pt idx="451">
                  <c:v>#N/A</c:v>
                </c:pt>
                <c:pt idx="452">
                  <c:v>#N/A</c:v>
                </c:pt>
                <c:pt idx="453">
                  <c:v>#N/A</c:v>
                </c:pt>
                <c:pt idx="454">
                  <c:v>#N/A</c:v>
                </c:pt>
                <c:pt idx="455">
                  <c:v>3.3220000000000001</c:v>
                </c:pt>
                <c:pt idx="456">
                  <c:v>#N/A</c:v>
                </c:pt>
                <c:pt idx="457">
                  <c:v>#N/A</c:v>
                </c:pt>
                <c:pt idx="458">
                  <c:v>#N/A</c:v>
                </c:pt>
                <c:pt idx="459">
                  <c:v>#N/A</c:v>
                </c:pt>
                <c:pt idx="460">
                  <c:v>3.4369999999999998</c:v>
                </c:pt>
                <c:pt idx="461">
                  <c:v>3.46</c:v>
                </c:pt>
                <c:pt idx="462">
                  <c:v>3.4830000000000001</c:v>
                </c:pt>
                <c:pt idx="463">
                  <c:v>#N/A</c:v>
                </c:pt>
                <c:pt idx="464">
                  <c:v>#N/A</c:v>
                </c:pt>
                <c:pt idx="465">
                  <c:v>3.552</c:v>
                </c:pt>
                <c:pt idx="466">
                  <c:v>#N/A</c:v>
                </c:pt>
                <c:pt idx="467">
                  <c:v>#N/A</c:v>
                </c:pt>
                <c:pt idx="468">
                  <c:v>#N/A</c:v>
                </c:pt>
                <c:pt idx="469">
                  <c:v>#N/A</c:v>
                </c:pt>
                <c:pt idx="470">
                  <c:v>#N/A</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3.23</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3.5289999999999999</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3.1150000000000002</c:v>
                </c:pt>
                <c:pt idx="515">
                  <c:v>#N/A</c:v>
                </c:pt>
                <c:pt idx="516">
                  <c:v>#N/A</c:v>
                </c:pt>
                <c:pt idx="517">
                  <c:v>#N/A</c:v>
                </c:pt>
                <c:pt idx="518">
                  <c:v>#N/A</c:v>
                </c:pt>
                <c:pt idx="519">
                  <c:v>#N/A</c:v>
                </c:pt>
                <c:pt idx="520">
                  <c:v>#N/A</c:v>
                </c:pt>
                <c:pt idx="521">
                  <c:v>#N/A</c:v>
                </c:pt>
                <c:pt idx="522">
                  <c:v>#N/A</c:v>
                </c:pt>
                <c:pt idx="523">
                  <c:v>3.3220000000000001</c:v>
                </c:pt>
                <c:pt idx="524">
                  <c:v>#N/A</c:v>
                </c:pt>
                <c:pt idx="525">
                  <c:v>#N/A</c:v>
                </c:pt>
                <c:pt idx="526">
                  <c:v>#N/A</c:v>
                </c:pt>
                <c:pt idx="527">
                  <c:v>3.4140000000000001</c:v>
                </c:pt>
                <c:pt idx="528">
                  <c:v>#N/A</c:v>
                </c:pt>
                <c:pt idx="529">
                  <c:v>#N/A</c:v>
                </c:pt>
                <c:pt idx="530">
                  <c:v>#N/A</c:v>
                </c:pt>
                <c:pt idx="531">
                  <c:v>#N/A</c:v>
                </c:pt>
                <c:pt idx="532">
                  <c:v>3.5289999999999999</c:v>
                </c:pt>
                <c:pt idx="533">
                  <c:v>#N/A</c:v>
                </c:pt>
                <c:pt idx="534">
                  <c:v>#N/A</c:v>
                </c:pt>
                <c:pt idx="535">
                  <c:v>#N/A</c:v>
                </c:pt>
                <c:pt idx="536">
                  <c:v>#N/A</c:v>
                </c:pt>
                <c:pt idx="537">
                  <c:v>#N/A</c:v>
                </c:pt>
                <c:pt idx="538">
                  <c:v>#N/A</c:v>
                </c:pt>
                <c:pt idx="539">
                  <c:v>#N/A</c:v>
                </c:pt>
                <c:pt idx="540">
                  <c:v>#N/A</c:v>
                </c:pt>
                <c:pt idx="541">
                  <c:v>3.7359999999999998</c:v>
                </c:pt>
                <c:pt idx="542">
                  <c:v>3.7589999999999999</c:v>
                </c:pt>
                <c:pt idx="543">
                  <c:v>#N/A</c:v>
                </c:pt>
                <c:pt idx="544">
                  <c:v>#N/A</c:v>
                </c:pt>
                <c:pt idx="545">
                  <c:v>#N/A</c:v>
                </c:pt>
                <c:pt idx="546">
                  <c:v>3.069</c:v>
                </c:pt>
                <c:pt idx="547">
                  <c:v>#N/A</c:v>
                </c:pt>
                <c:pt idx="548">
                  <c:v>#N/A</c:v>
                </c:pt>
                <c:pt idx="549">
                  <c:v>3.1379999999999999</c:v>
                </c:pt>
                <c:pt idx="550">
                  <c:v>3.161</c:v>
                </c:pt>
                <c:pt idx="551">
                  <c:v>3.1840000000000002</c:v>
                </c:pt>
                <c:pt idx="552">
                  <c:v>3.2069999999999999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3.69</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#N/A</c:v>
                </c:pt>
                <c:pt idx="589">
                  <c:v>#N/A</c:v>
                </c:pt>
                <c:pt idx="590">
                  <c:v>#N/A</c:v>
                </c:pt>
                <c:pt idx="591">
                  <c:v>#N/A</c:v>
                </c:pt>
                <c:pt idx="592">
                  <c:v>#N/A</c:v>
                </c:pt>
                <c:pt idx="593">
                  <c:v>#N/A</c:v>
                </c:pt>
                <c:pt idx="594">
                  <c:v>3.391</c:v>
                </c:pt>
                <c:pt idx="595">
                  <c:v>#N/A</c:v>
                </c:pt>
                <c:pt idx="596">
                  <c:v>3.4369999999999998</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3.0920000000000001</c:v>
                </c:pt>
                <c:pt idx="616">
                  <c:v>#N/A</c:v>
                </c:pt>
                <c:pt idx="617">
                  <c:v>#N/A</c:v>
                </c:pt>
                <c:pt idx="618">
                  <c:v>3.161</c:v>
                </c:pt>
                <c:pt idx="619">
                  <c:v>#N/A</c:v>
                </c:pt>
                <c:pt idx="620">
                  <c:v>3.2069999999999999</c:v>
                </c:pt>
                <c:pt idx="621">
                  <c:v>#N/A</c:v>
                </c:pt>
                <c:pt idx="622">
                  <c:v>#N/A</c:v>
                </c:pt>
                <c:pt idx="623">
                  <c:v>#N/A</c:v>
                </c:pt>
                <c:pt idx="624">
                  <c:v>#N/A</c:v>
                </c:pt>
                <c:pt idx="625">
                  <c:v>3.3220000000000001</c:v>
                </c:pt>
                <c:pt idx="626">
                  <c:v>3.3449999999999998</c:v>
                </c:pt>
                <c:pt idx="627">
                  <c:v>#N/A</c:v>
                </c:pt>
                <c:pt idx="628">
                  <c:v>3.391</c:v>
                </c:pt>
                <c:pt idx="629">
                  <c:v>3.4140000000000001</c:v>
                </c:pt>
                <c:pt idx="630">
                  <c:v>3.4369999999999998</c:v>
                </c:pt>
                <c:pt idx="631">
                  <c:v>3.46</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3.4830000000000001</c:v>
                </c:pt>
                <c:pt idx="667">
                  <c:v>#N/A</c:v>
                </c:pt>
                <c:pt idx="668">
                  <c:v>#N/A</c:v>
                </c:pt>
                <c:pt idx="669">
                  <c:v>3.552</c:v>
                </c:pt>
                <c:pt idx="670">
                  <c:v>3.5750000000000002</c:v>
                </c:pt>
                <c:pt idx="671">
                  <c:v>#N/A</c:v>
                </c:pt>
                <c:pt idx="672">
                  <c:v>#N/A</c:v>
                </c:pt>
                <c:pt idx="673">
                  <c:v>3.6440000000000001</c:v>
                </c:pt>
                <c:pt idx="674">
                  <c:v>3.6669999999999998</c:v>
                </c:pt>
                <c:pt idx="675">
                  <c:v>3.69</c:v>
                </c:pt>
                <c:pt idx="676">
                  <c:v>#N/A</c:v>
                </c:pt>
                <c:pt idx="677">
                  <c:v>#N/A</c:v>
                </c:pt>
                <c:pt idx="678">
                  <c:v>#N/A</c:v>
                </c:pt>
                <c:pt idx="679">
                  <c:v>3</c:v>
                </c:pt>
                <c:pt idx="680">
                  <c:v>#N/A</c:v>
                </c:pt>
                <c:pt idx="681">
                  <c:v>#N/A</c:v>
                </c:pt>
                <c:pt idx="682">
                  <c:v>#N/A</c:v>
                </c:pt>
                <c:pt idx="683">
                  <c:v>#N/A</c:v>
                </c:pt>
                <c:pt idx="684">
                  <c:v>#N/A</c:v>
                </c:pt>
                <c:pt idx="685">
                  <c:v>#N/A</c:v>
                </c:pt>
                <c:pt idx="686">
                  <c:v>#N/A</c:v>
                </c:pt>
                <c:pt idx="687">
                  <c:v>#N/A</c:v>
                </c:pt>
                <c:pt idx="688">
                  <c:v>#N/A</c:v>
                </c:pt>
                <c:pt idx="689">
                  <c:v>3.23</c:v>
                </c:pt>
                <c:pt idx="690">
                  <c:v>#N/A</c:v>
                </c:pt>
                <c:pt idx="691">
                  <c:v>#N/A</c:v>
                </c:pt>
                <c:pt idx="692">
                  <c:v>#N/A</c:v>
                </c:pt>
                <c:pt idx="693">
                  <c:v>3.3220000000000001</c:v>
                </c:pt>
                <c:pt idx="694">
                  <c:v>#N/A</c:v>
                </c:pt>
                <c:pt idx="695">
                  <c:v>#N/A</c:v>
                </c:pt>
                <c:pt idx="696">
                  <c:v>#N/A</c:v>
                </c:pt>
                <c:pt idx="697">
                  <c:v>#N/A</c:v>
                </c:pt>
                <c:pt idx="698">
                  <c:v>#N/A</c:v>
                </c:pt>
                <c:pt idx="699">
                  <c:v>3.46</c:v>
                </c:pt>
                <c:pt idx="700">
                  <c:v>#N/A</c:v>
                </c:pt>
                <c:pt idx="701">
                  <c:v>#N/A</c:v>
                </c:pt>
                <c:pt idx="702">
                  <c:v>#N/A</c:v>
                </c:pt>
                <c:pt idx="703">
                  <c:v>3.552</c:v>
                </c:pt>
                <c:pt idx="704">
                  <c:v>3.5750000000000002</c:v>
                </c:pt>
                <c:pt idx="705">
                  <c:v>#N/A</c:v>
                </c:pt>
                <c:pt idx="706">
                  <c:v>#N/A</c:v>
                </c:pt>
                <c:pt idx="707">
                  <c:v>#N/A</c:v>
                </c:pt>
                <c:pt idx="708">
                  <c:v>#N/A</c:v>
                </c:pt>
                <c:pt idx="709">
                  <c:v>#N/A</c:v>
                </c:pt>
                <c:pt idx="710">
                  <c:v>#N/A</c:v>
                </c:pt>
                <c:pt idx="711">
                  <c:v>#N/A</c:v>
                </c:pt>
                <c:pt idx="712">
                  <c:v>#N/A</c:v>
                </c:pt>
                <c:pt idx="713">
                  <c:v>#N/A</c:v>
                </c:pt>
                <c:pt idx="714">
                  <c:v>#N/A</c:v>
                </c:pt>
                <c:pt idx="715">
                  <c:v>3.0459999999999998</c:v>
                </c:pt>
                <c:pt idx="716">
                  <c:v>#N/A</c:v>
                </c:pt>
                <c:pt idx="717">
                  <c:v>#N/A</c:v>
                </c:pt>
                <c:pt idx="718">
                  <c:v>3.1150000000000002</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3.4140000000000001</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3.0920000000000001</c:v>
                </c:pt>
                <c:pt idx="752">
                  <c:v>#N/A</c:v>
                </c:pt>
                <c:pt idx="753">
                  <c:v>#N/A</c:v>
                </c:pt>
                <c:pt idx="754">
                  <c:v>#N/A</c:v>
                </c:pt>
                <c:pt idx="755">
                  <c:v>#N/A</c:v>
                </c:pt>
                <c:pt idx="756">
                  <c:v>#N/A</c:v>
                </c:pt>
                <c:pt idx="757">
                  <c:v>#N/A</c:v>
                </c:pt>
                <c:pt idx="758">
                  <c:v>#N/A</c:v>
                </c:pt>
                <c:pt idx="759">
                  <c:v>#N/A</c:v>
                </c:pt>
                <c:pt idx="760">
                  <c:v>#N/A</c:v>
                </c:pt>
                <c:pt idx="761">
                  <c:v>#N/A</c:v>
                </c:pt>
                <c:pt idx="762">
                  <c:v>#N/A</c:v>
                </c:pt>
                <c:pt idx="763">
                  <c:v>3.3679999999999999</c:v>
                </c:pt>
                <c:pt idx="764">
                  <c:v>#N/A</c:v>
                </c:pt>
                <c:pt idx="765">
                  <c:v>3.4140000000000001</c:v>
                </c:pt>
                <c:pt idx="766">
                  <c:v>#N/A</c:v>
                </c:pt>
                <c:pt idx="767">
                  <c:v>#N/A</c:v>
                </c:pt>
                <c:pt idx="768">
                  <c:v>#N/A</c:v>
                </c:pt>
                <c:pt idx="769">
                  <c:v>#N/A</c:v>
                </c:pt>
                <c:pt idx="770">
                  <c:v>3.5289999999999999</c:v>
                </c:pt>
                <c:pt idx="771">
                  <c:v>#N/A</c:v>
                </c:pt>
                <c:pt idx="772">
                  <c:v>#N/A</c:v>
                </c:pt>
                <c:pt idx="773">
                  <c:v>3.5979999999999999</c:v>
                </c:pt>
                <c:pt idx="774">
                  <c:v>#N/A</c:v>
                </c:pt>
                <c:pt idx="775">
                  <c:v>#N/A</c:v>
                </c:pt>
                <c:pt idx="776">
                  <c:v>#N/A</c:v>
                </c:pt>
                <c:pt idx="777">
                  <c:v>#N/A</c:v>
                </c:pt>
                <c:pt idx="778">
                  <c:v>#N/A</c:v>
                </c:pt>
                <c:pt idx="779">
                  <c:v>#N/A</c:v>
                </c:pt>
                <c:pt idx="780">
                  <c:v>#N/A</c:v>
                </c:pt>
                <c:pt idx="781">
                  <c:v>#N/A</c:v>
                </c:pt>
                <c:pt idx="782">
                  <c:v>#N/A</c:v>
                </c:pt>
                <c:pt idx="783">
                  <c:v>#N/A</c:v>
                </c:pt>
                <c:pt idx="784">
                  <c:v>#N/A</c:v>
                </c:pt>
                <c:pt idx="785">
                  <c:v>3.0920000000000001</c:v>
                </c:pt>
                <c:pt idx="786">
                  <c:v>#N/A</c:v>
                </c:pt>
                <c:pt idx="787">
                  <c:v>3.1379999999999999</c:v>
                </c:pt>
                <c:pt idx="788">
                  <c:v>#N/A</c:v>
                </c:pt>
                <c:pt idx="789">
                  <c:v>#N/A</c:v>
                </c:pt>
                <c:pt idx="790">
                  <c:v>#N/A</c:v>
                </c:pt>
                <c:pt idx="791">
                  <c:v>3.23</c:v>
                </c:pt>
                <c:pt idx="792">
                  <c:v>3.2530000000000001</c:v>
                </c:pt>
                <c:pt idx="793">
                  <c:v>3.2759999999999998</c:v>
                </c:pt>
                <c:pt idx="794">
                  <c:v>#N/A</c:v>
                </c:pt>
                <c:pt idx="795">
                  <c:v>3.3220000000000001</c:v>
                </c:pt>
                <c:pt idx="796">
                  <c:v>#N/A</c:v>
                </c:pt>
                <c:pt idx="797">
                  <c:v>#N/A</c:v>
                </c:pt>
                <c:pt idx="798">
                  <c:v>#N/A</c:v>
                </c:pt>
                <c:pt idx="799">
                  <c:v>3.4140000000000001</c:v>
                </c:pt>
                <c:pt idx="800">
                  <c:v>#N/A</c:v>
                </c:pt>
                <c:pt idx="801">
                  <c:v>#N/A</c:v>
                </c:pt>
                <c:pt idx="802">
                  <c:v>#N/A</c:v>
                </c:pt>
                <c:pt idx="803">
                  <c:v>#N/A</c:v>
                </c:pt>
                <c:pt idx="804">
                  <c:v>#N/A</c:v>
                </c:pt>
                <c:pt idx="805">
                  <c:v>#N/A</c:v>
                </c:pt>
                <c:pt idx="806">
                  <c:v>#N/A</c:v>
                </c:pt>
                <c:pt idx="807">
                  <c:v>#N/A</c:v>
                </c:pt>
                <c:pt idx="808">
                  <c:v>3.621</c:v>
                </c:pt>
                <c:pt idx="809">
                  <c:v>#N/A</c:v>
                </c:pt>
                <c:pt idx="810">
                  <c:v>#N/A</c:v>
                </c:pt>
                <c:pt idx="811">
                  <c:v>3.69</c:v>
                </c:pt>
                <c:pt idx="812">
                  <c:v>#N/A</c:v>
                </c:pt>
                <c:pt idx="813">
                  <c:v>#N/A</c:v>
                </c:pt>
                <c:pt idx="814">
                  <c:v>3.7589999999999999</c:v>
                </c:pt>
                <c:pt idx="815">
                  <c:v>3</c:v>
                </c:pt>
                <c:pt idx="816">
                  <c:v>3.0230000000000001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3.621</c:v>
                </c:pt>
                <c:pt idx="843">
                  <c:v>#N/A</c:v>
                </c:pt>
                <c:pt idx="844">
                  <c:v>#N/A</c:v>
                </c:pt>
                <c:pt idx="845">
                  <c:v>3.69</c:v>
                </c:pt>
                <c:pt idx="846">
                  <c:v>#N/A</c:v>
                </c:pt>
                <c:pt idx="847">
                  <c:v>#N/A</c:v>
                </c:pt>
                <c:pt idx="848">
                  <c:v>#N/A</c:v>
                </c:pt>
                <c:pt idx="849">
                  <c:v>3</c:v>
                </c:pt>
                <c:pt idx="850">
                  <c:v>3.0230000000000001</c:v>
                </c:pt>
                <c:pt idx="851">
                  <c:v>3.0459999999999998</c:v>
                </c:pt>
                <c:pt idx="852">
                  <c:v>3.069</c:v>
                </c:pt>
                <c:pt idx="853">
                  <c:v>#N/A</c:v>
                </c:pt>
                <c:pt idx="854">
                  <c:v>#N/A</c:v>
                </c:pt>
                <c:pt idx="855">
                  <c:v>3.1379999999999999</c:v>
                </c:pt>
                <c:pt idx="856">
                  <c:v>#N/A</c:v>
                </c:pt>
                <c:pt idx="857">
                  <c:v>#N/A</c:v>
                </c:pt>
                <c:pt idx="858">
                  <c:v>#N/A</c:v>
                </c:pt>
                <c:pt idx="859">
                  <c:v>3.23</c:v>
                </c:pt>
                <c:pt idx="860">
                  <c:v>#N/A</c:v>
                </c:pt>
                <c:pt idx="861">
                  <c:v>#N/A</c:v>
                </c:pt>
                <c:pt idx="862">
                  <c:v>#N/A</c:v>
                </c:pt>
                <c:pt idx="863">
                  <c:v>3.3220000000000001</c:v>
                </c:pt>
                <c:pt idx="864">
                  <c:v>3.3449999999999998</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2019</c:v>
                </c:pt>
                <c:pt idx="97">
                  <c:v>#N/A</c:v>
                </c:pt>
                <c:pt idx="98">
                  <c:v>#N/A</c:v>
                </c:pt>
                <c:pt idx="99">
                  <c:v>2010</c:v>
                </c:pt>
                <c:pt idx="100">
                  <c:v>2014</c:v>
                </c:pt>
                <c:pt idx="101">
                  <c:v>1994</c:v>
                </c:pt>
                <c:pt idx="102">
                  <c:v>2005</c:v>
                </c:pt>
                <c:pt idx="103">
                  <c:v>#N/A</c:v>
                </c:pt>
                <c:pt idx="104">
                  <c:v>2010</c:v>
                </c:pt>
                <c:pt idx="105">
                  <c:v>2020</c:v>
                </c:pt>
                <c:pt idx="106">
                  <c:v>2013</c:v>
                </c:pt>
                <c:pt idx="107">
                  <c:v>2025</c:v>
                </c:pt>
                <c:pt idx="108">
                  <c:v>#N/A</c:v>
                </c:pt>
                <c:pt idx="109">
                  <c:v>#N/A</c:v>
                </c:pt>
                <c:pt idx="110">
                  <c:v>1991</c:v>
                </c:pt>
                <c:pt idx="111">
                  <c:v>#N/A</c:v>
                </c:pt>
                <c:pt idx="112">
                  <c:v>2010</c:v>
                </c:pt>
                <c:pt idx="113">
                  <c:v>#N/A</c:v>
                </c:pt>
                <c:pt idx="114">
                  <c:v>#N/A</c:v>
                </c:pt>
                <c:pt idx="115">
                  <c:v>#N/A</c:v>
                </c:pt>
                <c:pt idx="116">
                  <c:v>#N/A</c:v>
                </c:pt>
                <c:pt idx="117">
                  <c:v>#N/A</c:v>
                </c:pt>
                <c:pt idx="118">
                  <c:v>#N/A</c:v>
                </c:pt>
                <c:pt idx="119">
                  <c:v>1998</c:v>
                </c:pt>
                <c:pt idx="120">
                  <c:v>1997</c:v>
                </c:pt>
                <c:pt idx="121">
                  <c:v>2019</c:v>
                </c:pt>
                <c:pt idx="122">
                  <c:v>#N/A</c:v>
                </c:pt>
                <c:pt idx="123">
                  <c:v>#N/A</c:v>
                </c:pt>
                <c:pt idx="124">
                  <c:v>#N/A</c:v>
                </c:pt>
                <c:pt idx="125">
                  <c:v>#N/A</c:v>
                </c:pt>
                <c:pt idx="126">
                  <c:v>#N/A</c:v>
                </c:pt>
                <c:pt idx="127">
                  <c:v>#N/A</c:v>
                </c:pt>
                <c:pt idx="128">
                  <c:v>#N/A</c:v>
                </c:pt>
                <c:pt idx="129">
                  <c:v>#N/A</c:v>
                </c:pt>
                <c:pt idx="130">
                  <c:v>#N/A</c:v>
                </c:pt>
                <c:pt idx="131">
                  <c:v>#N/A</c:v>
                </c:pt>
                <c:pt idx="132">
                  <c:v>#N/A</c:v>
                </c:pt>
                <c:pt idx="133">
                  <c:v>2017</c:v>
                </c:pt>
                <c:pt idx="134">
                  <c:v>#N/A</c:v>
                </c:pt>
                <c:pt idx="135">
                  <c:v>#N/A</c:v>
                </c:pt>
                <c:pt idx="136">
                  <c:v>#N/A</c:v>
                </c:pt>
                <c:pt idx="137">
                  <c:v>#N/A</c:v>
                </c:pt>
                <c:pt idx="138">
                  <c:v>#N/A</c:v>
                </c:pt>
                <c:pt idx="139">
                  <c:v>#N/A</c:v>
                </c:pt>
                <c:pt idx="140">
                  <c:v>#N/A</c:v>
                </c:pt>
                <c:pt idx="141">
                  <c:v>#N/A</c:v>
                </c:pt>
                <c:pt idx="142">
                  <c:v>#N/A</c:v>
                </c:pt>
                <c:pt idx="143">
                  <c:v>2025</c:v>
                </c:pt>
                <c:pt idx="144">
                  <c:v>#N/A</c:v>
                </c:pt>
                <c:pt idx="145">
                  <c:v>#N/A</c:v>
                </c:pt>
                <c:pt idx="146">
                  <c:v>#N/A</c:v>
                </c:pt>
                <c:pt idx="147">
                  <c:v>#N/A</c:v>
                </c:pt>
                <c:pt idx="148">
                  <c:v>#N/A</c:v>
                </c:pt>
                <c:pt idx="149">
                  <c:v>#N/A</c:v>
                </c:pt>
                <c:pt idx="150">
                  <c:v>#N/A</c:v>
                </c:pt>
                <c:pt idx="151">
                  <c:v>#N/A</c:v>
                </c:pt>
                <c:pt idx="152">
                  <c:v>2015</c:v>
                </c:pt>
                <c:pt idx="153">
                  <c:v>#N/A</c:v>
                </c:pt>
                <c:pt idx="154">
                  <c:v>1998</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2026</c:v>
                </c:pt>
                <c:pt idx="192">
                  <c:v>#N/A</c:v>
                </c:pt>
                <c:pt idx="193">
                  <c:v>#N/A</c:v>
                </c:pt>
                <c:pt idx="194">
                  <c:v>#N/A</c:v>
                </c:pt>
                <c:pt idx="195">
                  <c:v>2010</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2002</c:v>
                </c:pt>
                <c:pt idx="223">
                  <c:v>#N/A</c:v>
                </c:pt>
                <c:pt idx="224">
                  <c:v>#N/A</c:v>
                </c:pt>
                <c:pt idx="225">
                  <c:v>#N/A</c:v>
                </c:pt>
                <c:pt idx="226">
                  <c:v>1990</c:v>
                </c:pt>
                <c:pt idx="227">
                  <c:v>2026</c:v>
                </c:pt>
                <c:pt idx="228">
                  <c:v>2006</c:v>
                </c:pt>
                <c:pt idx="229">
                  <c:v>2003</c:v>
                </c:pt>
                <c:pt idx="230">
                  <c:v>#N/A</c:v>
                </c:pt>
                <c:pt idx="231">
                  <c:v>#N/A</c:v>
                </c:pt>
                <c:pt idx="232">
                  <c:v>#N/A</c:v>
                </c:pt>
                <c:pt idx="233">
                  <c:v>#N/A</c:v>
                </c:pt>
                <c:pt idx="234">
                  <c:v>#N/A</c:v>
                </c:pt>
                <c:pt idx="235">
                  <c:v>#N/A</c:v>
                </c:pt>
                <c:pt idx="236">
                  <c:v>#N/A</c:v>
                </c:pt>
                <c:pt idx="237">
                  <c:v>2006</c:v>
                </c:pt>
                <c:pt idx="238">
                  <c:v>#N/A</c:v>
                </c:pt>
                <c:pt idx="239">
                  <c:v>2023</c:v>
                </c:pt>
                <c:pt idx="240">
                  <c:v>#N/A</c:v>
                </c:pt>
                <c:pt idx="241">
                  <c:v>2008</c:v>
                </c:pt>
                <c:pt idx="242">
                  <c:v>#N/A</c:v>
                </c:pt>
                <c:pt idx="243">
                  <c:v>2010</c:v>
                </c:pt>
                <c:pt idx="244">
                  <c:v>#N/A</c:v>
                </c:pt>
                <c:pt idx="245">
                  <c:v>#N/A</c:v>
                </c:pt>
                <c:pt idx="246">
                  <c:v>2011</c:v>
                </c:pt>
                <c:pt idx="247">
                  <c:v>#N/A</c:v>
                </c:pt>
                <c:pt idx="248">
                  <c:v>#N/A</c:v>
                </c:pt>
                <c:pt idx="249">
                  <c:v>#N/A</c:v>
                </c:pt>
                <c:pt idx="250">
                  <c:v>#N/A</c:v>
                </c:pt>
                <c:pt idx="251">
                  <c:v>#N/A</c:v>
                </c:pt>
                <c:pt idx="252">
                  <c:v>#N/A</c:v>
                </c:pt>
                <c:pt idx="253">
                  <c:v>#N/A</c:v>
                </c:pt>
                <c:pt idx="254">
                  <c:v>#N/A</c:v>
                </c:pt>
                <c:pt idx="255">
                  <c:v>2024</c:v>
                </c:pt>
                <c:pt idx="256">
                  <c:v>2008</c:v>
                </c:pt>
                <c:pt idx="257">
                  <c:v>#N/A</c:v>
                </c:pt>
                <c:pt idx="258">
                  <c:v>#N/A</c:v>
                </c:pt>
                <c:pt idx="259">
                  <c:v>#N/A</c:v>
                </c:pt>
                <c:pt idx="260">
                  <c:v>#N/A</c:v>
                </c:pt>
                <c:pt idx="261">
                  <c:v>#N/A</c:v>
                </c:pt>
                <c:pt idx="262">
                  <c:v>#N/A</c:v>
                </c:pt>
                <c:pt idx="263">
                  <c:v>2004</c:v>
                </c:pt>
                <c:pt idx="264">
                  <c:v>2015</c:v>
                </c:pt>
                <c:pt idx="265">
                  <c:v>2017</c:v>
                </c:pt>
                <c:pt idx="266">
                  <c:v>#N/A</c:v>
                </c:pt>
                <c:pt idx="267">
                  <c:v>#N/A</c:v>
                </c:pt>
                <c:pt idx="268">
                  <c:v>#N/A</c:v>
                </c:pt>
                <c:pt idx="269">
                  <c:v>#N/A</c:v>
                </c:pt>
                <c:pt idx="270">
                  <c:v>#N/A</c:v>
                </c:pt>
                <c:pt idx="271">
                  <c:v>1990</c:v>
                </c:pt>
                <c:pt idx="272">
                  <c:v>#N/A</c:v>
                </c:pt>
                <c:pt idx="273">
                  <c:v>#N/A</c:v>
                </c:pt>
                <c:pt idx="274">
                  <c:v>#N/A</c:v>
                </c:pt>
                <c:pt idx="275">
                  <c:v>2007</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2006</c:v>
                </c:pt>
                <c:pt idx="290">
                  <c:v>#N/A</c:v>
                </c:pt>
                <c:pt idx="291">
                  <c:v>#N/A</c:v>
                </c:pt>
                <c:pt idx="292">
                  <c:v>#N/A</c:v>
                </c:pt>
                <c:pt idx="293">
                  <c:v>2010</c:v>
                </c:pt>
                <c:pt idx="294">
                  <c:v>2014</c:v>
                </c:pt>
                <c:pt idx="295">
                  <c:v>#N/A</c:v>
                </c:pt>
                <c:pt idx="296">
                  <c:v>#N/A</c:v>
                </c:pt>
                <c:pt idx="297">
                  <c:v>#N/A</c:v>
                </c:pt>
                <c:pt idx="298">
                  <c:v>#N/A</c:v>
                </c:pt>
                <c:pt idx="299">
                  <c:v>2002</c:v>
                </c:pt>
                <c:pt idx="300">
                  <c:v>2007</c:v>
                </c:pt>
                <c:pt idx="301">
                  <c:v>2022</c:v>
                </c:pt>
                <c:pt idx="302">
                  <c:v>#N/A</c:v>
                </c:pt>
                <c:pt idx="303">
                  <c:v>#N/A</c:v>
                </c:pt>
                <c:pt idx="304">
                  <c:v>#N/A</c:v>
                </c:pt>
                <c:pt idx="305">
                  <c:v>#N/A</c:v>
                </c:pt>
                <c:pt idx="306">
                  <c:v>#N/A</c:v>
                </c:pt>
                <c:pt idx="307">
                  <c:v>2020</c:v>
                </c:pt>
                <c:pt idx="308">
                  <c:v>#N/A</c:v>
                </c:pt>
                <c:pt idx="309">
                  <c:v>#N/A</c:v>
                </c:pt>
                <c:pt idx="310">
                  <c:v>#N/A</c:v>
                </c:pt>
                <c:pt idx="311">
                  <c:v>#N/A</c:v>
                </c:pt>
                <c:pt idx="312">
                  <c:v>#N/A</c:v>
                </c:pt>
                <c:pt idx="313">
                  <c:v>#N/A</c:v>
                </c:pt>
                <c:pt idx="314">
                  <c:v>2014</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1984</c:v>
                </c:pt>
                <c:pt idx="333">
                  <c:v>2022</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2026</c:v>
                </c:pt>
                <c:pt idx="363">
                  <c:v>2013</c:v>
                </c:pt>
                <c:pt idx="364">
                  <c:v>2025</c:v>
                </c:pt>
                <c:pt idx="365">
                  <c:v>#N/A</c:v>
                </c:pt>
                <c:pt idx="366">
                  <c:v>#N/A</c:v>
                </c:pt>
                <c:pt idx="367">
                  <c:v>#N/A</c:v>
                </c:pt>
                <c:pt idx="368">
                  <c:v>2012</c:v>
                </c:pt>
                <c:pt idx="369">
                  <c:v>#N/A</c:v>
                </c:pt>
                <c:pt idx="370">
                  <c:v>2017</c:v>
                </c:pt>
                <c:pt idx="371">
                  <c:v>#N/A</c:v>
                </c:pt>
                <c:pt idx="372">
                  <c:v>#N/A</c:v>
                </c:pt>
                <c:pt idx="373">
                  <c:v>#N/A</c:v>
                </c:pt>
                <c:pt idx="374">
                  <c:v>2007</c:v>
                </c:pt>
                <c:pt idx="375">
                  <c:v>#N/A</c:v>
                </c:pt>
                <c:pt idx="376">
                  <c:v>2011</c:v>
                </c:pt>
                <c:pt idx="377">
                  <c:v>#N/A</c:v>
                </c:pt>
                <c:pt idx="378">
                  <c:v>#N/A</c:v>
                </c:pt>
                <c:pt idx="379">
                  <c:v>#N/A</c:v>
                </c:pt>
                <c:pt idx="380">
                  <c:v>#N/A</c:v>
                </c:pt>
                <c:pt idx="381">
                  <c:v>#N/A</c:v>
                </c:pt>
                <c:pt idx="382">
                  <c:v>#N/A</c:v>
                </c:pt>
                <c:pt idx="383">
                  <c:v>#N/A</c:v>
                </c:pt>
                <c:pt idx="384">
                  <c:v>2001</c:v>
                </c:pt>
                <c:pt idx="385">
                  <c:v>2007</c:v>
                </c:pt>
                <c:pt idx="386">
                  <c:v>2006</c:v>
                </c:pt>
                <c:pt idx="387">
                  <c:v>#N/A</c:v>
                </c:pt>
                <c:pt idx="388">
                  <c:v>#N/A</c:v>
                </c:pt>
                <c:pt idx="389">
                  <c:v>2019</c:v>
                </c:pt>
                <c:pt idx="390">
                  <c:v>#N/A</c:v>
                </c:pt>
                <c:pt idx="391">
                  <c:v>#N/A</c:v>
                </c:pt>
                <c:pt idx="392">
                  <c:v>#N/A</c:v>
                </c:pt>
                <c:pt idx="393">
                  <c:v>2015</c:v>
                </c:pt>
                <c:pt idx="394">
                  <c:v>#N/A</c:v>
                </c:pt>
                <c:pt idx="395">
                  <c:v>#N/A</c:v>
                </c:pt>
                <c:pt idx="396">
                  <c:v>#N/A</c:v>
                </c:pt>
                <c:pt idx="397">
                  <c:v>#N/A</c:v>
                </c:pt>
                <c:pt idx="398">
                  <c:v>#N/A</c:v>
                </c:pt>
                <c:pt idx="399">
                  <c:v>#N/A</c:v>
                </c:pt>
                <c:pt idx="400">
                  <c:v>#N/A</c:v>
                </c:pt>
                <c:pt idx="401">
                  <c:v>#N/A</c:v>
                </c:pt>
                <c:pt idx="402">
                  <c:v>2020</c:v>
                </c:pt>
                <c:pt idx="403">
                  <c:v>#N/A</c:v>
                </c:pt>
                <c:pt idx="404">
                  <c:v>2006</c:v>
                </c:pt>
                <c:pt idx="405">
                  <c:v>1986</c:v>
                </c:pt>
                <c:pt idx="406">
                  <c:v>#N/A</c:v>
                </c:pt>
                <c:pt idx="407">
                  <c:v>#N/A</c:v>
                </c:pt>
                <c:pt idx="408">
                  <c:v>#N/A</c:v>
                </c:pt>
                <c:pt idx="409">
                  <c:v>#N/A</c:v>
                </c:pt>
                <c:pt idx="410">
                  <c:v>1995</c:v>
                </c:pt>
                <c:pt idx="411">
                  <c:v>#N/A</c:v>
                </c:pt>
                <c:pt idx="412">
                  <c:v>#N/A</c:v>
                </c:pt>
                <c:pt idx="413">
                  <c:v>#N/A</c:v>
                </c:pt>
                <c:pt idx="414">
                  <c:v>#N/A</c:v>
                </c:pt>
                <c:pt idx="415">
                  <c:v>#N/A</c:v>
                </c:pt>
                <c:pt idx="416">
                  <c:v>#N/A</c:v>
                </c:pt>
                <c:pt idx="417">
                  <c:v>#N/A</c:v>
                </c:pt>
                <c:pt idx="418">
                  <c:v>2019</c:v>
                </c:pt>
                <c:pt idx="419">
                  <c:v>#N/A</c:v>
                </c:pt>
                <c:pt idx="420">
                  <c:v>#N/A</c:v>
                </c:pt>
                <c:pt idx="421">
                  <c:v>#N/A</c:v>
                </c:pt>
                <c:pt idx="422">
                  <c:v>2001</c:v>
                </c:pt>
                <c:pt idx="423">
                  <c:v>#N/A</c:v>
                </c:pt>
                <c:pt idx="424">
                  <c:v>#N/A</c:v>
                </c:pt>
                <c:pt idx="425">
                  <c:v>#N/A</c:v>
                </c:pt>
                <c:pt idx="426">
                  <c:v>#N/A</c:v>
                </c:pt>
                <c:pt idx="427">
                  <c:v>#N/A</c:v>
                </c:pt>
                <c:pt idx="428">
                  <c:v>#N/A</c:v>
                </c:pt>
                <c:pt idx="429">
                  <c:v>#N/A</c:v>
                </c:pt>
                <c:pt idx="430">
                  <c:v>#N/A</c:v>
                </c:pt>
                <c:pt idx="431">
                  <c:v>#N/A</c:v>
                </c:pt>
                <c:pt idx="432">
                  <c:v>2020</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2012</c:v>
                </c:pt>
                <c:pt idx="450">
                  <c:v>2011</c:v>
                </c:pt>
                <c:pt idx="451">
                  <c:v>1987</c:v>
                </c:pt>
                <c:pt idx="452">
                  <c:v>#N/A</c:v>
                </c:pt>
                <c:pt idx="453">
                  <c:v>#N/A</c:v>
                </c:pt>
                <c:pt idx="454">
                  <c:v>#N/A</c:v>
                </c:pt>
                <c:pt idx="455">
                  <c:v>2002</c:v>
                </c:pt>
                <c:pt idx="456">
                  <c:v>2003</c:v>
                </c:pt>
                <c:pt idx="457">
                  <c:v>2020</c:v>
                </c:pt>
                <c:pt idx="458">
                  <c:v>2022</c:v>
                </c:pt>
                <c:pt idx="459">
                  <c:v>#N/A</c:v>
                </c:pt>
                <c:pt idx="460">
                  <c:v>#N/A</c:v>
                </c:pt>
                <c:pt idx="461">
                  <c:v>#N/A</c:v>
                </c:pt>
                <c:pt idx="462">
                  <c:v>#N/A</c:v>
                </c:pt>
                <c:pt idx="463">
                  <c:v>#N/A</c:v>
                </c:pt>
                <c:pt idx="464">
                  <c:v>#N/A</c:v>
                </c:pt>
                <c:pt idx="465">
                  <c:v>#N/A</c:v>
                </c:pt>
                <c:pt idx="466">
                  <c:v>#N/A</c:v>
                </c:pt>
                <c:pt idx="467">
                  <c:v>#N/A</c:v>
                </c:pt>
                <c:pt idx="468">
                  <c:v>#N/A</c:v>
                </c:pt>
                <c:pt idx="469">
                  <c:v>2023</c:v>
                </c:pt>
                <c:pt idx="470">
                  <c:v>#N/A</c:v>
                </c:pt>
                <c:pt idx="471">
                  <c:v>1983</c:v>
                </c:pt>
                <c:pt idx="472">
                  <c:v>#N/A</c:v>
                </c:pt>
                <c:pt idx="473">
                  <c:v>#N/A</c:v>
                </c:pt>
                <c:pt idx="474">
                  <c:v>#N/A</c:v>
                </c:pt>
                <c:pt idx="475">
                  <c:v>#N/A</c:v>
                </c:pt>
                <c:pt idx="476">
                  <c:v>#N/A</c:v>
                </c:pt>
                <c:pt idx="477">
                  <c:v>2011</c:v>
                </c:pt>
                <c:pt idx="478">
                  <c:v>#N/A</c:v>
                </c:pt>
                <c:pt idx="479">
                  <c:v>#N/A</c:v>
                </c:pt>
                <c:pt idx="480">
                  <c:v>#N/A</c:v>
                </c:pt>
                <c:pt idx="481">
                  <c:v>2016</c:v>
                </c:pt>
                <c:pt idx="482">
                  <c:v>1995</c:v>
                </c:pt>
                <c:pt idx="483">
                  <c:v>#N/A</c:v>
                </c:pt>
                <c:pt idx="484">
                  <c:v>#N/A</c:v>
                </c:pt>
                <c:pt idx="485">
                  <c:v>#N/A</c:v>
                </c:pt>
                <c:pt idx="486">
                  <c:v>#N/A</c:v>
                </c:pt>
                <c:pt idx="487">
                  <c:v>#N/A</c:v>
                </c:pt>
                <c:pt idx="488">
                  <c:v>#N/A</c:v>
                </c:pt>
                <c:pt idx="489">
                  <c:v>#N/A</c:v>
                </c:pt>
                <c:pt idx="490">
                  <c:v>#N/A</c:v>
                </c:pt>
                <c:pt idx="491">
                  <c:v>#N/A</c:v>
                </c:pt>
                <c:pt idx="492">
                  <c:v>1987</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1987</c:v>
                </c:pt>
                <c:pt idx="519">
                  <c:v>2015</c:v>
                </c:pt>
                <c:pt idx="520">
                  <c:v>2019</c:v>
                </c:pt>
                <c:pt idx="521">
                  <c:v>2017</c:v>
                </c:pt>
                <c:pt idx="522">
                  <c:v>#N/A</c:v>
                </c:pt>
                <c:pt idx="523">
                  <c:v>#N/A</c:v>
                </c:pt>
                <c:pt idx="524">
                  <c:v>2014</c:v>
                </c:pt>
                <c:pt idx="525">
                  <c:v>2019</c:v>
                </c:pt>
                <c:pt idx="526">
                  <c:v>#N/A</c:v>
                </c:pt>
                <c:pt idx="527">
                  <c:v>#N/A</c:v>
                </c:pt>
                <c:pt idx="528">
                  <c:v>#N/A</c:v>
                </c:pt>
                <c:pt idx="529">
                  <c:v>#N/A</c:v>
                </c:pt>
                <c:pt idx="530">
                  <c:v>2022</c:v>
                </c:pt>
                <c:pt idx="531">
                  <c:v>#N/A</c:v>
                </c:pt>
                <c:pt idx="532">
                  <c:v>2025</c:v>
                </c:pt>
                <c:pt idx="533">
                  <c:v>#N/A</c:v>
                </c:pt>
                <c:pt idx="534">
                  <c:v>#N/A</c:v>
                </c:pt>
                <c:pt idx="535">
                  <c:v>#N/A</c:v>
                </c:pt>
                <c:pt idx="536">
                  <c:v>2023</c:v>
                </c:pt>
                <c:pt idx="537">
                  <c:v>#N/A</c:v>
                </c:pt>
                <c:pt idx="538">
                  <c:v>2015</c:v>
                </c:pt>
                <c:pt idx="539">
                  <c:v>#N/A</c:v>
                </c:pt>
                <c:pt idx="540">
                  <c:v>#N/A</c:v>
                </c:pt>
                <c:pt idx="541">
                  <c:v>#N/A</c:v>
                </c:pt>
                <c:pt idx="542">
                  <c:v>#N/A</c:v>
                </c:pt>
                <c:pt idx="543">
                  <c:v>#N/A</c:v>
                </c:pt>
                <c:pt idx="544">
                  <c:v>#N/A</c:v>
                </c:pt>
                <c:pt idx="545">
                  <c:v>#N/A</c:v>
                </c:pt>
                <c:pt idx="546">
                  <c:v>2012</c:v>
                </c:pt>
                <c:pt idx="547">
                  <c:v>#N/A</c:v>
                </c:pt>
                <c:pt idx="548">
                  <c:v>#N/A</c:v>
                </c:pt>
                <c:pt idx="549">
                  <c:v>#N/A</c:v>
                </c:pt>
                <c:pt idx="550">
                  <c:v>#N/A</c:v>
                </c:pt>
                <c:pt idx="551">
                  <c:v>#N/A</c:v>
                </c:pt>
                <c:pt idx="552">
                  <c:v>#N/A</c:v>
                </c:pt>
                <c:pt idx="553">
                  <c:v>#N/A</c:v>
                </c:pt>
                <c:pt idx="554">
                  <c:v>#N/A</c:v>
                </c:pt>
                <c:pt idx="555">
                  <c:v>#N/A</c:v>
                </c:pt>
                <c:pt idx="556">
                  <c:v>2009</c:v>
                </c:pt>
                <c:pt idx="557">
                  <c:v>2007</c:v>
                </c:pt>
                <c:pt idx="558">
                  <c:v>2012</c:v>
                </c:pt>
                <c:pt idx="559">
                  <c:v>2005</c:v>
                </c:pt>
                <c:pt idx="560">
                  <c:v>2020</c:v>
                </c:pt>
                <c:pt idx="561">
                  <c:v>2015</c:v>
                </c:pt>
                <c:pt idx="562">
                  <c:v>#N/A</c:v>
                </c:pt>
                <c:pt idx="563">
                  <c:v>#N/A</c:v>
                </c:pt>
                <c:pt idx="564">
                  <c:v>#N/A</c:v>
                </c:pt>
                <c:pt idx="565">
                  <c:v>2003</c:v>
                </c:pt>
                <c:pt idx="566">
                  <c:v>#N/A</c:v>
                </c:pt>
                <c:pt idx="567">
                  <c:v>#N/A</c:v>
                </c:pt>
                <c:pt idx="568">
                  <c:v>#N/A</c:v>
                </c:pt>
                <c:pt idx="569">
                  <c:v>2023</c:v>
                </c:pt>
                <c:pt idx="570">
                  <c:v>2014</c:v>
                </c:pt>
                <c:pt idx="571">
                  <c:v>#N/A</c:v>
                </c:pt>
                <c:pt idx="572">
                  <c:v>#N/A</c:v>
                </c:pt>
                <c:pt idx="573">
                  <c:v>#N/A</c:v>
                </c:pt>
                <c:pt idx="574">
                  <c:v>1992</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2020</c:v>
                </c:pt>
                <c:pt idx="591">
                  <c:v>2024</c:v>
                </c:pt>
                <c:pt idx="592">
                  <c:v>2026</c:v>
                </c:pt>
                <c:pt idx="593">
                  <c:v>#N/A</c:v>
                </c:pt>
                <c:pt idx="594">
                  <c:v>#N/A</c:v>
                </c:pt>
                <c:pt idx="595">
                  <c:v>#N/A</c:v>
                </c:pt>
                <c:pt idx="596">
                  <c:v>#N/A</c:v>
                </c:pt>
                <c:pt idx="597">
                  <c:v>#N/A</c:v>
                </c:pt>
                <c:pt idx="598">
                  <c:v>#N/A</c:v>
                </c:pt>
                <c:pt idx="599">
                  <c:v>#N/A</c:v>
                </c:pt>
                <c:pt idx="600">
                  <c:v>#N/A</c:v>
                </c:pt>
                <c:pt idx="601">
                  <c:v>#N/A</c:v>
                </c:pt>
                <c:pt idx="602">
                  <c:v>#N/A</c:v>
                </c:pt>
                <c:pt idx="603">
                  <c:v>1980</c:v>
                </c:pt>
                <c:pt idx="604">
                  <c:v>#N/A</c:v>
                </c:pt>
                <c:pt idx="605">
                  <c:v>2019</c:v>
                </c:pt>
                <c:pt idx="606">
                  <c:v>#N/A</c:v>
                </c:pt>
                <c:pt idx="607">
                  <c:v>#N/A</c:v>
                </c:pt>
                <c:pt idx="608">
                  <c:v>2007</c:v>
                </c:pt>
                <c:pt idx="609">
                  <c:v>#N/A</c:v>
                </c:pt>
                <c:pt idx="610">
                  <c:v>#N/A</c:v>
                </c:pt>
                <c:pt idx="611">
                  <c:v>#N/A</c:v>
                </c:pt>
                <c:pt idx="612">
                  <c:v>#N/A</c:v>
                </c:pt>
                <c:pt idx="613">
                  <c:v>#N/A</c:v>
                </c:pt>
                <c:pt idx="614">
                  <c:v>#N/A</c:v>
                </c:pt>
                <c:pt idx="615">
                  <c:v>#N/A</c:v>
                </c:pt>
                <c:pt idx="616">
                  <c:v>#N/A</c:v>
                </c:pt>
                <c:pt idx="617">
                  <c:v>#N/A</c:v>
                </c:pt>
                <c:pt idx="618">
                  <c:v>2023</c:v>
                </c:pt>
                <c:pt idx="619">
                  <c:v>#N/A</c:v>
                </c:pt>
                <c:pt idx="620">
                  <c:v>2014</c:v>
                </c:pt>
                <c:pt idx="621">
                  <c:v>#N/A</c:v>
                </c:pt>
                <c:pt idx="622">
                  <c:v>#N/A</c:v>
                </c:pt>
                <c:pt idx="623">
                  <c:v>#N/A</c:v>
                </c:pt>
                <c:pt idx="624">
                  <c:v>#N/A</c:v>
                </c:pt>
                <c:pt idx="625">
                  <c:v>#N/A</c:v>
                </c:pt>
                <c:pt idx="626">
                  <c:v>#N/A</c:v>
                </c:pt>
                <c:pt idx="627">
                  <c:v>#N/A</c:v>
                </c:pt>
                <c:pt idx="628">
                  <c:v>#N/A</c:v>
                </c:pt>
                <c:pt idx="629">
                  <c:v>#N/A</c:v>
                </c:pt>
                <c:pt idx="630">
                  <c:v>#N/A</c:v>
                </c:pt>
                <c:pt idx="631">
                  <c:v>2010</c:v>
                </c:pt>
                <c:pt idx="632">
                  <c:v>#N/A</c:v>
                </c:pt>
                <c:pt idx="633">
                  <c:v>#N/A</c:v>
                </c:pt>
                <c:pt idx="634">
                  <c:v>#N/A</c:v>
                </c:pt>
                <c:pt idx="635">
                  <c:v>#N/A</c:v>
                </c:pt>
                <c:pt idx="636">
                  <c:v>#N/A</c:v>
                </c:pt>
                <c:pt idx="637">
                  <c:v>#N/A</c:v>
                </c:pt>
                <c:pt idx="638">
                  <c:v>#N/A</c:v>
                </c:pt>
                <c:pt idx="639">
                  <c:v>#N/A</c:v>
                </c:pt>
                <c:pt idx="640">
                  <c:v>#N/A</c:v>
                </c:pt>
                <c:pt idx="641">
                  <c:v>#N/A</c:v>
                </c:pt>
                <c:pt idx="642">
                  <c:v>2015</c:v>
                </c:pt>
                <c:pt idx="643">
                  <c:v>#N/A</c:v>
                </c:pt>
                <c:pt idx="644">
                  <c:v>#N/A</c:v>
                </c:pt>
                <c:pt idx="645">
                  <c:v>#N/A</c:v>
                </c:pt>
                <c:pt idx="646">
                  <c:v>2014</c:v>
                </c:pt>
                <c:pt idx="647">
                  <c:v>#N/A</c:v>
                </c:pt>
                <c:pt idx="648">
                  <c:v>2008</c:v>
                </c:pt>
                <c:pt idx="649">
                  <c:v>2000</c:v>
                </c:pt>
                <c:pt idx="650">
                  <c:v>2010</c:v>
                </c:pt>
                <c:pt idx="651">
                  <c:v>2002</c:v>
                </c:pt>
                <c:pt idx="652">
                  <c:v>1996</c:v>
                </c:pt>
                <c:pt idx="653">
                  <c:v>2001</c:v>
                </c:pt>
                <c:pt idx="654">
                  <c:v>2024</c:v>
                </c:pt>
                <c:pt idx="655">
                  <c:v>2010</c:v>
                </c:pt>
                <c:pt idx="656">
                  <c:v>#N/A</c:v>
                </c:pt>
                <c:pt idx="657">
                  <c:v>#N/A</c:v>
                </c:pt>
                <c:pt idx="658">
                  <c:v>#N/A</c:v>
                </c:pt>
                <c:pt idx="659">
                  <c:v>#N/A</c:v>
                </c:pt>
                <c:pt idx="660">
                  <c:v>2012</c:v>
                </c:pt>
                <c:pt idx="661">
                  <c:v>#N/A</c:v>
                </c:pt>
                <c:pt idx="662">
                  <c:v>#N/A</c:v>
                </c:pt>
                <c:pt idx="663">
                  <c:v>#N/A</c:v>
                </c:pt>
                <c:pt idx="664">
                  <c:v>#N/A</c:v>
                </c:pt>
                <c:pt idx="665">
                  <c:v>#N/A</c:v>
                </c:pt>
                <c:pt idx="666">
                  <c:v>2006</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2022</c:v>
                </c:pt>
                <c:pt idx="680">
                  <c:v>2023</c:v>
                </c:pt>
                <c:pt idx="681">
                  <c:v>#N/A</c:v>
                </c:pt>
                <c:pt idx="682">
                  <c:v>#N/A</c:v>
                </c:pt>
                <c:pt idx="683">
                  <c:v>#N/A</c:v>
                </c:pt>
                <c:pt idx="684">
                  <c:v>2016</c:v>
                </c:pt>
                <c:pt idx="685">
                  <c:v>#N/A</c:v>
                </c:pt>
                <c:pt idx="686">
                  <c:v>#N/A</c:v>
                </c:pt>
                <c:pt idx="687">
                  <c:v>#N/A</c:v>
                </c:pt>
                <c:pt idx="688">
                  <c:v>#N/A</c:v>
                </c:pt>
                <c:pt idx="689">
                  <c:v>#N/A</c:v>
                </c:pt>
                <c:pt idx="690">
                  <c:v>#N/A</c:v>
                </c:pt>
                <c:pt idx="691">
                  <c:v>#N/A</c:v>
                </c:pt>
                <c:pt idx="692">
                  <c:v>#N/A</c:v>
                </c:pt>
                <c:pt idx="693">
                  <c:v>#N/A</c:v>
                </c:pt>
                <c:pt idx="694">
                  <c:v>#N/A</c:v>
                </c:pt>
                <c:pt idx="695">
                  <c:v>#N/A</c:v>
                </c:pt>
                <c:pt idx="696">
                  <c:v>2014</c:v>
                </c:pt>
                <c:pt idx="697">
                  <c:v>#N/A</c:v>
                </c:pt>
                <c:pt idx="698">
                  <c:v>#N/A</c:v>
                </c:pt>
                <c:pt idx="699">
                  <c:v>#N/A</c:v>
                </c:pt>
                <c:pt idx="700">
                  <c:v>#N/A</c:v>
                </c:pt>
                <c:pt idx="701">
                  <c:v>#N/A</c:v>
                </c:pt>
                <c:pt idx="702">
                  <c:v>#N/A</c:v>
                </c:pt>
                <c:pt idx="703">
                  <c:v>#N/A</c:v>
                </c:pt>
                <c:pt idx="704">
                  <c:v>#N/A</c:v>
                </c:pt>
                <c:pt idx="705">
                  <c:v>2020</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1982</c:v>
                </c:pt>
                <c:pt idx="722">
                  <c:v>#N/A</c:v>
                </c:pt>
                <c:pt idx="723">
                  <c:v>#N/A</c:v>
                </c:pt>
                <c:pt idx="724">
                  <c:v>2013</c:v>
                </c:pt>
                <c:pt idx="725">
                  <c:v>#N/A</c:v>
                </c:pt>
                <c:pt idx="726">
                  <c:v>#N/A</c:v>
                </c:pt>
                <c:pt idx="727">
                  <c:v>#N/A</c:v>
                </c:pt>
                <c:pt idx="728">
                  <c:v>#N/A</c:v>
                </c:pt>
                <c:pt idx="729">
                  <c:v>#N/A</c:v>
                </c:pt>
                <c:pt idx="730">
                  <c:v>#N/A</c:v>
                </c:pt>
                <c:pt idx="731">
                  <c:v>#N/A</c:v>
                </c:pt>
                <c:pt idx="732">
                  <c:v>1998</c:v>
                </c:pt>
                <c:pt idx="733">
                  <c:v>#N/A</c:v>
                </c:pt>
                <c:pt idx="734">
                  <c:v>2017</c:v>
                </c:pt>
                <c:pt idx="735">
                  <c:v>#N/A</c:v>
                </c:pt>
                <c:pt idx="736">
                  <c:v>2006</c:v>
                </c:pt>
                <c:pt idx="737">
                  <c:v>#N/A</c:v>
                </c:pt>
                <c:pt idx="738">
                  <c:v>#N/A</c:v>
                </c:pt>
                <c:pt idx="739">
                  <c:v>#N/A</c:v>
                </c:pt>
                <c:pt idx="740">
                  <c:v>#N/A</c:v>
                </c:pt>
                <c:pt idx="741">
                  <c:v>#N/A</c:v>
                </c:pt>
                <c:pt idx="742">
                  <c:v>#N/A</c:v>
                </c:pt>
                <c:pt idx="743">
                  <c:v>#N/A</c:v>
                </c:pt>
                <c:pt idx="744">
                  <c:v>#N/A</c:v>
                </c:pt>
                <c:pt idx="745">
                  <c:v>#N/A</c:v>
                </c:pt>
                <c:pt idx="746">
                  <c:v>#N/A</c:v>
                </c:pt>
                <c:pt idx="747">
                  <c:v>#N/A</c:v>
                </c:pt>
                <c:pt idx="748">
                  <c:v>2021</c:v>
                </c:pt>
                <c:pt idx="749">
                  <c:v>2000</c:v>
                </c:pt>
                <c:pt idx="750">
                  <c:v>#N/A</c:v>
                </c:pt>
                <c:pt idx="751">
                  <c:v>#N/A</c:v>
                </c:pt>
                <c:pt idx="752">
                  <c:v>2014</c:v>
                </c:pt>
                <c:pt idx="753">
                  <c:v>2013</c:v>
                </c:pt>
                <c:pt idx="754">
                  <c:v>#N/A</c:v>
                </c:pt>
                <c:pt idx="755">
                  <c:v>#N/A</c:v>
                </c:pt>
                <c:pt idx="756">
                  <c:v>#N/A</c:v>
                </c:pt>
                <c:pt idx="757">
                  <c:v>#N/A</c:v>
                </c:pt>
                <c:pt idx="758">
                  <c:v>#N/A</c:v>
                </c:pt>
                <c:pt idx="759">
                  <c:v>2004</c:v>
                </c:pt>
                <c:pt idx="760">
                  <c:v>#N/A</c:v>
                </c:pt>
                <c:pt idx="761">
                  <c:v>#N/A</c:v>
                </c:pt>
                <c:pt idx="762">
                  <c:v>#N/A</c:v>
                </c:pt>
                <c:pt idx="763">
                  <c:v>#N/A</c:v>
                </c:pt>
                <c:pt idx="764">
                  <c:v>#N/A</c:v>
                </c:pt>
                <c:pt idx="765">
                  <c:v>#N/A</c:v>
                </c:pt>
                <c:pt idx="766">
                  <c:v>#N/A</c:v>
                </c:pt>
                <c:pt idx="767">
                  <c:v>2014</c:v>
                </c:pt>
                <c:pt idx="768">
                  <c:v>#N/A</c:v>
                </c:pt>
                <c:pt idx="769">
                  <c:v>#N/A</c:v>
                </c:pt>
                <c:pt idx="770">
                  <c:v>#N/A</c:v>
                </c:pt>
                <c:pt idx="771">
                  <c:v>#N/A</c:v>
                </c:pt>
                <c:pt idx="772">
                  <c:v>#N/A</c:v>
                </c:pt>
                <c:pt idx="773">
                  <c:v>#N/A</c:v>
                </c:pt>
                <c:pt idx="774">
                  <c:v>#N/A</c:v>
                </c:pt>
                <c:pt idx="775">
                  <c:v>#N/A</c:v>
                </c:pt>
                <c:pt idx="776">
                  <c:v>#N/A</c:v>
                </c:pt>
                <c:pt idx="777">
                  <c:v>#N/A</c:v>
                </c:pt>
                <c:pt idx="778">
                  <c:v>1999</c:v>
                </c:pt>
                <c:pt idx="779">
                  <c:v>2002</c:v>
                </c:pt>
                <c:pt idx="780">
                  <c:v>1993</c:v>
                </c:pt>
                <c:pt idx="781">
                  <c:v>2025</c:v>
                </c:pt>
                <c:pt idx="782">
                  <c:v>2024</c:v>
                </c:pt>
                <c:pt idx="783">
                  <c:v>2021</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2012</c:v>
                </c:pt>
                <c:pt idx="797">
                  <c:v>2021</c:v>
                </c:pt>
                <c:pt idx="798">
                  <c:v>#N/A</c:v>
                </c:pt>
                <c:pt idx="799">
                  <c:v>#N/A</c:v>
                </c:pt>
                <c:pt idx="800">
                  <c:v>#N/A</c:v>
                </c:pt>
                <c:pt idx="801">
                  <c:v>#N/A</c:v>
                </c:pt>
                <c:pt idx="802">
                  <c:v>#N/A</c:v>
                </c:pt>
                <c:pt idx="803">
                  <c:v>#N/A</c:v>
                </c:pt>
                <c:pt idx="804">
                  <c:v>#N/A</c:v>
                </c:pt>
                <c:pt idx="805">
                  <c:v>1992</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1998</c:v>
                </c:pt>
                <c:pt idx="823">
                  <c:v>#N/A</c:v>
                </c:pt>
                <c:pt idx="824">
                  <c:v>#N/A</c:v>
                </c:pt>
                <c:pt idx="825">
                  <c:v>#N/A</c:v>
                </c:pt>
                <c:pt idx="826">
                  <c:v>#N/A</c:v>
                </c:pt>
                <c:pt idx="827">
                  <c:v>2023</c:v>
                </c:pt>
                <c:pt idx="828">
                  <c:v>#N/A</c:v>
                </c:pt>
                <c:pt idx="829">
                  <c:v>#N/A</c:v>
                </c:pt>
                <c:pt idx="830">
                  <c:v>2011</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2017</c:v>
                </c:pt>
                <c:pt idx="856">
                  <c:v>2010</c:v>
                </c:pt>
                <c:pt idx="857">
                  <c:v>1994</c:v>
                </c:pt>
                <c:pt idx="858">
                  <c:v>#N/A</c:v>
                </c:pt>
                <c:pt idx="859">
                  <c:v>#N/A</c:v>
                </c:pt>
                <c:pt idx="860">
                  <c:v>#N/A</c:v>
                </c:pt>
                <c:pt idx="861">
                  <c:v>2025</c:v>
                </c:pt>
                <c:pt idx="862">
                  <c:v>#N/A</c:v>
                </c:pt>
                <c:pt idx="863">
                  <c:v>#N/A</c:v>
                </c:pt>
                <c:pt idx="864">
                  <c:v>2022</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4.6899999999999995</c:v>
                </c:pt>
                <c:pt idx="98">
                  <c:v>#N/A</c:v>
                </c:pt>
                <c:pt idx="99">
                  <c:v>#N/A</c:v>
                </c:pt>
                <c:pt idx="100">
                  <c:v>4.7590000000000003</c:v>
                </c:pt>
                <c:pt idx="101">
                  <c:v>4</c:v>
                </c:pt>
                <c:pt idx="102">
                  <c:v>4.0229999999999997</c:v>
                </c:pt>
                <c:pt idx="103">
                  <c:v>4.0460000000000003</c:v>
                </c:pt>
                <c:pt idx="104">
                  <c:v>#N/A</c:v>
                </c:pt>
                <c:pt idx="105">
                  <c:v>4.0919999999999996</c:v>
                </c:pt>
                <c:pt idx="106">
                  <c:v>4.1150000000000002</c:v>
                </c:pt>
                <c:pt idx="107">
                  <c:v>4.1379999999999999</c:v>
                </c:pt>
                <c:pt idx="108">
                  <c:v>4.1609999999999996</c:v>
                </c:pt>
                <c:pt idx="109">
                  <c:v>#N/A</c:v>
                </c:pt>
                <c:pt idx="110">
                  <c:v>#N/A</c:v>
                </c:pt>
                <c:pt idx="111">
                  <c:v>4.2300000000000004</c:v>
                </c:pt>
                <c:pt idx="112">
                  <c:v>#N/A</c:v>
                </c:pt>
                <c:pt idx="113">
                  <c:v>4.2759999999999998</c:v>
                </c:pt>
                <c:pt idx="114">
                  <c:v>#N/A</c:v>
                </c:pt>
                <c:pt idx="115">
                  <c:v>#N/A</c:v>
                </c:pt>
                <c:pt idx="116">
                  <c:v>#N/A</c:v>
                </c:pt>
                <c:pt idx="117">
                  <c:v>#N/A</c:v>
                </c:pt>
                <c:pt idx="118">
                  <c:v>#N/A</c:v>
                </c:pt>
                <c:pt idx="119">
                  <c:v>#N/A</c:v>
                </c:pt>
                <c:pt idx="120">
                  <c:v>4.4370000000000003</c:v>
                </c:pt>
                <c:pt idx="121">
                  <c:v>4.46</c:v>
                </c:pt>
                <c:pt idx="122">
                  <c:v>4.4829999999999997</c:v>
                </c:pt>
                <c:pt idx="123">
                  <c:v>#N/A</c:v>
                </c:pt>
                <c:pt idx="124">
                  <c:v>#N/A</c:v>
                </c:pt>
                <c:pt idx="125">
                  <c:v>#N/A</c:v>
                </c:pt>
                <c:pt idx="126">
                  <c:v>#N/A</c:v>
                </c:pt>
                <c:pt idx="127">
                  <c:v>#N/A</c:v>
                </c:pt>
                <c:pt idx="128">
                  <c:v>#N/A</c:v>
                </c:pt>
                <c:pt idx="129">
                  <c:v>#N/A</c:v>
                </c:pt>
                <c:pt idx="130">
                  <c:v>#N/A</c:v>
                </c:pt>
                <c:pt idx="131">
                  <c:v>#N/A</c:v>
                </c:pt>
                <c:pt idx="132">
                  <c:v>#N/A</c:v>
                </c:pt>
                <c:pt idx="133">
                  <c:v>#N/A</c:v>
                </c:pt>
                <c:pt idx="134">
                  <c:v>4.7590000000000003</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4.4139999999999997</c:v>
                </c:pt>
                <c:pt idx="154">
                  <c:v>#N/A</c:v>
                </c:pt>
                <c:pt idx="155">
                  <c:v>4.46</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4.5289999999999999</c:v>
                </c:pt>
                <c:pt idx="193">
                  <c:v>#N/A</c:v>
                </c:pt>
                <c:pt idx="194">
                  <c:v>#N/A</c:v>
                </c:pt>
                <c:pt idx="195">
                  <c:v>#N/A</c:v>
                </c:pt>
                <c:pt idx="196">
                  <c:v>4.6210000000000004</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4.46</c:v>
                </c:pt>
                <c:pt idx="224">
                  <c:v>#N/A</c:v>
                </c:pt>
                <c:pt idx="225">
                  <c:v>#N/A</c:v>
                </c:pt>
                <c:pt idx="226">
                  <c:v>#N/A</c:v>
                </c:pt>
                <c:pt idx="227">
                  <c:v>4.5519999999999996</c:v>
                </c:pt>
                <c:pt idx="228">
                  <c:v>4.5750000000000002</c:v>
                </c:pt>
                <c:pt idx="229">
                  <c:v>4.5979999999999999</c:v>
                </c:pt>
                <c:pt idx="230">
                  <c:v>4.6210000000000004</c:v>
                </c:pt>
                <c:pt idx="231">
                  <c:v>#N/A</c:v>
                </c:pt>
                <c:pt idx="232">
                  <c:v>#N/A</c:v>
                </c:pt>
                <c:pt idx="233">
                  <c:v>#N/A</c:v>
                </c:pt>
                <c:pt idx="234">
                  <c:v>#N/A</c:v>
                </c:pt>
                <c:pt idx="235">
                  <c:v>#N/A</c:v>
                </c:pt>
                <c:pt idx="236">
                  <c:v>#N/A</c:v>
                </c:pt>
                <c:pt idx="237">
                  <c:v>#N/A</c:v>
                </c:pt>
                <c:pt idx="238">
                  <c:v>4.0229999999999997</c:v>
                </c:pt>
                <c:pt idx="239">
                  <c:v>#N/A</c:v>
                </c:pt>
                <c:pt idx="240">
                  <c:v>4.069</c:v>
                </c:pt>
                <c:pt idx="241">
                  <c:v>#N/A</c:v>
                </c:pt>
                <c:pt idx="242">
                  <c:v>4.1150000000000002</c:v>
                </c:pt>
                <c:pt idx="243">
                  <c:v>#N/A</c:v>
                </c:pt>
                <c:pt idx="244">
                  <c:v>4.1609999999999996</c:v>
                </c:pt>
                <c:pt idx="245">
                  <c:v>#N/A</c:v>
                </c:pt>
                <c:pt idx="246">
                  <c:v>#N/A</c:v>
                </c:pt>
                <c:pt idx="247">
                  <c:v>4.2300000000000004</c:v>
                </c:pt>
                <c:pt idx="248">
                  <c:v>#N/A</c:v>
                </c:pt>
                <c:pt idx="249">
                  <c:v>#N/A</c:v>
                </c:pt>
                <c:pt idx="250">
                  <c:v>#N/A</c:v>
                </c:pt>
                <c:pt idx="251">
                  <c:v>#N/A</c:v>
                </c:pt>
                <c:pt idx="252">
                  <c:v>#N/A</c:v>
                </c:pt>
                <c:pt idx="253">
                  <c:v>#N/A</c:v>
                </c:pt>
                <c:pt idx="254">
                  <c:v>#N/A</c:v>
                </c:pt>
                <c:pt idx="255">
                  <c:v>#N/A</c:v>
                </c:pt>
                <c:pt idx="256">
                  <c:v>4.4370000000000003</c:v>
                </c:pt>
                <c:pt idx="257">
                  <c:v>4.46</c:v>
                </c:pt>
                <c:pt idx="258">
                  <c:v>#N/A</c:v>
                </c:pt>
                <c:pt idx="259">
                  <c:v>#N/A</c:v>
                </c:pt>
                <c:pt idx="260">
                  <c:v>#N/A</c:v>
                </c:pt>
                <c:pt idx="261">
                  <c:v>#N/A</c:v>
                </c:pt>
                <c:pt idx="262">
                  <c:v>#N/A</c:v>
                </c:pt>
                <c:pt idx="263">
                  <c:v>#N/A</c:v>
                </c:pt>
                <c:pt idx="264">
                  <c:v>4.6210000000000004</c:v>
                </c:pt>
                <c:pt idx="265">
                  <c:v>4.6440000000000001</c:v>
                </c:pt>
                <c:pt idx="266">
                  <c:v>4.6669999999999998</c:v>
                </c:pt>
                <c:pt idx="267">
                  <c:v>#N/A</c:v>
                </c:pt>
                <c:pt idx="268">
                  <c:v>#N/A</c:v>
                </c:pt>
                <c:pt idx="269">
                  <c:v>#N/A</c:v>
                </c:pt>
                <c:pt idx="270">
                  <c:v>#N/A</c:v>
                </c:pt>
                <c:pt idx="271">
                  <c:v>#N/A</c:v>
                </c:pt>
                <c:pt idx="272">
                  <c:v>4.0229999999999997</c:v>
                </c:pt>
                <c:pt idx="273">
                  <c:v>#N/A</c:v>
                </c:pt>
                <c:pt idx="274">
                  <c:v>#N/A</c:v>
                </c:pt>
                <c:pt idx="275">
                  <c:v>#N/A</c:v>
                </c:pt>
                <c:pt idx="276">
                  <c:v>4.1150000000000002</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4.4370000000000003</c:v>
                </c:pt>
                <c:pt idx="291">
                  <c:v>#N/A</c:v>
                </c:pt>
                <c:pt idx="292">
                  <c:v>#N/A</c:v>
                </c:pt>
                <c:pt idx="293">
                  <c:v>#N/A</c:v>
                </c:pt>
                <c:pt idx="294">
                  <c:v>4.5289999999999999</c:v>
                </c:pt>
                <c:pt idx="295">
                  <c:v>4.5519999999999996</c:v>
                </c:pt>
                <c:pt idx="296">
                  <c:v>#N/A</c:v>
                </c:pt>
                <c:pt idx="297">
                  <c:v>#N/A</c:v>
                </c:pt>
                <c:pt idx="298">
                  <c:v>#N/A</c:v>
                </c:pt>
                <c:pt idx="299">
                  <c:v>#N/A</c:v>
                </c:pt>
                <c:pt idx="300">
                  <c:v>4.6669999999999998</c:v>
                </c:pt>
                <c:pt idx="301">
                  <c:v>4.6899999999999995</c:v>
                </c:pt>
                <c:pt idx="302">
                  <c:v>4.7130000000000001</c:v>
                </c:pt>
                <c:pt idx="303">
                  <c:v>#N/A</c:v>
                </c:pt>
                <c:pt idx="304">
                  <c:v>#N/A</c:v>
                </c:pt>
                <c:pt idx="305">
                  <c:v>#N/A</c:v>
                </c:pt>
                <c:pt idx="306">
                  <c:v>#N/A</c:v>
                </c:pt>
                <c:pt idx="307">
                  <c:v>#N/A</c:v>
                </c:pt>
                <c:pt idx="308">
                  <c:v>4.069</c:v>
                </c:pt>
                <c:pt idx="309">
                  <c:v>#N/A</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4.6440000000000001</c:v>
                </c:pt>
                <c:pt idx="334">
                  <c:v>4.6669999999999998</c:v>
                </c:pt>
                <c:pt idx="335">
                  <c:v>#N/A</c:v>
                </c:pt>
                <c:pt idx="336">
                  <c:v>#N/A</c:v>
                </c:pt>
                <c:pt idx="337">
                  <c:v>#N/A</c:v>
                </c:pt>
                <c:pt idx="338">
                  <c:v>#N/A</c:v>
                </c:pt>
                <c:pt idx="339">
                  <c:v>#N/A</c:v>
                </c:pt>
                <c:pt idx="340">
                  <c:v>#N/A</c:v>
                </c:pt>
                <c:pt idx="341">
                  <c:v>#N/A</c:v>
                </c:pt>
                <c:pt idx="342">
                  <c:v>#N/A</c:v>
                </c:pt>
                <c:pt idx="343">
                  <c:v>#N/A</c:v>
                </c:pt>
                <c:pt idx="344">
                  <c:v>4.1150000000000002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4.5519999999999996</c:v>
                </c:pt>
                <c:pt idx="364">
                  <c:v>4.5750000000000002</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4.0460000000000003</c:v>
                </c:pt>
                <c:pt idx="376">
                  <c:v>#N/A</c:v>
                </c:pt>
                <c:pt idx="377">
                  <c:v>4.0919999999999996</c:v>
                </c:pt>
                <c:pt idx="378">
                  <c:v>#N/A</c:v>
                </c:pt>
                <c:pt idx="379">
                  <c:v>#N/A</c:v>
                </c:pt>
                <c:pt idx="380">
                  <c:v>#N/A</c:v>
                </c:pt>
                <c:pt idx="381">
                  <c:v>#N/A</c:v>
                </c:pt>
                <c:pt idx="382">
                  <c:v>#N/A</c:v>
                </c:pt>
                <c:pt idx="383">
                  <c:v>#N/A</c:v>
                </c:pt>
                <c:pt idx="384">
                  <c:v>#N/A</c:v>
                </c:pt>
                <c:pt idx="385">
                  <c:v>4.2759999999999998</c:v>
                </c:pt>
                <c:pt idx="386">
                  <c:v>4.2990000000000004</c:v>
                </c:pt>
                <c:pt idx="387">
                  <c:v>4.3220000000000001</c:v>
                </c:pt>
                <c:pt idx="388">
                  <c:v>#N/A</c:v>
                </c:pt>
                <c:pt idx="389">
                  <c:v>#N/A</c:v>
                </c:pt>
                <c:pt idx="390">
                  <c:v>4.391</c:v>
                </c:pt>
                <c:pt idx="391">
                  <c:v>#N/A</c:v>
                </c:pt>
                <c:pt idx="392">
                  <c:v>#N/A</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#N/A</c:v>
                </c:pt>
                <c:pt idx="405">
                  <c:v>4.7359999999999998</c:v>
                </c:pt>
                <c:pt idx="406">
                  <c:v>4.7590000000000003</c:v>
                </c:pt>
                <c:pt idx="407">
                  <c:v>#N/A</c:v>
                </c:pt>
                <c:pt idx="408">
                  <c:v>#N/A</c:v>
                </c:pt>
                <c:pt idx="409">
                  <c:v>#N/A</c:v>
                </c:pt>
                <c:pt idx="410">
                  <c:v>#N/A</c:v>
                </c:pt>
                <c:pt idx="411">
                  <c:v>4.0919999999999996</c:v>
                </c:pt>
                <c:pt idx="412">
                  <c:v>#N/A</c:v>
                </c:pt>
                <c:pt idx="413">
                  <c:v>#N/A</c:v>
                </c:pt>
                <c:pt idx="414">
                  <c:v>#N/A</c:v>
                </c:pt>
                <c:pt idx="415">
                  <c:v>#N/A</c:v>
                </c:pt>
                <c:pt idx="416">
                  <c:v>#N/A</c:v>
                </c:pt>
                <c:pt idx="417">
                  <c:v>#N/A</c:v>
                </c:pt>
                <c:pt idx="418">
                  <c:v>#N/A</c:v>
                </c:pt>
                <c:pt idx="419">
                  <c:v>4.2759999999999998</c:v>
                </c:pt>
                <c:pt idx="420">
                  <c:v>#N/A</c:v>
                </c:pt>
                <c:pt idx="421">
                  <c:v>#N/A</c:v>
                </c:pt>
                <c:pt idx="422">
                  <c:v>#N/A</c:v>
                </c:pt>
                <c:pt idx="423">
                  <c:v>4.3680000000000003</c:v>
                </c:pt>
                <c:pt idx="424">
                  <c:v>#N/A</c:v>
                </c:pt>
                <c:pt idx="425">
                  <c:v>#N/A</c:v>
                </c:pt>
                <c:pt idx="426">
                  <c:v>#N/A</c:v>
                </c:pt>
                <c:pt idx="427">
                  <c:v>#N/A</c:v>
                </c:pt>
                <c:pt idx="428">
                  <c:v>#N/A</c:v>
                </c:pt>
                <c:pt idx="429">
                  <c:v>#N/A</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4.2069999999999999</c:v>
                </c:pt>
                <c:pt idx="451">
                  <c:v>4.2300000000000004</c:v>
                </c:pt>
                <c:pt idx="452">
                  <c:v>4.2530000000000001</c:v>
                </c:pt>
                <c:pt idx="453">
                  <c:v>#N/A</c:v>
                </c:pt>
                <c:pt idx="454">
                  <c:v>#N/A</c:v>
                </c:pt>
                <c:pt idx="455">
                  <c:v>#N/A</c:v>
                </c:pt>
                <c:pt idx="456">
                  <c:v>4.3449999999999998</c:v>
                </c:pt>
                <c:pt idx="457">
                  <c:v>4.3680000000000003</c:v>
                </c:pt>
                <c:pt idx="458">
                  <c:v>4.391</c:v>
                </c:pt>
                <c:pt idx="459">
                  <c:v>4.4139999999999997</c:v>
                </c:pt>
                <c:pt idx="460">
                  <c:v>#N/A</c:v>
                </c:pt>
                <c:pt idx="461">
                  <c:v>#N/A</c:v>
                </c:pt>
                <c:pt idx="462">
                  <c:v>#N/A</c:v>
                </c:pt>
                <c:pt idx="463">
                  <c:v>#N/A</c:v>
                </c:pt>
                <c:pt idx="464">
                  <c:v>#N/A</c:v>
                </c:pt>
                <c:pt idx="465">
                  <c:v>#N/A</c:v>
                </c:pt>
                <c:pt idx="466">
                  <c:v>#N/A</c:v>
                </c:pt>
                <c:pt idx="467">
                  <c:v>#N/A</c:v>
                </c:pt>
                <c:pt idx="468">
                  <c:v>#N/A</c:v>
                </c:pt>
                <c:pt idx="469">
                  <c:v>#N/A</c:v>
                </c:pt>
                <c:pt idx="470">
                  <c:v>4.6669999999999998</c:v>
                </c:pt>
                <c:pt idx="471">
                  <c:v>#N/A</c:v>
                </c:pt>
                <c:pt idx="472">
                  <c:v>4.7130000000000001</c:v>
                </c:pt>
                <c:pt idx="473">
                  <c:v>#N/A</c:v>
                </c:pt>
                <c:pt idx="474">
                  <c:v>#N/A</c:v>
                </c:pt>
                <c:pt idx="475">
                  <c:v>#N/A</c:v>
                </c:pt>
                <c:pt idx="476">
                  <c:v>#N/A</c:v>
                </c:pt>
                <c:pt idx="477">
                  <c:v>#N/A</c:v>
                </c:pt>
                <c:pt idx="478">
                  <c:v>4.069</c:v>
                </c:pt>
                <c:pt idx="479">
                  <c:v>#N/A</c:v>
                </c:pt>
                <c:pt idx="480">
                  <c:v>#N/A</c:v>
                </c:pt>
                <c:pt idx="481">
                  <c:v>#N/A</c:v>
                </c:pt>
                <c:pt idx="482">
                  <c:v>4.1609999999999996</c:v>
                </c:pt>
                <c:pt idx="483">
                  <c:v>4.1840000000000002</c:v>
                </c:pt>
                <c:pt idx="484">
                  <c:v>#N/A</c:v>
                </c:pt>
                <c:pt idx="485">
                  <c:v>#N/A</c:v>
                </c:pt>
                <c:pt idx="486">
                  <c:v>#N/A</c:v>
                </c:pt>
                <c:pt idx="487">
                  <c:v>#N/A</c:v>
                </c:pt>
                <c:pt idx="488">
                  <c:v>#N/A</c:v>
                </c:pt>
                <c:pt idx="489">
                  <c:v>#N/A</c:v>
                </c:pt>
                <c:pt idx="490">
                  <c:v>#N/A</c:v>
                </c:pt>
                <c:pt idx="491">
                  <c:v>#N/A</c:v>
                </c:pt>
                <c:pt idx="492">
                  <c:v>#N/A</c:v>
                </c:pt>
                <c:pt idx="493">
                  <c:v>4.4139999999999997</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4.2300000000000004</c:v>
                </c:pt>
                <c:pt idx="520">
                  <c:v>4.2530000000000001</c:v>
                </c:pt>
                <c:pt idx="521">
                  <c:v>4.2759999999999998</c:v>
                </c:pt>
                <c:pt idx="522">
                  <c:v>4.2990000000000004</c:v>
                </c:pt>
                <c:pt idx="523">
                  <c:v>#N/A</c:v>
                </c:pt>
                <c:pt idx="524">
                  <c:v>#N/A</c:v>
                </c:pt>
                <c:pt idx="525">
                  <c:v>4.3680000000000003</c:v>
                </c:pt>
                <c:pt idx="526">
                  <c:v>4.391</c:v>
                </c:pt>
                <c:pt idx="527">
                  <c:v>#N/A</c:v>
                </c:pt>
                <c:pt idx="528">
                  <c:v>#N/A</c:v>
                </c:pt>
                <c:pt idx="529">
                  <c:v>#N/A</c:v>
                </c:pt>
                <c:pt idx="530">
                  <c:v>#N/A</c:v>
                </c:pt>
                <c:pt idx="531">
                  <c:v>4.5060000000000002</c:v>
                </c:pt>
                <c:pt idx="532">
                  <c:v>#N/A</c:v>
                </c:pt>
                <c:pt idx="533">
                  <c:v>4.5519999999999996</c:v>
                </c:pt>
                <c:pt idx="534">
                  <c:v>#N/A</c:v>
                </c:pt>
                <c:pt idx="535">
                  <c:v>#N/A</c:v>
                </c:pt>
                <c:pt idx="536">
                  <c:v>#N/A</c:v>
                </c:pt>
                <c:pt idx="537">
                  <c:v>4.6440000000000001</c:v>
                </c:pt>
                <c:pt idx="538">
                  <c:v>#N/A</c:v>
                </c:pt>
                <c:pt idx="539">
                  <c:v>4.6899999999999995</c:v>
                </c:pt>
                <c:pt idx="540">
                  <c:v>#N/A</c:v>
                </c:pt>
                <c:pt idx="541">
                  <c:v>#N/A</c:v>
                </c:pt>
                <c:pt idx="542">
                  <c:v>#N/A</c:v>
                </c:pt>
                <c:pt idx="543">
                  <c:v>#N/A</c:v>
                </c:pt>
                <c:pt idx="544">
                  <c:v>#N/A</c:v>
                </c:pt>
                <c:pt idx="545">
                  <c:v>#N/A</c:v>
                </c:pt>
                <c:pt idx="546">
                  <c:v>#N/A</c:v>
                </c:pt>
                <c:pt idx="547">
                  <c:v>4.0919999999999996</c:v>
                </c:pt>
                <c:pt idx="548">
                  <c:v>#N/A</c:v>
                </c:pt>
                <c:pt idx="549">
                  <c:v>#N/A</c:v>
                </c:pt>
                <c:pt idx="550">
                  <c:v>#N/A</c:v>
                </c:pt>
                <c:pt idx="551">
                  <c:v>#N/A</c:v>
                </c:pt>
                <c:pt idx="552">
                  <c:v>#N/A</c:v>
                </c:pt>
                <c:pt idx="553">
                  <c:v>#N/A</c:v>
                </c:pt>
                <c:pt idx="554">
                  <c:v>#N/A</c:v>
                </c:pt>
                <c:pt idx="555">
                  <c:v>#N/A</c:v>
                </c:pt>
                <c:pt idx="556">
                  <c:v>#N/A</c:v>
                </c:pt>
                <c:pt idx="557">
                  <c:v>4.3220000000000001</c:v>
                </c:pt>
                <c:pt idx="558">
                  <c:v>4.3449999999999998</c:v>
                </c:pt>
                <c:pt idx="559">
                  <c:v>4.3680000000000003</c:v>
                </c:pt>
                <c:pt idx="560">
                  <c:v>4.391</c:v>
                </c:pt>
                <c:pt idx="561">
                  <c:v>4.4139999999999997</c:v>
                </c:pt>
                <c:pt idx="562">
                  <c:v>4.4370000000000003</c:v>
                </c:pt>
                <c:pt idx="563">
                  <c:v>#N/A</c:v>
                </c:pt>
                <c:pt idx="564">
                  <c:v>#N/A</c:v>
                </c:pt>
                <c:pt idx="565">
                  <c:v>#N/A</c:v>
                </c:pt>
                <c:pt idx="566">
                  <c:v>4.5289999999999999</c:v>
                </c:pt>
                <c:pt idx="567">
                  <c:v>#N/A</c:v>
                </c:pt>
                <c:pt idx="568">
                  <c:v>#N/A</c:v>
                </c:pt>
                <c:pt idx="569">
                  <c:v>#N/A</c:v>
                </c:pt>
                <c:pt idx="570">
                  <c:v>4.6210000000000004</c:v>
                </c:pt>
                <c:pt idx="571">
                  <c:v>4.6440000000000001</c:v>
                </c:pt>
                <c:pt idx="572">
                  <c:v>#N/A</c:v>
                </c:pt>
                <c:pt idx="573">
                  <c:v>#N/A</c:v>
                </c:pt>
                <c:pt idx="574">
                  <c:v>#N/A</c:v>
                </c:pt>
                <c:pt idx="575">
                  <c:v>4.7359999999999998</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4.3220000000000001</c:v>
                </c:pt>
                <c:pt idx="592">
                  <c:v>4.3449999999999998</c:v>
                </c:pt>
                <c:pt idx="593">
                  <c:v>4.3680000000000003</c:v>
                </c:pt>
                <c:pt idx="594">
                  <c:v>#N/A</c:v>
                </c:pt>
                <c:pt idx="595">
                  <c:v>#N/A</c:v>
                </c:pt>
                <c:pt idx="596">
                  <c:v>#N/A</c:v>
                </c:pt>
                <c:pt idx="597">
                  <c:v>#N/A</c:v>
                </c:pt>
                <c:pt idx="598">
                  <c:v>#N/A</c:v>
                </c:pt>
                <c:pt idx="599">
                  <c:v>#N/A</c:v>
                </c:pt>
                <c:pt idx="600">
                  <c:v>#N/A</c:v>
                </c:pt>
                <c:pt idx="601">
                  <c:v>#N/A</c:v>
                </c:pt>
                <c:pt idx="602">
                  <c:v>#N/A</c:v>
                </c:pt>
                <c:pt idx="603">
                  <c:v>#N/A</c:v>
                </c:pt>
                <c:pt idx="604">
                  <c:v>4.6210000000000004</c:v>
                </c:pt>
                <c:pt idx="605">
                  <c:v>#N/A</c:v>
                </c:pt>
                <c:pt idx="606">
                  <c:v>4.6669999999999998</c:v>
                </c:pt>
                <c:pt idx="607">
                  <c:v>#N/A</c:v>
                </c:pt>
                <c:pt idx="608">
                  <c:v>#N/A</c:v>
                </c:pt>
                <c:pt idx="609">
                  <c:v>4.7359999999999998</c:v>
                </c:pt>
                <c:pt idx="610">
                  <c:v>#N/A</c:v>
                </c:pt>
                <c:pt idx="611">
                  <c:v>#N/A</c:v>
                </c:pt>
                <c:pt idx="612">
                  <c:v>#N/A</c:v>
                </c:pt>
                <c:pt idx="613">
                  <c:v>#N/A</c:v>
                </c:pt>
                <c:pt idx="614">
                  <c:v>#N/A</c:v>
                </c:pt>
                <c:pt idx="615">
                  <c:v>#N/A</c:v>
                </c:pt>
                <c:pt idx="616">
                  <c:v>#N/A</c:v>
                </c:pt>
                <c:pt idx="617">
                  <c:v>#N/A</c:v>
                </c:pt>
                <c:pt idx="618">
                  <c:v>#N/A</c:v>
                </c:pt>
                <c:pt idx="619">
                  <c:v>4.1840000000000002</c:v>
                </c:pt>
                <c:pt idx="620">
                  <c:v>#N/A</c:v>
                </c:pt>
                <c:pt idx="621">
                  <c:v>4.2300000000000004</c:v>
                </c:pt>
                <c:pt idx="622">
                  <c:v>#N/A</c:v>
                </c:pt>
                <c:pt idx="623">
                  <c:v>#N/A</c:v>
                </c:pt>
                <c:pt idx="624">
                  <c:v>#N/A</c:v>
                </c:pt>
                <c:pt idx="625">
                  <c:v>#N/A</c:v>
                </c:pt>
                <c:pt idx="626">
                  <c:v>#N/A</c:v>
                </c:pt>
                <c:pt idx="627">
                  <c:v>#N/A</c:v>
                </c:pt>
                <c:pt idx="628">
                  <c:v>#N/A</c:v>
                </c:pt>
                <c:pt idx="629">
                  <c:v>#N/A</c:v>
                </c:pt>
                <c:pt idx="630">
                  <c:v>#N/A</c:v>
                </c:pt>
                <c:pt idx="631">
                  <c:v>#N/A</c:v>
                </c:pt>
                <c:pt idx="632">
                  <c:v>4.4829999999999997</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#N/A</c:v>
                </c:pt>
                <c:pt idx="647">
                  <c:v>4.0460000000000003</c:v>
                </c:pt>
                <c:pt idx="648">
                  <c:v>#N/A</c:v>
                </c:pt>
                <c:pt idx="649">
                  <c:v>4.0919999999999996</c:v>
                </c:pt>
                <c:pt idx="650">
                  <c:v>4.1150000000000002</c:v>
                </c:pt>
                <c:pt idx="651">
                  <c:v>4.1379999999999999</c:v>
                </c:pt>
                <c:pt idx="652">
                  <c:v>4.1609999999999996</c:v>
                </c:pt>
                <c:pt idx="653">
                  <c:v>4.1840000000000002</c:v>
                </c:pt>
                <c:pt idx="654">
                  <c:v>4.2069999999999999</c:v>
                </c:pt>
                <c:pt idx="655">
                  <c:v>4.2300000000000004</c:v>
                </c:pt>
                <c:pt idx="656">
                  <c:v>4.2530000000000001</c:v>
                </c:pt>
                <c:pt idx="657">
                  <c:v>#N/A</c:v>
                </c:pt>
                <c:pt idx="658">
                  <c:v>#N/A</c:v>
                </c:pt>
                <c:pt idx="659">
                  <c:v>#N/A</c:v>
                </c:pt>
                <c:pt idx="660">
                  <c:v>#N/A</c:v>
                </c:pt>
                <c:pt idx="661">
                  <c:v>4.3680000000000003</c:v>
                </c:pt>
                <c:pt idx="662">
                  <c:v>#N/A</c:v>
                </c:pt>
                <c:pt idx="663">
                  <c:v>#N/A</c:v>
                </c:pt>
                <c:pt idx="664">
                  <c:v>#N/A</c:v>
                </c:pt>
                <c:pt idx="665">
                  <c:v>#N/A</c:v>
                </c:pt>
                <c:pt idx="666">
                  <c:v>#N/A</c:v>
                </c:pt>
                <c:pt idx="667">
                  <c:v>4.5060000000000002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4.0229999999999997</c:v>
                </c:pt>
                <c:pt idx="681">
                  <c:v>4.0460000000000003</c:v>
                </c:pt>
                <c:pt idx="682">
                  <c:v>#N/A</c:v>
                </c:pt>
                <c:pt idx="683">
                  <c:v>#N/A</c:v>
                </c:pt>
                <c:pt idx="684">
                  <c:v>#N/A</c:v>
                </c:pt>
                <c:pt idx="685">
                  <c:v>4.1379999999999999</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4.6210000000000004</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4.2069999999999999</c:v>
                </c:pt>
                <c:pt idx="723">
                  <c:v>#N/A</c:v>
                </c:pt>
                <c:pt idx="724">
                  <c:v>#N/A</c:v>
                </c:pt>
                <c:pt idx="725">
                  <c:v>4.2759999999999998</c:v>
                </c:pt>
                <c:pt idx="726">
                  <c:v>#N/A</c:v>
                </c:pt>
                <c:pt idx="727">
                  <c:v>#N/A</c:v>
                </c:pt>
                <c:pt idx="728">
                  <c:v>#N/A</c:v>
                </c:pt>
                <c:pt idx="729">
                  <c:v>#N/A</c:v>
                </c:pt>
                <c:pt idx="730">
                  <c:v>#N/A</c:v>
                </c:pt>
                <c:pt idx="731">
                  <c:v>#N/A</c:v>
                </c:pt>
                <c:pt idx="732">
                  <c:v>#N/A</c:v>
                </c:pt>
                <c:pt idx="733">
                  <c:v>4.46</c:v>
                </c:pt>
                <c:pt idx="734">
                  <c:v>#N/A</c:v>
                </c:pt>
                <c:pt idx="735">
                  <c:v>4.5060000000000002</c:v>
                </c:pt>
                <c:pt idx="736">
                  <c:v>#N/A</c:v>
                </c:pt>
                <c:pt idx="737">
                  <c:v>4.5519999999999996</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4.069</c:v>
                </c:pt>
                <c:pt idx="751">
                  <c:v>#N/A</c:v>
                </c:pt>
                <c:pt idx="752">
                  <c:v>#N/A</c:v>
                </c:pt>
                <c:pt idx="753">
                  <c:v>4.1379999999999999</c:v>
                </c:pt>
                <c:pt idx="754">
                  <c:v>4.1609999999999996</c:v>
                </c:pt>
                <c:pt idx="755">
                  <c:v>#N/A</c:v>
                </c:pt>
                <c:pt idx="756">
                  <c:v>#N/A</c:v>
                </c:pt>
                <c:pt idx="757">
                  <c:v>#N/A</c:v>
                </c:pt>
                <c:pt idx="758">
                  <c:v>#N/A</c:v>
                </c:pt>
                <c:pt idx="759">
                  <c:v>#N/A</c:v>
                </c:pt>
                <c:pt idx="760">
                  <c:v>4.2990000000000004</c:v>
                </c:pt>
                <c:pt idx="761">
                  <c:v>#N/A</c:v>
                </c:pt>
                <c:pt idx="762">
                  <c:v>#N/A</c:v>
                </c:pt>
                <c:pt idx="763">
                  <c:v>#N/A</c:v>
                </c:pt>
                <c:pt idx="764">
                  <c:v>#N/A</c:v>
                </c:pt>
                <c:pt idx="765">
                  <c:v>#N/A</c:v>
                </c:pt>
                <c:pt idx="766">
                  <c:v>#N/A</c:v>
                </c:pt>
                <c:pt idx="767">
                  <c:v>#N/A</c:v>
                </c:pt>
                <c:pt idx="768">
                  <c:v>4.4829999999999997</c:v>
                </c:pt>
                <c:pt idx="769">
                  <c:v>#N/A</c:v>
                </c:pt>
                <c:pt idx="770">
                  <c:v>#N/A</c:v>
                </c:pt>
                <c:pt idx="771">
                  <c:v>#N/A</c:v>
                </c:pt>
                <c:pt idx="772">
                  <c:v>#N/A</c:v>
                </c:pt>
                <c:pt idx="773">
                  <c:v>#N/A</c:v>
                </c:pt>
                <c:pt idx="774">
                  <c:v>#N/A</c:v>
                </c:pt>
                <c:pt idx="775">
                  <c:v>#N/A</c:v>
                </c:pt>
                <c:pt idx="776">
                  <c:v>#N/A</c:v>
                </c:pt>
                <c:pt idx="777">
                  <c:v>#N/A</c:v>
                </c:pt>
                <c:pt idx="778">
                  <c:v>#N/A</c:v>
                </c:pt>
                <c:pt idx="779">
                  <c:v>4.7359999999999998</c:v>
                </c:pt>
                <c:pt idx="780">
                  <c:v>4.7590000000000003</c:v>
                </c:pt>
                <c:pt idx="781">
                  <c:v>4</c:v>
                </c:pt>
                <c:pt idx="782">
                  <c:v>4.0229999999999997</c:v>
                </c:pt>
                <c:pt idx="783">
                  <c:v>4.0460000000000003</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4.391</c:v>
                </c:pt>
                <c:pt idx="799">
                  <c:v>#N/A</c:v>
                </c:pt>
                <c:pt idx="800">
                  <c:v>#N/A</c:v>
                </c:pt>
                <c:pt idx="801">
                  <c:v>#N/A</c:v>
                </c:pt>
                <c:pt idx="802">
                  <c:v>#N/A</c:v>
                </c:pt>
                <c:pt idx="803">
                  <c:v>#N/A</c:v>
                </c:pt>
                <c:pt idx="804">
                  <c:v>#N/A</c:v>
                </c:pt>
                <c:pt idx="805">
                  <c:v>#N/A</c:v>
                </c:pt>
                <c:pt idx="806">
                  <c:v>4.5750000000000002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4.2990000000000004</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4.1609999999999996</c:v>
                </c:pt>
                <c:pt idx="857">
                  <c:v>4.1840000000000002</c:v>
                </c:pt>
                <c:pt idx="858">
                  <c:v>4.2069999999999999</c:v>
                </c:pt>
                <c:pt idx="859">
                  <c:v>#N/A</c:v>
                </c:pt>
                <c:pt idx="860">
                  <c:v>#N/A</c:v>
                </c:pt>
                <c:pt idx="861">
                  <c:v>#N/A</c:v>
                </c:pt>
                <c:pt idx="862">
                  <c:v>4.2990000000000004</c:v>
                </c:pt>
                <c:pt idx="863">
                  <c:v>#N/A</c:v>
                </c:pt>
                <c:pt idx="864">
                  <c:v>#N/A</c:v>
                </c:pt>
                <c:pt idx="865">
                  <c:v>4.3680000000000003</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66" totalsRowShown="0">
  <autoFilter ref="A1:J866" xr:uid="{00000000-0009-0000-0100-000001000000}"/>
  <sortState xmlns:xlrd2="http://schemas.microsoft.com/office/spreadsheetml/2017/richdata2" ref="A2:J866">
    <sortCondition ref="A842:A86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54" totalsRowShown="0">
  <autoFilter ref="A1:E1254"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table" Target="../tables/table1.xm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table" Target="../tables/table2.xm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66"/>
  <sheetViews>
    <sheetView topLeftCell="A828" zoomScaleNormal="100" workbookViewId="0">
      <selection activeCell="A856" sqref="A85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0"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0"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0"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0"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0"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0"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0" t="s">
        <v>427</v>
      </c>
    </row>
    <row r="75" spans="1:10" ht="15" customHeight="1" x14ac:dyDescent="0.25">
      <c r="A75" t="s">
        <v>428</v>
      </c>
      <c r="B75">
        <v>2026</v>
      </c>
      <c r="C75" t="s">
        <v>182</v>
      </c>
      <c r="D75" t="b">
        <f>TRUE()</f>
        <v>1</v>
      </c>
      <c r="E75" t="b">
        <f>COUNTIF(connections!A:A, A75) &gt; 0</f>
        <v>0</v>
      </c>
      <c r="F75" t="s">
        <v>354</v>
      </c>
      <c r="G75" t="s">
        <v>429</v>
      </c>
      <c r="J75" s="10"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7884</v>
      </c>
      <c r="B98">
        <v>2019</v>
      </c>
      <c r="C98" t="s">
        <v>179</v>
      </c>
      <c r="D98" t="b">
        <f>TRUE()</f>
        <v>1</v>
      </c>
      <c r="E98" t="b">
        <f>COUNTIF(connections!A:A, A98) &gt; 0</f>
        <v>0</v>
      </c>
      <c r="G98" t="s">
        <v>7885</v>
      </c>
    </row>
    <row r="99" spans="1:10" ht="15" customHeight="1" x14ac:dyDescent="0.25">
      <c r="A99" t="s">
        <v>510</v>
      </c>
      <c r="B99">
        <v>2018</v>
      </c>
      <c r="C99" t="s">
        <v>176</v>
      </c>
      <c r="D99" t="b">
        <f>TRUE()</f>
        <v>1</v>
      </c>
      <c r="E99" t="b">
        <f>COUNTIF(connections!A:A, A99) &gt; 0</f>
        <v>1</v>
      </c>
      <c r="G99" t="s">
        <v>511</v>
      </c>
      <c r="H99" t="s">
        <v>187</v>
      </c>
      <c r="I99" t="s">
        <v>512</v>
      </c>
    </row>
    <row r="100" spans="1:10" ht="15" customHeight="1" x14ac:dyDescent="0.25">
      <c r="A100" t="s">
        <v>513</v>
      </c>
      <c r="B100">
        <v>2016</v>
      </c>
      <c r="C100" t="s">
        <v>176</v>
      </c>
      <c r="D100" t="b">
        <f>FALSE()</f>
        <v>0</v>
      </c>
      <c r="E100" t="b">
        <f>COUNTIF(connections!A:A, A100) &gt; 0</f>
        <v>0</v>
      </c>
      <c r="G100" t="s">
        <v>514</v>
      </c>
      <c r="H100" t="s">
        <v>187</v>
      </c>
      <c r="I100" t="s">
        <v>515</v>
      </c>
      <c r="J100" s="1" t="s">
        <v>516</v>
      </c>
    </row>
    <row r="101" spans="1:10" ht="15" customHeight="1" x14ac:dyDescent="0.25">
      <c r="A101" t="s">
        <v>517</v>
      </c>
      <c r="B101">
        <v>2010</v>
      </c>
      <c r="C101" t="s">
        <v>179</v>
      </c>
      <c r="D101" t="b">
        <f>TRUE()</f>
        <v>1</v>
      </c>
      <c r="E101" t="b">
        <f>COUNTIF(connections!A:A, A101) &gt; 0</f>
        <v>1</v>
      </c>
      <c r="G101" t="s">
        <v>518</v>
      </c>
    </row>
    <row r="102" spans="1:10" ht="15" customHeight="1" x14ac:dyDescent="0.25">
      <c r="A102" t="s">
        <v>519</v>
      </c>
      <c r="B102">
        <v>2014</v>
      </c>
      <c r="C102" t="s">
        <v>179</v>
      </c>
      <c r="D102" t="b">
        <f>TRUE()</f>
        <v>1</v>
      </c>
      <c r="E102" t="b">
        <f>COUNTIF(connections!A:A, A102) &gt; 0</f>
        <v>0</v>
      </c>
      <c r="G102" t="s">
        <v>520</v>
      </c>
      <c r="J102" s="10" t="s">
        <v>521</v>
      </c>
    </row>
    <row r="103" spans="1:10" ht="15" customHeight="1" x14ac:dyDescent="0.25">
      <c r="A103" t="s">
        <v>522</v>
      </c>
      <c r="B103">
        <v>1994</v>
      </c>
      <c r="C103" t="s">
        <v>179</v>
      </c>
      <c r="D103" t="b">
        <f>TRUE()</f>
        <v>1</v>
      </c>
      <c r="E103" t="b">
        <f>COUNTIF(connections!A:A, A103) &gt; 0</f>
        <v>1</v>
      </c>
      <c r="G103" t="s">
        <v>523</v>
      </c>
      <c r="H103" t="s">
        <v>187</v>
      </c>
      <c r="I103" t="s">
        <v>524</v>
      </c>
    </row>
    <row r="104" spans="1:10" ht="15" customHeight="1" x14ac:dyDescent="0.25">
      <c r="A104" t="s">
        <v>525</v>
      </c>
      <c r="B104">
        <v>2005</v>
      </c>
      <c r="C104" t="s">
        <v>179</v>
      </c>
      <c r="D104" t="b">
        <f>TRUE()</f>
        <v>1</v>
      </c>
      <c r="E104" t="b">
        <f>COUNTIF(connections!A:A, A104) &gt; 0</f>
        <v>1</v>
      </c>
      <c r="G104" t="s">
        <v>526</v>
      </c>
      <c r="H104" t="s">
        <v>187</v>
      </c>
      <c r="I104" t="s">
        <v>527</v>
      </c>
    </row>
    <row r="105" spans="1:10" ht="15" customHeight="1" x14ac:dyDescent="0.25">
      <c r="A105" t="s">
        <v>528</v>
      </c>
      <c r="B105">
        <v>2024</v>
      </c>
      <c r="C105" t="s">
        <v>182</v>
      </c>
      <c r="D105" t="b">
        <f>TRUE()</f>
        <v>1</v>
      </c>
      <c r="E105" t="b">
        <f>COUNTIF(connections!A:A, A105) &gt; 0</f>
        <v>0</v>
      </c>
      <c r="F105" t="s">
        <v>529</v>
      </c>
      <c r="G105" t="s">
        <v>530</v>
      </c>
    </row>
    <row r="106" spans="1:10" ht="15" customHeight="1" x14ac:dyDescent="0.25">
      <c r="A106" t="s">
        <v>531</v>
      </c>
      <c r="B106">
        <v>2010</v>
      </c>
      <c r="C106" t="s">
        <v>179</v>
      </c>
      <c r="D106" t="b">
        <f>TRUE()</f>
        <v>1</v>
      </c>
      <c r="E106" t="b">
        <f>COUNTIF(connections!A:A, A106) &gt; 0</f>
        <v>1</v>
      </c>
      <c r="F106" t="s">
        <v>458</v>
      </c>
      <c r="G106" t="s">
        <v>532</v>
      </c>
      <c r="H106" t="s">
        <v>187</v>
      </c>
      <c r="I106" t="s">
        <v>533</v>
      </c>
    </row>
    <row r="107" spans="1:10" ht="15" customHeight="1" x14ac:dyDescent="0.25">
      <c r="A107" t="s">
        <v>534</v>
      </c>
      <c r="B107">
        <v>2020</v>
      </c>
      <c r="C107" t="s">
        <v>179</v>
      </c>
      <c r="D107" t="b">
        <f>TRUE()</f>
        <v>1</v>
      </c>
      <c r="E107" t="b">
        <f>COUNTIF(connections!A:A, A107) &gt; 0</f>
        <v>0</v>
      </c>
      <c r="F107" t="s">
        <v>458</v>
      </c>
      <c r="G107" t="s">
        <v>535</v>
      </c>
      <c r="H107" t="s">
        <v>187</v>
      </c>
      <c r="I107" t="s">
        <v>7513</v>
      </c>
    </row>
    <row r="108" spans="1:10" ht="15" customHeight="1" x14ac:dyDescent="0.25">
      <c r="A108" t="s">
        <v>536</v>
      </c>
      <c r="B108">
        <v>2013</v>
      </c>
      <c r="C108" t="s">
        <v>179</v>
      </c>
      <c r="D108" t="b">
        <f>TRUE()</f>
        <v>1</v>
      </c>
      <c r="E108" t="b">
        <f>COUNTIF(connections!A:A, A108) &gt; 0</f>
        <v>1</v>
      </c>
      <c r="F108" t="s">
        <v>458</v>
      </c>
      <c r="G108" t="s">
        <v>537</v>
      </c>
      <c r="H108" t="s">
        <v>187</v>
      </c>
      <c r="I108" t="s">
        <v>7514</v>
      </c>
    </row>
    <row r="109" spans="1:10" ht="15" customHeight="1" x14ac:dyDescent="0.25">
      <c r="A109" t="s">
        <v>538</v>
      </c>
      <c r="B109">
        <v>2025</v>
      </c>
      <c r="C109" t="s">
        <v>179</v>
      </c>
      <c r="D109" t="b">
        <f>TRUE()</f>
        <v>1</v>
      </c>
      <c r="E109" t="b">
        <f>COUNTIF(connections!A:A, A109) &gt; 0</f>
        <v>0</v>
      </c>
      <c r="F109" t="s">
        <v>458</v>
      </c>
      <c r="G109" t="s">
        <v>539</v>
      </c>
      <c r="H109" t="s">
        <v>187</v>
      </c>
      <c r="I109" t="s">
        <v>7515</v>
      </c>
    </row>
    <row r="110" spans="1:10" ht="15" customHeight="1" x14ac:dyDescent="0.25">
      <c r="A110" t="s">
        <v>540</v>
      </c>
      <c r="B110">
        <v>2015</v>
      </c>
      <c r="C110" t="s">
        <v>176</v>
      </c>
      <c r="D110" t="b">
        <v>1</v>
      </c>
      <c r="E110" t="b">
        <f>COUNTIF(connections!A:A, A110) &gt; 0</f>
        <v>1</v>
      </c>
      <c r="G110" t="s">
        <v>541</v>
      </c>
      <c r="J110" s="10" t="s">
        <v>542</v>
      </c>
    </row>
    <row r="111" spans="1:10" ht="15" customHeight="1" x14ac:dyDescent="0.25">
      <c r="A111" t="s">
        <v>543</v>
      </c>
      <c r="B111">
        <v>2025</v>
      </c>
      <c r="C111" t="s">
        <v>182</v>
      </c>
      <c r="D111" t="b">
        <f>TRUE()</f>
        <v>1</v>
      </c>
      <c r="E111" t="b">
        <f>COUNTIF(connections!A:A, A111) &gt; 0</f>
        <v>0</v>
      </c>
      <c r="F111" t="s">
        <v>529</v>
      </c>
      <c r="G111" t="s">
        <v>544</v>
      </c>
      <c r="J111" s="1" t="s">
        <v>545</v>
      </c>
    </row>
    <row r="112" spans="1:10" ht="15" customHeight="1" x14ac:dyDescent="0.25">
      <c r="A112" t="s">
        <v>546</v>
      </c>
      <c r="B112">
        <v>1991</v>
      </c>
      <c r="C112" t="s">
        <v>179</v>
      </c>
      <c r="D112" t="b">
        <f>TRUE()</f>
        <v>1</v>
      </c>
      <c r="E112" t="b">
        <f>COUNTIF(connections!A:A, A112) &gt; 0</f>
        <v>0</v>
      </c>
      <c r="G112" t="s">
        <v>547</v>
      </c>
      <c r="H112" t="s">
        <v>187</v>
      </c>
      <c r="I112" t="s">
        <v>548</v>
      </c>
    </row>
    <row r="113" spans="1:10" ht="15" customHeight="1" x14ac:dyDescent="0.25">
      <c r="A113" t="s">
        <v>549</v>
      </c>
      <c r="B113">
        <v>2017</v>
      </c>
      <c r="C113" t="s">
        <v>176</v>
      </c>
      <c r="D113" t="b">
        <f>TRUE()</f>
        <v>1</v>
      </c>
      <c r="E113" t="b">
        <f>COUNTIF(connections!A:A, A113) &gt; 0</f>
        <v>1</v>
      </c>
      <c r="G113" t="s">
        <v>550</v>
      </c>
      <c r="H113" t="s">
        <v>187</v>
      </c>
      <c r="I113" t="s">
        <v>551</v>
      </c>
      <c r="J113" s="1" t="s">
        <v>552</v>
      </c>
    </row>
    <row r="114" spans="1:10" ht="15" customHeight="1" x14ac:dyDescent="0.25">
      <c r="A114" t="s">
        <v>553</v>
      </c>
      <c r="B114">
        <v>2010</v>
      </c>
      <c r="C114" t="s">
        <v>179</v>
      </c>
      <c r="D114" t="b">
        <f>TRUE()</f>
        <v>1</v>
      </c>
      <c r="E114" t="b">
        <f>COUNTIF(connections!A:A, A114) &gt; 0</f>
        <v>1</v>
      </c>
      <c r="G114" t="s">
        <v>554</v>
      </c>
      <c r="H114" t="s">
        <v>187</v>
      </c>
      <c r="I114" t="s">
        <v>555</v>
      </c>
      <c r="J114" s="1" t="s">
        <v>556</v>
      </c>
    </row>
    <row r="115" spans="1:10" ht="15" customHeight="1" x14ac:dyDescent="0.25">
      <c r="A115" t="s">
        <v>557</v>
      </c>
      <c r="B115">
        <v>2020</v>
      </c>
      <c r="C115" t="s">
        <v>176</v>
      </c>
      <c r="D115" t="b">
        <f>TRUE()</f>
        <v>1</v>
      </c>
      <c r="E115" t="b">
        <f>COUNTIF(connections!A:A, A115) &gt; 0</f>
        <v>0</v>
      </c>
      <c r="G115" t="s">
        <v>558</v>
      </c>
      <c r="H115" t="s">
        <v>187</v>
      </c>
      <c r="I115" t="s">
        <v>559</v>
      </c>
      <c r="J115" s="1" t="s">
        <v>560</v>
      </c>
    </row>
    <row r="116" spans="1:10" ht="15" customHeight="1" x14ac:dyDescent="0.25">
      <c r="A116" t="s">
        <v>561</v>
      </c>
      <c r="B116">
        <v>2025</v>
      </c>
      <c r="C116" t="s">
        <v>222</v>
      </c>
      <c r="D116" t="b">
        <f>FALSE()</f>
        <v>0</v>
      </c>
      <c r="E116" t="b">
        <f>COUNTIF(connections!A:A, A116) &gt; 0</f>
        <v>0</v>
      </c>
      <c r="G116" t="s">
        <v>562</v>
      </c>
    </row>
    <row r="117" spans="1:10" ht="15" customHeight="1" x14ac:dyDescent="0.25">
      <c r="A117" t="s">
        <v>563</v>
      </c>
      <c r="B117">
        <v>2023</v>
      </c>
      <c r="C117" t="s">
        <v>176</v>
      </c>
      <c r="D117" t="b">
        <f>TRUE()</f>
        <v>1</v>
      </c>
      <c r="E117" t="b">
        <f>COUNTIF(connections!A:A, A117) &gt; 0</f>
        <v>0</v>
      </c>
      <c r="G117" t="s">
        <v>564</v>
      </c>
      <c r="H117" t="s">
        <v>187</v>
      </c>
      <c r="I117" t="s">
        <v>565</v>
      </c>
      <c r="J117" s="1" t="s">
        <v>566</v>
      </c>
    </row>
    <row r="118" spans="1:10" ht="15" customHeight="1" x14ac:dyDescent="0.25">
      <c r="A118" t="s">
        <v>567</v>
      </c>
      <c r="B118">
        <v>2025</v>
      </c>
      <c r="C118" t="s">
        <v>182</v>
      </c>
      <c r="D118" t="b">
        <f>TRUE()</f>
        <v>1</v>
      </c>
      <c r="E118" t="b">
        <f>COUNTIF(connections!A:A, A118) &gt; 0</f>
        <v>0</v>
      </c>
      <c r="F118" t="s">
        <v>568</v>
      </c>
      <c r="G118" t="s">
        <v>569</v>
      </c>
      <c r="H118" t="s">
        <v>187</v>
      </c>
      <c r="I118" t="s">
        <v>570</v>
      </c>
    </row>
    <row r="119" spans="1:10" ht="15" customHeight="1" x14ac:dyDescent="0.25">
      <c r="A119" t="s">
        <v>571</v>
      </c>
      <c r="B119">
        <v>2022</v>
      </c>
      <c r="C119" t="s">
        <v>176</v>
      </c>
      <c r="D119" t="b">
        <f>TRUE()</f>
        <v>1</v>
      </c>
      <c r="E119" t="b">
        <f>COUNTIF(connections!A:A, A119) &gt; 0</f>
        <v>1</v>
      </c>
      <c r="G119" t="s">
        <v>572</v>
      </c>
      <c r="J119" s="10" t="s">
        <v>573</v>
      </c>
    </row>
    <row r="120" spans="1:10" ht="15" customHeight="1" x14ac:dyDescent="0.25">
      <c r="A120" t="s">
        <v>574</v>
      </c>
      <c r="B120">
        <v>2019</v>
      </c>
      <c r="C120" t="s">
        <v>176</v>
      </c>
      <c r="D120" t="b">
        <f>TRUE()</f>
        <v>1</v>
      </c>
      <c r="E120" t="b">
        <f>COUNTIF(connections!A:A, A120) &gt; 0</f>
        <v>1</v>
      </c>
      <c r="G120" t="s">
        <v>575</v>
      </c>
      <c r="H120" t="s">
        <v>187</v>
      </c>
      <c r="I120" t="s">
        <v>576</v>
      </c>
      <c r="J120" s="1" t="s">
        <v>577</v>
      </c>
    </row>
    <row r="121" spans="1:10" ht="15" customHeight="1" x14ac:dyDescent="0.25">
      <c r="A121" t="s">
        <v>578</v>
      </c>
      <c r="B121">
        <v>1998</v>
      </c>
      <c r="C121" t="s">
        <v>179</v>
      </c>
      <c r="D121" t="b">
        <f>TRUE()</f>
        <v>1</v>
      </c>
      <c r="E121" t="b">
        <f>COUNTIF(connections!A:A, A121) &gt; 0</f>
        <v>1</v>
      </c>
      <c r="G121" t="s">
        <v>579</v>
      </c>
      <c r="H121" t="s">
        <v>187</v>
      </c>
      <c r="I121" t="s">
        <v>580</v>
      </c>
    </row>
    <row r="122" spans="1:10" ht="15" customHeight="1" x14ac:dyDescent="0.25">
      <c r="A122" t="s">
        <v>581</v>
      </c>
      <c r="B122">
        <v>1997</v>
      </c>
      <c r="C122" t="s">
        <v>179</v>
      </c>
      <c r="D122" t="b">
        <f>TRUE()</f>
        <v>1</v>
      </c>
      <c r="E122" t="b">
        <f>COUNTIF(connections!A:A, A122) &gt; 0</f>
        <v>1</v>
      </c>
      <c r="G122" t="s">
        <v>582</v>
      </c>
      <c r="H122" t="s">
        <v>187</v>
      </c>
      <c r="I122" t="s">
        <v>583</v>
      </c>
    </row>
    <row r="123" spans="1:10" ht="15" customHeight="1" x14ac:dyDescent="0.25">
      <c r="A123" t="s">
        <v>584</v>
      </c>
      <c r="B123">
        <v>2019</v>
      </c>
      <c r="C123" t="s">
        <v>179</v>
      </c>
      <c r="D123" t="b">
        <f>TRUE()</f>
        <v>1</v>
      </c>
      <c r="E123" t="b">
        <f>COUNTIF(connections!A:A, A123) &gt; 0</f>
        <v>0</v>
      </c>
      <c r="G123" t="s">
        <v>585</v>
      </c>
    </row>
    <row r="124" spans="1:10" ht="15" customHeight="1" x14ac:dyDescent="0.25">
      <c r="A124" t="s">
        <v>586</v>
      </c>
      <c r="B124">
        <v>2023</v>
      </c>
      <c r="C124" t="s">
        <v>176</v>
      </c>
      <c r="D124" t="b">
        <f>TRUE()</f>
        <v>1</v>
      </c>
      <c r="E124" t="b">
        <f>COUNTIF(connections!A:A, A124) &gt; 0</f>
        <v>1</v>
      </c>
      <c r="F124" t="s">
        <v>587</v>
      </c>
      <c r="G124" t="s">
        <v>588</v>
      </c>
      <c r="H124" t="s">
        <v>187</v>
      </c>
      <c r="I124" t="s">
        <v>589</v>
      </c>
      <c r="J124" s="1" t="s">
        <v>590</v>
      </c>
    </row>
    <row r="125" spans="1:10" ht="15" customHeight="1" x14ac:dyDescent="0.25">
      <c r="A125" t="s">
        <v>591</v>
      </c>
      <c r="B125">
        <v>2025</v>
      </c>
      <c r="C125" t="s">
        <v>176</v>
      </c>
      <c r="D125" t="b">
        <f>TRUE()</f>
        <v>1</v>
      </c>
      <c r="E125" t="b">
        <f>COUNTIF(connections!A:A, A125) &gt; 0</f>
        <v>0</v>
      </c>
      <c r="F125" t="s">
        <v>587</v>
      </c>
      <c r="G125" t="s">
        <v>592</v>
      </c>
      <c r="H125" t="s">
        <v>187</v>
      </c>
      <c r="I125" t="s">
        <v>593</v>
      </c>
      <c r="J125" s="1" t="s">
        <v>594</v>
      </c>
    </row>
    <row r="126" spans="1:10" ht="15" customHeight="1" x14ac:dyDescent="0.25">
      <c r="A126" t="s">
        <v>595</v>
      </c>
      <c r="B126">
        <v>2026</v>
      </c>
      <c r="C126" t="s">
        <v>182</v>
      </c>
      <c r="D126" t="b">
        <f>TRUE()</f>
        <v>1</v>
      </c>
      <c r="E126" t="b">
        <f>COUNTIF(connections!A:A, A126) &gt; 0</f>
        <v>0</v>
      </c>
      <c r="G126" t="s">
        <v>596</v>
      </c>
      <c r="J126" s="10" t="s">
        <v>597</v>
      </c>
    </row>
    <row r="127" spans="1:10" ht="15" customHeight="1" x14ac:dyDescent="0.25">
      <c r="A127" t="s">
        <v>598</v>
      </c>
      <c r="B127">
        <v>2019</v>
      </c>
      <c r="C127" t="s">
        <v>182</v>
      </c>
      <c r="D127" t="b">
        <f>TRUE()</f>
        <v>1</v>
      </c>
      <c r="E127" t="b">
        <f>COUNTIF(connections!A:A, A127) &gt; 0</f>
        <v>0</v>
      </c>
      <c r="G127" t="s">
        <v>599</v>
      </c>
      <c r="H127" t="s">
        <v>187</v>
      </c>
      <c r="I127" t="s">
        <v>600</v>
      </c>
      <c r="J127" s="1" t="s">
        <v>601</v>
      </c>
    </row>
    <row r="128" spans="1:10" ht="15" customHeight="1" x14ac:dyDescent="0.25">
      <c r="A128" t="s">
        <v>602</v>
      </c>
      <c r="B128">
        <v>2026</v>
      </c>
      <c r="C128" t="s">
        <v>176</v>
      </c>
      <c r="D128" t="b">
        <f>TRUE()</f>
        <v>1</v>
      </c>
      <c r="E128" t="b">
        <f>COUNTIF(connections!A:A, A128) &gt; 0</f>
        <v>0</v>
      </c>
      <c r="G128" t="s">
        <v>603</v>
      </c>
    </row>
    <row r="129" spans="1:10" ht="15" customHeight="1" x14ac:dyDescent="0.25">
      <c r="A129" t="s">
        <v>604</v>
      </c>
      <c r="B129">
        <v>2025</v>
      </c>
      <c r="C129" t="s">
        <v>176</v>
      </c>
      <c r="D129" t="b">
        <f>TRUE()</f>
        <v>1</v>
      </c>
      <c r="E129" t="b">
        <f>COUNTIF(connections!A:A, A129) &gt; 0</f>
        <v>0</v>
      </c>
      <c r="G129" t="s">
        <v>605</v>
      </c>
    </row>
    <row r="130" spans="1:10" ht="15" customHeight="1" x14ac:dyDescent="0.25">
      <c r="A130" t="s">
        <v>606</v>
      </c>
      <c r="B130">
        <v>2025</v>
      </c>
      <c r="C130" t="s">
        <v>222</v>
      </c>
      <c r="D130" t="b">
        <f>TRUE()</f>
        <v>1</v>
      </c>
      <c r="E130" t="b">
        <f>COUNTIF(connections!A:A, A130) &gt; 0</f>
        <v>1</v>
      </c>
      <c r="F130" t="s">
        <v>354</v>
      </c>
      <c r="G130" t="s">
        <v>607</v>
      </c>
      <c r="H130" t="s">
        <v>187</v>
      </c>
      <c r="I130" t="s">
        <v>608</v>
      </c>
      <c r="J130" s="1" t="s">
        <v>609</v>
      </c>
    </row>
    <row r="131" spans="1:10" ht="15" customHeight="1" x14ac:dyDescent="0.25">
      <c r="A131" t="s">
        <v>610</v>
      </c>
      <c r="B131">
        <v>2024</v>
      </c>
      <c r="C131" t="s">
        <v>222</v>
      </c>
      <c r="D131" t="b">
        <f>TRUE()</f>
        <v>1</v>
      </c>
      <c r="E131" t="b">
        <f>COUNTIF(connections!A:A, A131) &gt; 0</f>
        <v>0</v>
      </c>
      <c r="F131" t="s">
        <v>277</v>
      </c>
      <c r="G131" t="s">
        <v>611</v>
      </c>
      <c r="J131" s="10" t="s">
        <v>612</v>
      </c>
    </row>
    <row r="132" spans="1:10" ht="15" customHeight="1" x14ac:dyDescent="0.25">
      <c r="A132" t="s">
        <v>613</v>
      </c>
      <c r="B132">
        <v>2025</v>
      </c>
      <c r="C132" t="s">
        <v>182</v>
      </c>
      <c r="D132" t="b">
        <f>TRUE()</f>
        <v>1</v>
      </c>
      <c r="E132" t="b">
        <f>COUNTIF(connections!A:A, A132) &gt; 0</f>
        <v>0</v>
      </c>
      <c r="F132" t="s">
        <v>614</v>
      </c>
      <c r="G132" t="s">
        <v>615</v>
      </c>
    </row>
    <row r="133" spans="1:10" ht="15" customHeight="1" x14ac:dyDescent="0.25">
      <c r="A133" t="s">
        <v>616</v>
      </c>
      <c r="B133">
        <v>2025</v>
      </c>
      <c r="C133" t="s">
        <v>222</v>
      </c>
      <c r="D133" t="b">
        <f>FALSE()</f>
        <v>0</v>
      </c>
      <c r="E133" t="b">
        <f>COUNTIF(connections!A:A, A133) &gt; 0</f>
        <v>0</v>
      </c>
      <c r="F133" t="s">
        <v>617</v>
      </c>
      <c r="G133" t="s">
        <v>618</v>
      </c>
    </row>
    <row r="134" spans="1:10" ht="15" customHeight="1" x14ac:dyDescent="0.25">
      <c r="A134" t="s">
        <v>619</v>
      </c>
      <c r="B134">
        <v>2023</v>
      </c>
      <c r="C134" t="s">
        <v>182</v>
      </c>
      <c r="D134" t="b">
        <f>TRUE()</f>
        <v>1</v>
      </c>
      <c r="E134" t="b">
        <f>COUNTIF(connections!A:A, A134) &gt; 0</f>
        <v>0</v>
      </c>
      <c r="F134" t="s">
        <v>274</v>
      </c>
      <c r="G134" t="s">
        <v>620</v>
      </c>
      <c r="H134" t="s">
        <v>187</v>
      </c>
      <c r="I134" t="s">
        <v>621</v>
      </c>
      <c r="J134" s="1" t="s">
        <v>622</v>
      </c>
    </row>
    <row r="135" spans="1:10" ht="15" customHeight="1" x14ac:dyDescent="0.25">
      <c r="A135" t="s">
        <v>623</v>
      </c>
      <c r="B135">
        <v>2017</v>
      </c>
      <c r="C135" t="s">
        <v>179</v>
      </c>
      <c r="D135" t="b">
        <f>TRUE()</f>
        <v>1</v>
      </c>
      <c r="E135" t="b">
        <f>COUNTIF(connections!A:A, A135) &gt; 0</f>
        <v>1</v>
      </c>
      <c r="G135" t="s">
        <v>624</v>
      </c>
    </row>
    <row r="136" spans="1:10" ht="15" customHeight="1" x14ac:dyDescent="0.25">
      <c r="A136" t="s">
        <v>625</v>
      </c>
      <c r="B136">
        <v>2013</v>
      </c>
      <c r="C136" t="s">
        <v>182</v>
      </c>
      <c r="D136" t="b">
        <f>TRUE()</f>
        <v>1</v>
      </c>
      <c r="E136" t="b">
        <f>COUNTIF(connections!A:A, A136) &gt; 0</f>
        <v>0</v>
      </c>
      <c r="G136" t="s">
        <v>626</v>
      </c>
      <c r="H136" t="s">
        <v>187</v>
      </c>
      <c r="I136" t="s">
        <v>627</v>
      </c>
      <c r="J136" s="1" t="s">
        <v>628</v>
      </c>
    </row>
    <row r="137" spans="1:10" ht="15" customHeight="1" x14ac:dyDescent="0.25">
      <c r="A137" t="s">
        <v>629</v>
      </c>
      <c r="B137">
        <v>2020</v>
      </c>
      <c r="C137" t="s">
        <v>176</v>
      </c>
      <c r="D137" t="b">
        <f>TRUE()</f>
        <v>1</v>
      </c>
      <c r="E137" t="b">
        <f>COUNTIF(connections!A:A, A137) &gt; 0</f>
        <v>0</v>
      </c>
      <c r="F137" t="s">
        <v>465</v>
      </c>
      <c r="G137" t="s">
        <v>630</v>
      </c>
      <c r="H137" t="s">
        <v>187</v>
      </c>
      <c r="I137" t="s">
        <v>631</v>
      </c>
      <c r="J137" s="1" t="s">
        <v>632</v>
      </c>
    </row>
    <row r="138" spans="1:10" ht="15" customHeight="1" x14ac:dyDescent="0.25">
      <c r="A138" t="s">
        <v>7694</v>
      </c>
      <c r="B138">
        <v>2026</v>
      </c>
      <c r="C138" t="s">
        <v>222</v>
      </c>
      <c r="D138" t="b">
        <f>TRUE()</f>
        <v>1</v>
      </c>
      <c r="E138" t="b">
        <f>COUNTIF(connections!A:A, A138) &gt; 0</f>
        <v>0</v>
      </c>
      <c r="G138" t="s">
        <v>7693</v>
      </c>
      <c r="J138" s="10" t="s">
        <v>7692</v>
      </c>
    </row>
    <row r="139" spans="1:10" ht="15" customHeight="1" x14ac:dyDescent="0.25">
      <c r="A139" t="s">
        <v>633</v>
      </c>
      <c r="B139">
        <v>2025</v>
      </c>
      <c r="C139" t="s">
        <v>182</v>
      </c>
      <c r="D139" t="b">
        <f>TRUE()</f>
        <v>1</v>
      </c>
      <c r="E139" t="b">
        <f>COUNTIF(connections!A:A, A139) &gt; 0</f>
        <v>0</v>
      </c>
      <c r="G139" t="s">
        <v>634</v>
      </c>
    </row>
    <row r="140" spans="1:10" ht="15" customHeight="1" x14ac:dyDescent="0.25">
      <c r="A140" t="s">
        <v>635</v>
      </c>
      <c r="B140">
        <v>2022</v>
      </c>
      <c r="C140" t="s">
        <v>176</v>
      </c>
      <c r="D140" t="b">
        <f>TRUE()</f>
        <v>1</v>
      </c>
      <c r="E140" t="b">
        <f>COUNTIF(connections!A:A, A140) &gt; 0</f>
        <v>0</v>
      </c>
      <c r="G140" t="s">
        <v>636</v>
      </c>
      <c r="H140" t="s">
        <v>187</v>
      </c>
      <c r="I140" t="s">
        <v>637</v>
      </c>
      <c r="J140" s="1" t="s">
        <v>638</v>
      </c>
    </row>
    <row r="141" spans="1:10" ht="15" customHeight="1" x14ac:dyDescent="0.25">
      <c r="A141" t="s">
        <v>639</v>
      </c>
      <c r="B141">
        <v>2015</v>
      </c>
      <c r="C141" t="s">
        <v>222</v>
      </c>
      <c r="D141" t="b">
        <f>TRUE()</f>
        <v>1</v>
      </c>
      <c r="E141" t="b">
        <f>COUNTIF(connections!A:A, A141) &gt; 0</f>
        <v>0</v>
      </c>
      <c r="G141" t="s">
        <v>640</v>
      </c>
      <c r="H141" t="s">
        <v>187</v>
      </c>
      <c r="I141" t="s">
        <v>641</v>
      </c>
      <c r="J141" s="1" t="s">
        <v>642</v>
      </c>
    </row>
    <row r="142" spans="1:10" ht="15" customHeight="1" x14ac:dyDescent="0.25">
      <c r="A142" t="s">
        <v>643</v>
      </c>
      <c r="B142">
        <v>2020</v>
      </c>
      <c r="C142" t="s">
        <v>222</v>
      </c>
      <c r="D142" t="b">
        <f>TRUE()</f>
        <v>1</v>
      </c>
      <c r="E142" t="b">
        <f>COUNTIF(connections!A:A, A142) &gt; 0</f>
        <v>1</v>
      </c>
      <c r="F142" t="s">
        <v>404</v>
      </c>
      <c r="G142" t="s">
        <v>644</v>
      </c>
      <c r="H142" t="s">
        <v>187</v>
      </c>
      <c r="I142" t="s">
        <v>645</v>
      </c>
      <c r="J142" s="1" t="s">
        <v>646</v>
      </c>
    </row>
    <row r="143" spans="1:10" ht="15" customHeight="1" x14ac:dyDescent="0.25">
      <c r="A143" t="s">
        <v>647</v>
      </c>
      <c r="B143">
        <v>2023</v>
      </c>
      <c r="C143" t="s">
        <v>176</v>
      </c>
      <c r="D143" t="b">
        <f>TRUE()</f>
        <v>1</v>
      </c>
      <c r="E143" t="b">
        <f>COUNTIF(connections!A:A, A143) &gt; 0</f>
        <v>0</v>
      </c>
      <c r="G143" t="s">
        <v>648</v>
      </c>
      <c r="H143" t="s">
        <v>187</v>
      </c>
      <c r="I143" t="s">
        <v>649</v>
      </c>
      <c r="J143" s="1" t="s">
        <v>650</v>
      </c>
    </row>
    <row r="144" spans="1:10" ht="15" customHeight="1" x14ac:dyDescent="0.25">
      <c r="A144" t="s">
        <v>651</v>
      </c>
      <c r="B144">
        <v>2023</v>
      </c>
      <c r="C144" t="s">
        <v>176</v>
      </c>
      <c r="D144" t="b">
        <f>TRUE()</f>
        <v>1</v>
      </c>
      <c r="E144" t="b">
        <f>COUNTIF(connections!A:A, A144) &gt; 0</f>
        <v>1</v>
      </c>
      <c r="F144" t="s">
        <v>652</v>
      </c>
      <c r="G144" t="s">
        <v>653</v>
      </c>
      <c r="H144" t="s">
        <v>187</v>
      </c>
      <c r="I144" t="s">
        <v>654</v>
      </c>
      <c r="J144" s="1" t="s">
        <v>655</v>
      </c>
    </row>
    <row r="145" spans="1:10" ht="15" customHeight="1" x14ac:dyDescent="0.25">
      <c r="A145" t="s">
        <v>656</v>
      </c>
      <c r="B145">
        <v>2025</v>
      </c>
      <c r="C145" t="s">
        <v>179</v>
      </c>
      <c r="D145" t="b">
        <f>TRUE()</f>
        <v>1</v>
      </c>
      <c r="E145" t="b">
        <f>COUNTIF(connections!A:A, A145) &gt; 0</f>
        <v>0</v>
      </c>
      <c r="G145" t="s">
        <v>657</v>
      </c>
      <c r="H145" t="s">
        <v>187</v>
      </c>
      <c r="I145" t="s">
        <v>658</v>
      </c>
    </row>
    <row r="146" spans="1:10" ht="15" customHeight="1" x14ac:dyDescent="0.25">
      <c r="A146" t="s">
        <v>659</v>
      </c>
      <c r="B146">
        <v>2023</v>
      </c>
      <c r="C146" t="s">
        <v>176</v>
      </c>
      <c r="D146" t="b">
        <f>TRUE()</f>
        <v>1</v>
      </c>
      <c r="E146" t="b">
        <f>COUNTIF(connections!A:A, A146) &gt; 0</f>
        <v>0</v>
      </c>
      <c r="G146" t="s">
        <v>660</v>
      </c>
      <c r="H146" t="s">
        <v>187</v>
      </c>
      <c r="I146" t="s">
        <v>661</v>
      </c>
      <c r="J146" s="1" t="s">
        <v>662</v>
      </c>
    </row>
    <row r="147" spans="1:10" ht="15" customHeight="1" x14ac:dyDescent="0.25">
      <c r="A147" t="s">
        <v>663</v>
      </c>
      <c r="B147">
        <v>2017</v>
      </c>
      <c r="C147" t="s">
        <v>176</v>
      </c>
      <c r="D147" t="b">
        <f>FALSE()</f>
        <v>0</v>
      </c>
      <c r="E147" t="b">
        <f>COUNTIF(connections!A:A, A147) &gt; 0</f>
        <v>0</v>
      </c>
      <c r="G147" t="s">
        <v>664</v>
      </c>
      <c r="H147" t="s">
        <v>187</v>
      </c>
      <c r="I147" t="s">
        <v>665</v>
      </c>
      <c r="J147" s="1" t="s">
        <v>666</v>
      </c>
    </row>
    <row r="148" spans="1:10" ht="15" customHeight="1" x14ac:dyDescent="0.25">
      <c r="A148" t="s">
        <v>667</v>
      </c>
      <c r="B148">
        <v>2023</v>
      </c>
      <c r="C148" t="s">
        <v>182</v>
      </c>
      <c r="D148" t="b">
        <f>TRUE()</f>
        <v>1</v>
      </c>
      <c r="E148" t="b">
        <f>COUNTIF(connections!A:A, A148) &gt; 0</f>
        <v>0</v>
      </c>
      <c r="F148" t="s">
        <v>264</v>
      </c>
      <c r="G148" t="s">
        <v>668</v>
      </c>
      <c r="H148" t="s">
        <v>187</v>
      </c>
      <c r="I148" t="s">
        <v>669</v>
      </c>
      <c r="J148" s="1" t="s">
        <v>670</v>
      </c>
    </row>
    <row r="149" spans="1:10" ht="15" customHeight="1" x14ac:dyDescent="0.25">
      <c r="A149" t="s">
        <v>671</v>
      </c>
      <c r="B149">
        <v>2026</v>
      </c>
      <c r="C149" t="s">
        <v>182</v>
      </c>
      <c r="D149" t="b">
        <f>TRUE()</f>
        <v>1</v>
      </c>
      <c r="E149" t="b">
        <f>COUNTIF(connections!A:A, A149) &gt; 0</f>
        <v>0</v>
      </c>
      <c r="F149" t="s">
        <v>264</v>
      </c>
      <c r="G149" t="s">
        <v>672</v>
      </c>
    </row>
    <row r="150" spans="1:10" ht="15" customHeight="1" x14ac:dyDescent="0.25">
      <c r="A150" t="s">
        <v>673</v>
      </c>
      <c r="B150">
        <v>2023</v>
      </c>
      <c r="C150" t="s">
        <v>182</v>
      </c>
      <c r="D150" t="b">
        <f>TRUE()</f>
        <v>1</v>
      </c>
      <c r="E150" t="b">
        <f>COUNTIF(connections!A:A, A150) &gt; 0</f>
        <v>0</v>
      </c>
      <c r="G150" t="s">
        <v>674</v>
      </c>
      <c r="H150" t="s">
        <v>187</v>
      </c>
      <c r="I150" t="s">
        <v>675</v>
      </c>
      <c r="J150" s="1" t="s">
        <v>676</v>
      </c>
    </row>
    <row r="151" spans="1:10" ht="15" customHeight="1" x14ac:dyDescent="0.25">
      <c r="A151" t="s">
        <v>677</v>
      </c>
      <c r="B151">
        <v>2020</v>
      </c>
      <c r="C151" t="s">
        <v>222</v>
      </c>
      <c r="D151" t="b">
        <f>FALSE()</f>
        <v>0</v>
      </c>
      <c r="E151" t="b">
        <f>COUNTIF(connections!A:A, A151) &gt; 0</f>
        <v>0</v>
      </c>
      <c r="G151" t="s">
        <v>678</v>
      </c>
      <c r="H151" t="s">
        <v>187</v>
      </c>
      <c r="I151" t="s">
        <v>679</v>
      </c>
      <c r="J151" s="1" t="s">
        <v>680</v>
      </c>
    </row>
    <row r="152" spans="1:10" ht="15" customHeight="1" x14ac:dyDescent="0.25">
      <c r="A152" t="s">
        <v>681</v>
      </c>
      <c r="B152">
        <v>2025</v>
      </c>
      <c r="C152" t="s">
        <v>182</v>
      </c>
      <c r="D152" t="b">
        <f>TRUE()</f>
        <v>1</v>
      </c>
      <c r="E152" t="b">
        <f>COUNTIF(connections!A:A, A152) &gt; 0</f>
        <v>0</v>
      </c>
      <c r="G152" t="s">
        <v>682</v>
      </c>
      <c r="H152" t="s">
        <v>187</v>
      </c>
      <c r="I152" t="s">
        <v>683</v>
      </c>
      <c r="J152" s="1" t="s">
        <v>684</v>
      </c>
    </row>
    <row r="153" spans="1:10" ht="15" customHeight="1" x14ac:dyDescent="0.25">
      <c r="A153" t="s">
        <v>685</v>
      </c>
      <c r="B153">
        <v>2019</v>
      </c>
      <c r="C153" t="s">
        <v>222</v>
      </c>
      <c r="D153" t="b">
        <f>TRUE()</f>
        <v>1</v>
      </c>
      <c r="E153" t="b">
        <f>COUNTIF(connections!A:A, A153) &gt; 0</f>
        <v>0</v>
      </c>
      <c r="G153" t="s">
        <v>686</v>
      </c>
      <c r="H153" t="s">
        <v>187</v>
      </c>
      <c r="I153" t="s">
        <v>687</v>
      </c>
      <c r="J153" s="1" t="s">
        <v>688</v>
      </c>
    </row>
    <row r="154" spans="1:10" ht="15" customHeight="1" x14ac:dyDescent="0.25">
      <c r="A154" t="s">
        <v>689</v>
      </c>
      <c r="B154">
        <v>2015</v>
      </c>
      <c r="C154" t="s">
        <v>179</v>
      </c>
      <c r="D154" t="b">
        <f>TRUE()</f>
        <v>1</v>
      </c>
      <c r="E154" t="b">
        <f>COUNTIF(connections!A:A, A154) &gt; 0</f>
        <v>1</v>
      </c>
      <c r="F154" t="s">
        <v>399</v>
      </c>
      <c r="G154" t="s">
        <v>690</v>
      </c>
      <c r="H154" t="s">
        <v>187</v>
      </c>
      <c r="I154" t="s">
        <v>691</v>
      </c>
      <c r="J154" s="1" t="s">
        <v>692</v>
      </c>
    </row>
    <row r="155" spans="1:10" ht="15" customHeight="1" x14ac:dyDescent="0.25">
      <c r="A155" t="s">
        <v>693</v>
      </c>
      <c r="B155">
        <v>2017</v>
      </c>
      <c r="C155" t="s">
        <v>176</v>
      </c>
      <c r="D155" t="b">
        <f>FALSE()</f>
        <v>0</v>
      </c>
      <c r="E155" t="b">
        <f>COUNTIF(connections!A:A, A155) &gt; 0</f>
        <v>0</v>
      </c>
      <c r="F155" t="s">
        <v>694</v>
      </c>
      <c r="G155" t="s">
        <v>695</v>
      </c>
      <c r="H155" t="s">
        <v>187</v>
      </c>
      <c r="I155" t="s">
        <v>696</v>
      </c>
      <c r="J155" s="1" t="s">
        <v>697</v>
      </c>
    </row>
    <row r="156" spans="1:10" ht="15" customHeight="1" x14ac:dyDescent="0.25">
      <c r="A156" t="s">
        <v>698</v>
      </c>
      <c r="B156">
        <v>1998</v>
      </c>
      <c r="C156" t="s">
        <v>179</v>
      </c>
      <c r="D156" t="b">
        <f>TRUE()</f>
        <v>1</v>
      </c>
      <c r="E156" t="b">
        <f>COUNTIF(connections!A:A, A156) &gt; 0</f>
        <v>0</v>
      </c>
      <c r="G156" t="s">
        <v>699</v>
      </c>
      <c r="H156" t="s">
        <v>187</v>
      </c>
      <c r="I156" t="s">
        <v>700</v>
      </c>
    </row>
    <row r="157" spans="1:10" ht="15" customHeight="1" x14ac:dyDescent="0.25">
      <c r="A157" t="s">
        <v>701</v>
      </c>
      <c r="B157">
        <v>2023</v>
      </c>
      <c r="C157" t="s">
        <v>182</v>
      </c>
      <c r="D157" t="b">
        <f>FALSE()</f>
        <v>0</v>
      </c>
      <c r="E157" t="b">
        <f>COUNTIF(connections!A:A, A157) &gt; 0</f>
        <v>0</v>
      </c>
      <c r="G157" t="s">
        <v>702</v>
      </c>
    </row>
    <row r="158" spans="1:10" ht="15" customHeight="1" x14ac:dyDescent="0.25">
      <c r="A158" t="s">
        <v>703</v>
      </c>
      <c r="B158">
        <v>2025</v>
      </c>
      <c r="C158" t="s">
        <v>182</v>
      </c>
      <c r="D158" t="b">
        <f>FALSE()</f>
        <v>0</v>
      </c>
      <c r="E158" t="b">
        <f>COUNTIF(connections!A:A, A158) &gt; 0</f>
        <v>0</v>
      </c>
      <c r="G158" t="s">
        <v>704</v>
      </c>
      <c r="J158" s="1" t="s">
        <v>705</v>
      </c>
    </row>
    <row r="159" spans="1:10" ht="15" customHeight="1" x14ac:dyDescent="0.25">
      <c r="A159" t="s">
        <v>706</v>
      </c>
      <c r="B159">
        <v>2026</v>
      </c>
      <c r="C159" t="s">
        <v>182</v>
      </c>
      <c r="D159" t="b">
        <f>TRUE()</f>
        <v>1</v>
      </c>
      <c r="E159" t="b">
        <f>COUNTIF(connections!A:A, A159) &gt; 0</f>
        <v>0</v>
      </c>
      <c r="G159" t="s">
        <v>707</v>
      </c>
      <c r="J159" s="10" t="s">
        <v>708</v>
      </c>
    </row>
    <row r="160" spans="1:10" ht="15" customHeight="1" x14ac:dyDescent="0.25">
      <c r="A160" t="s">
        <v>709</v>
      </c>
      <c r="B160">
        <v>2022</v>
      </c>
      <c r="C160" t="s">
        <v>176</v>
      </c>
      <c r="D160" t="b">
        <f>TRUE()</f>
        <v>1</v>
      </c>
      <c r="E160" t="b">
        <f>COUNTIF(connections!A:A, A160) &gt; 0</f>
        <v>1</v>
      </c>
      <c r="G160" t="s">
        <v>710</v>
      </c>
      <c r="H160" t="s">
        <v>187</v>
      </c>
      <c r="I160" t="s">
        <v>711</v>
      </c>
      <c r="J160" s="1" t="s">
        <v>712</v>
      </c>
    </row>
    <row r="161" spans="1:10" ht="15" customHeight="1" x14ac:dyDescent="0.25">
      <c r="A161" t="s">
        <v>713</v>
      </c>
      <c r="B161">
        <v>2018</v>
      </c>
      <c r="C161" t="s">
        <v>222</v>
      </c>
      <c r="D161" t="b">
        <f>TRUE()</f>
        <v>1</v>
      </c>
      <c r="E161" t="b">
        <f>COUNTIF(connections!A:A, A161) &gt; 0</f>
        <v>0</v>
      </c>
      <c r="G161" t="s">
        <v>714</v>
      </c>
      <c r="H161" t="s">
        <v>187</v>
      </c>
      <c r="I161" t="s">
        <v>715</v>
      </c>
      <c r="J161" s="1" t="s">
        <v>716</v>
      </c>
    </row>
    <row r="162" spans="1:10" ht="15" customHeight="1" x14ac:dyDescent="0.25">
      <c r="A162" t="s">
        <v>717</v>
      </c>
      <c r="B162">
        <v>2024</v>
      </c>
      <c r="C162" t="s">
        <v>182</v>
      </c>
      <c r="D162" t="b">
        <f>TRUE()</f>
        <v>1</v>
      </c>
      <c r="E162" t="b">
        <f>COUNTIF(connections!A:A, A162) &gt; 0</f>
        <v>1</v>
      </c>
      <c r="F162" t="s">
        <v>354</v>
      </c>
      <c r="G162" t="s">
        <v>718</v>
      </c>
      <c r="J162" s="10" t="s">
        <v>719</v>
      </c>
    </row>
    <row r="163" spans="1:10" ht="15" customHeight="1" x14ac:dyDescent="0.25">
      <c r="A163" t="s">
        <v>720</v>
      </c>
      <c r="B163">
        <v>2016</v>
      </c>
      <c r="C163" t="s">
        <v>222</v>
      </c>
      <c r="D163" t="b">
        <f>TRUE()</f>
        <v>1</v>
      </c>
      <c r="E163" t="b">
        <f>COUNTIF(connections!A:A, A163) &gt; 0</f>
        <v>1</v>
      </c>
      <c r="G163" t="s">
        <v>721</v>
      </c>
      <c r="H163" t="s">
        <v>187</v>
      </c>
      <c r="I163" t="s">
        <v>722</v>
      </c>
      <c r="J163" s="1" t="s">
        <v>723</v>
      </c>
    </row>
    <row r="164" spans="1:10" ht="15" customHeight="1" x14ac:dyDescent="0.25">
      <c r="A164" t="s">
        <v>724</v>
      </c>
      <c r="B164">
        <v>2020</v>
      </c>
      <c r="C164" t="s">
        <v>222</v>
      </c>
      <c r="D164" t="b">
        <f>TRUE()</f>
        <v>1</v>
      </c>
      <c r="E164" t="b">
        <f>COUNTIF(connections!A:A, A164) &gt; 0</f>
        <v>0</v>
      </c>
      <c r="G164" t="s">
        <v>725</v>
      </c>
    </row>
    <row r="165" spans="1:10" ht="15" customHeight="1" x14ac:dyDescent="0.25">
      <c r="A165" t="s">
        <v>7888</v>
      </c>
      <c r="B165">
        <v>2026</v>
      </c>
      <c r="C165" t="s">
        <v>176</v>
      </c>
      <c r="D165" t="b">
        <f>TRUE()</f>
        <v>1</v>
      </c>
      <c r="E165" t="b">
        <f>COUNTIF(connections!A:A, A165) &gt; 0</f>
        <v>0</v>
      </c>
      <c r="G165" t="s">
        <v>7889</v>
      </c>
      <c r="J165" s="10" t="s">
        <v>7890</v>
      </c>
    </row>
    <row r="166" spans="1:10" ht="15" customHeight="1" x14ac:dyDescent="0.25">
      <c r="A166" t="s">
        <v>726</v>
      </c>
      <c r="B166">
        <v>2020</v>
      </c>
      <c r="C166" t="s">
        <v>176</v>
      </c>
      <c r="D166" t="b">
        <f>TRUE()</f>
        <v>1</v>
      </c>
      <c r="E166" t="b">
        <f>COUNTIF(connections!A:A, A166) &gt; 0</f>
        <v>1</v>
      </c>
      <c r="G166" t="s">
        <v>727</v>
      </c>
      <c r="H166" t="s">
        <v>187</v>
      </c>
      <c r="I166" t="s">
        <v>728</v>
      </c>
      <c r="J166" s="1" t="s">
        <v>729</v>
      </c>
    </row>
    <row r="167" spans="1:10" ht="15" customHeight="1" x14ac:dyDescent="0.25">
      <c r="A167" t="s">
        <v>730</v>
      </c>
      <c r="B167">
        <v>2026</v>
      </c>
      <c r="C167" t="s">
        <v>222</v>
      </c>
      <c r="D167" t="b">
        <f>TRUE()</f>
        <v>1</v>
      </c>
      <c r="E167" t="b">
        <f>COUNTIF(connections!A:A, A167) &gt; 0</f>
        <v>0</v>
      </c>
      <c r="F167" t="s">
        <v>731</v>
      </c>
      <c r="G167" t="s">
        <v>732</v>
      </c>
    </row>
    <row r="168" spans="1:10" ht="15" customHeight="1" x14ac:dyDescent="0.25">
      <c r="A168" t="s">
        <v>733</v>
      </c>
      <c r="B168">
        <v>2023</v>
      </c>
      <c r="C168" t="s">
        <v>176</v>
      </c>
      <c r="D168" t="b">
        <f>FALSE()</f>
        <v>0</v>
      </c>
      <c r="E168" t="b">
        <f>COUNTIF(connections!A:A, A168) &gt; 0</f>
        <v>0</v>
      </c>
      <c r="G168" t="s">
        <v>734</v>
      </c>
      <c r="H168" t="s">
        <v>187</v>
      </c>
      <c r="I168" t="s">
        <v>735</v>
      </c>
      <c r="J168" s="1" t="s">
        <v>736</v>
      </c>
    </row>
    <row r="169" spans="1:10" ht="15" customHeight="1" x14ac:dyDescent="0.25">
      <c r="A169" t="s">
        <v>737</v>
      </c>
      <c r="B169">
        <v>2019</v>
      </c>
      <c r="C169" t="s">
        <v>176</v>
      </c>
      <c r="D169" t="b">
        <f>TRUE()</f>
        <v>1</v>
      </c>
      <c r="E169" t="b">
        <f>COUNTIF(connections!A:A, A169) &gt; 0</f>
        <v>1</v>
      </c>
      <c r="G169" t="s">
        <v>738</v>
      </c>
      <c r="H169" t="s">
        <v>187</v>
      </c>
      <c r="I169" t="s">
        <v>739</v>
      </c>
      <c r="J169" s="1" t="s">
        <v>740</v>
      </c>
    </row>
    <row r="170" spans="1:10" ht="15" customHeight="1" x14ac:dyDescent="0.25">
      <c r="A170" t="s">
        <v>741</v>
      </c>
      <c r="B170">
        <v>2026</v>
      </c>
      <c r="C170" t="s">
        <v>176</v>
      </c>
      <c r="D170" t="b">
        <f>TRUE()</f>
        <v>1</v>
      </c>
      <c r="E170" t="b">
        <f>COUNTIF(connections!A:A, A170) &gt; 0</f>
        <v>0</v>
      </c>
      <c r="G170" t="s">
        <v>742</v>
      </c>
      <c r="J170" s="10" t="s">
        <v>743</v>
      </c>
    </row>
    <row r="171" spans="1:10" ht="15" customHeight="1" x14ac:dyDescent="0.25">
      <c r="A171" t="s">
        <v>744</v>
      </c>
      <c r="B171">
        <v>2025</v>
      </c>
      <c r="C171" t="s">
        <v>176</v>
      </c>
      <c r="D171" t="b">
        <f>TRUE()</f>
        <v>1</v>
      </c>
      <c r="E171" t="b">
        <f>COUNTIF(connections!A:A, A171) &gt; 0</f>
        <v>0</v>
      </c>
      <c r="G171" t="s">
        <v>745</v>
      </c>
    </row>
    <row r="172" spans="1:10" ht="15" customHeight="1" x14ac:dyDescent="0.25">
      <c r="A172" t="s">
        <v>746</v>
      </c>
      <c r="B172">
        <v>2015</v>
      </c>
      <c r="C172" t="s">
        <v>222</v>
      </c>
      <c r="D172" t="b">
        <f>TRUE()</f>
        <v>1</v>
      </c>
      <c r="E172" t="b">
        <f>COUNTIF(connections!A:A, A172) &gt; 0</f>
        <v>1</v>
      </c>
      <c r="G172" t="s">
        <v>747</v>
      </c>
      <c r="H172" t="s">
        <v>187</v>
      </c>
      <c r="I172" t="s">
        <v>748</v>
      </c>
      <c r="J172" s="1" t="s">
        <v>749</v>
      </c>
    </row>
    <row r="173" spans="1:10" ht="15" customHeight="1" x14ac:dyDescent="0.25">
      <c r="A173" t="s">
        <v>750</v>
      </c>
      <c r="B173">
        <v>2023</v>
      </c>
      <c r="C173" t="s">
        <v>222</v>
      </c>
      <c r="D173" t="b">
        <f>TRUE()</f>
        <v>1</v>
      </c>
      <c r="E173" t="b">
        <f>COUNTIF(connections!A:A, A173) &gt; 0</f>
        <v>0</v>
      </c>
      <c r="G173" t="s">
        <v>751</v>
      </c>
      <c r="H173" t="s">
        <v>187</v>
      </c>
      <c r="I173" t="s">
        <v>752</v>
      </c>
      <c r="J173" s="1" t="s">
        <v>753</v>
      </c>
    </row>
    <row r="174" spans="1:10" ht="15" customHeight="1" x14ac:dyDescent="0.25">
      <c r="A174" t="s">
        <v>754</v>
      </c>
      <c r="B174">
        <v>2022</v>
      </c>
      <c r="C174" t="s">
        <v>176</v>
      </c>
      <c r="D174" t="b">
        <f>TRUE()</f>
        <v>1</v>
      </c>
      <c r="E174" t="b">
        <f>COUNTIF(connections!A:A, A174) &gt; 0</f>
        <v>1</v>
      </c>
      <c r="F174" t="s">
        <v>755</v>
      </c>
      <c r="G174" t="s">
        <v>756</v>
      </c>
      <c r="H174" t="s">
        <v>187</v>
      </c>
      <c r="I174" t="s">
        <v>757</v>
      </c>
      <c r="J174" s="1" t="s">
        <v>758</v>
      </c>
    </row>
    <row r="175" spans="1:10" ht="15" customHeight="1" x14ac:dyDescent="0.25">
      <c r="A175" t="s">
        <v>759</v>
      </c>
      <c r="B175">
        <v>2018</v>
      </c>
      <c r="C175" t="s">
        <v>176</v>
      </c>
      <c r="D175" t="b">
        <f>TRUE()</f>
        <v>1</v>
      </c>
      <c r="E175" t="b">
        <f>COUNTIF(connections!A:A, A175) &gt; 0</f>
        <v>1</v>
      </c>
      <c r="G175" t="s">
        <v>760</v>
      </c>
      <c r="H175" t="s">
        <v>187</v>
      </c>
      <c r="I175" t="s">
        <v>761</v>
      </c>
      <c r="J175" s="1" t="s">
        <v>762</v>
      </c>
    </row>
    <row r="176" spans="1:10" ht="15" customHeight="1" x14ac:dyDescent="0.25">
      <c r="A176" t="s">
        <v>763</v>
      </c>
      <c r="B176">
        <v>2020</v>
      </c>
      <c r="C176" t="s">
        <v>176</v>
      </c>
      <c r="D176" t="b">
        <f>TRUE()</f>
        <v>1</v>
      </c>
      <c r="E176" t="b">
        <f>COUNTIF(connections!A:A, A176) &gt; 0</f>
        <v>0</v>
      </c>
      <c r="F176" t="s">
        <v>458</v>
      </c>
      <c r="G176" t="s">
        <v>764</v>
      </c>
      <c r="H176" t="s">
        <v>187</v>
      </c>
      <c r="I176" t="s">
        <v>765</v>
      </c>
      <c r="J176" s="1" t="s">
        <v>766</v>
      </c>
    </row>
    <row r="177" spans="1:10" ht="15" customHeight="1" x14ac:dyDescent="0.25">
      <c r="A177" t="s">
        <v>767</v>
      </c>
      <c r="B177">
        <v>2025</v>
      </c>
      <c r="C177" t="s">
        <v>182</v>
      </c>
      <c r="D177" t="b">
        <f>TRUE()</f>
        <v>1</v>
      </c>
      <c r="E177" t="b">
        <f>COUNTIF(connections!A:A, A177) &gt; 0</f>
        <v>0</v>
      </c>
      <c r="F177" t="s">
        <v>315</v>
      </c>
      <c r="G177" t="s">
        <v>768</v>
      </c>
      <c r="H177" t="s">
        <v>187</v>
      </c>
      <c r="I177" t="s">
        <v>769</v>
      </c>
      <c r="J177" s="1" t="s">
        <v>770</v>
      </c>
    </row>
    <row r="178" spans="1:10" ht="15" customHeight="1" x14ac:dyDescent="0.25">
      <c r="A178" t="s">
        <v>771</v>
      </c>
      <c r="B178">
        <v>2026</v>
      </c>
      <c r="C178" t="s">
        <v>222</v>
      </c>
      <c r="D178" t="b">
        <f>TRUE()</f>
        <v>1</v>
      </c>
      <c r="E178" t="b">
        <f>COUNTIF(connections!A:A, A178) &gt; 0</f>
        <v>0</v>
      </c>
      <c r="G178" t="s">
        <v>772</v>
      </c>
      <c r="J178" s="10" t="s">
        <v>773</v>
      </c>
    </row>
    <row r="179" spans="1:10" ht="15" customHeight="1" x14ac:dyDescent="0.25">
      <c r="A179" t="s">
        <v>774</v>
      </c>
      <c r="B179">
        <v>2025</v>
      </c>
      <c r="C179" t="s">
        <v>176</v>
      </c>
      <c r="D179" t="b">
        <f>FALSE()</f>
        <v>0</v>
      </c>
      <c r="E179" t="b">
        <f>COUNTIF(connections!A:A, A179) &gt; 0</f>
        <v>0</v>
      </c>
      <c r="F179" t="s">
        <v>458</v>
      </c>
      <c r="G179" t="s">
        <v>775</v>
      </c>
    </row>
    <row r="180" spans="1:10" ht="15" customHeight="1" x14ac:dyDescent="0.25">
      <c r="A180" t="s">
        <v>776</v>
      </c>
      <c r="B180">
        <v>2025</v>
      </c>
      <c r="C180" t="s">
        <v>176</v>
      </c>
      <c r="D180" t="b">
        <f>FALSE()</f>
        <v>0</v>
      </c>
      <c r="E180" t="b">
        <f>COUNTIF(connections!A:A, A180) &gt; 0</f>
        <v>0</v>
      </c>
      <c r="G180" t="s">
        <v>777</v>
      </c>
    </row>
    <row r="181" spans="1:10" ht="15" customHeight="1" x14ac:dyDescent="0.25">
      <c r="A181" t="s">
        <v>778</v>
      </c>
      <c r="B181">
        <v>2023</v>
      </c>
      <c r="C181" t="s">
        <v>176</v>
      </c>
      <c r="D181" t="b">
        <f>TRUE()</f>
        <v>1</v>
      </c>
      <c r="E181" t="b">
        <f>COUNTIF(connections!A:A, A181) &gt; 0</f>
        <v>1</v>
      </c>
      <c r="F181" t="s">
        <v>199</v>
      </c>
      <c r="G181" t="s">
        <v>779</v>
      </c>
      <c r="H181" t="s">
        <v>187</v>
      </c>
      <c r="I181" t="s">
        <v>780</v>
      </c>
      <c r="J181" s="1" t="s">
        <v>781</v>
      </c>
    </row>
    <row r="182" spans="1:10" ht="15" customHeight="1" x14ac:dyDescent="0.25">
      <c r="A182" t="s">
        <v>782</v>
      </c>
      <c r="B182">
        <v>2016</v>
      </c>
      <c r="C182" t="s">
        <v>176</v>
      </c>
      <c r="D182" t="b">
        <f>TRUE()</f>
        <v>1</v>
      </c>
      <c r="E182" t="b">
        <f>COUNTIF(connections!A:A, A182) &gt; 0</f>
        <v>0</v>
      </c>
      <c r="F182" t="s">
        <v>458</v>
      </c>
      <c r="G182" t="s">
        <v>783</v>
      </c>
      <c r="H182" t="s">
        <v>187</v>
      </c>
      <c r="I182" t="s">
        <v>784</v>
      </c>
      <c r="J182" s="1" t="s">
        <v>785</v>
      </c>
    </row>
    <row r="183" spans="1:10" ht="15" customHeight="1" x14ac:dyDescent="0.25">
      <c r="A183" t="s">
        <v>786</v>
      </c>
      <c r="B183">
        <v>2023</v>
      </c>
      <c r="C183" t="s">
        <v>182</v>
      </c>
      <c r="D183" t="b">
        <f>TRUE()</f>
        <v>1</v>
      </c>
      <c r="E183" t="b">
        <f>COUNTIF(connections!A:A, A183) &gt; 0</f>
        <v>1</v>
      </c>
      <c r="F183" t="s">
        <v>787</v>
      </c>
      <c r="G183" t="s">
        <v>788</v>
      </c>
      <c r="H183" t="s">
        <v>187</v>
      </c>
      <c r="I183" t="s">
        <v>789</v>
      </c>
      <c r="J183" s="1" t="s">
        <v>790</v>
      </c>
    </row>
    <row r="184" spans="1:10" ht="15" customHeight="1" x14ac:dyDescent="0.25">
      <c r="A184" t="s">
        <v>791</v>
      </c>
      <c r="B184">
        <v>2014</v>
      </c>
      <c r="C184" t="s">
        <v>176</v>
      </c>
      <c r="D184" t="b">
        <v>1</v>
      </c>
      <c r="E184" t="b">
        <f>COUNTIF(connections!A:A, A184) &gt; 0</f>
        <v>0</v>
      </c>
      <c r="G184" t="s">
        <v>792</v>
      </c>
      <c r="H184" t="s">
        <v>187</v>
      </c>
      <c r="I184" t="s">
        <v>793</v>
      </c>
      <c r="J184" s="10" t="s">
        <v>794</v>
      </c>
    </row>
    <row r="185" spans="1:10" ht="15" customHeight="1" x14ac:dyDescent="0.25">
      <c r="A185" t="s">
        <v>795</v>
      </c>
      <c r="B185">
        <v>2019</v>
      </c>
      <c r="C185" t="s">
        <v>182</v>
      </c>
      <c r="D185" t="b">
        <f>TRUE()</f>
        <v>1</v>
      </c>
      <c r="E185" t="b">
        <f>COUNTIF(connections!A:A, A185) &gt; 0</f>
        <v>0</v>
      </c>
      <c r="G185" t="s">
        <v>796</v>
      </c>
      <c r="H185" t="s">
        <v>187</v>
      </c>
      <c r="I185" t="s">
        <v>797</v>
      </c>
      <c r="J185" s="1" t="s">
        <v>798</v>
      </c>
    </row>
    <row r="186" spans="1:10" ht="15" customHeight="1" x14ac:dyDescent="0.25">
      <c r="A186" t="s">
        <v>799</v>
      </c>
      <c r="B186">
        <v>2025</v>
      </c>
      <c r="C186" t="s">
        <v>182</v>
      </c>
      <c r="D186" t="b">
        <f>TRUE()</f>
        <v>1</v>
      </c>
      <c r="E186" t="b">
        <f>COUNTIF(connections!A:A, A186) &gt; 0</f>
        <v>0</v>
      </c>
      <c r="G186" t="s">
        <v>800</v>
      </c>
      <c r="H186" t="s">
        <v>187</v>
      </c>
      <c r="I186" t="s">
        <v>801</v>
      </c>
      <c r="J186" s="1" t="s">
        <v>802</v>
      </c>
    </row>
    <row r="187" spans="1:10" ht="15" customHeight="1" x14ac:dyDescent="0.25">
      <c r="A187" t="s">
        <v>803</v>
      </c>
      <c r="B187">
        <v>2025</v>
      </c>
      <c r="C187" t="s">
        <v>182</v>
      </c>
      <c r="D187" t="b">
        <f>TRUE()</f>
        <v>1</v>
      </c>
      <c r="E187" t="b">
        <f>COUNTIF(connections!A:A, A187) &gt; 0</f>
        <v>0</v>
      </c>
      <c r="G187" t="s">
        <v>804</v>
      </c>
      <c r="H187" t="s">
        <v>187</v>
      </c>
      <c r="I187" t="s">
        <v>805</v>
      </c>
      <c r="J187" s="1" t="s">
        <v>806</v>
      </c>
    </row>
    <row r="188" spans="1:10" ht="15" customHeight="1" x14ac:dyDescent="0.25">
      <c r="A188" t="s">
        <v>807</v>
      </c>
      <c r="B188">
        <v>2014</v>
      </c>
      <c r="C188" t="s">
        <v>176</v>
      </c>
      <c r="D188" t="b">
        <f>TRUE()</f>
        <v>1</v>
      </c>
      <c r="E188" t="b">
        <f>COUNTIF(connections!A:A, A188) &gt; 0</f>
        <v>0</v>
      </c>
      <c r="G188" t="s">
        <v>808</v>
      </c>
      <c r="H188" t="s">
        <v>187</v>
      </c>
      <c r="I188" t="s">
        <v>809</v>
      </c>
      <c r="J188" s="1" t="s">
        <v>810</v>
      </c>
    </row>
    <row r="189" spans="1:10" ht="15" customHeight="1" x14ac:dyDescent="0.25">
      <c r="A189" t="s">
        <v>811</v>
      </c>
      <c r="B189">
        <v>2024</v>
      </c>
      <c r="C189" t="s">
        <v>176</v>
      </c>
      <c r="D189" t="b">
        <f>TRUE()</f>
        <v>1</v>
      </c>
      <c r="E189" t="b">
        <f>COUNTIF(connections!A:A, A189) &gt; 0</f>
        <v>1</v>
      </c>
      <c r="F189" t="s">
        <v>617</v>
      </c>
      <c r="G189" t="s">
        <v>812</v>
      </c>
    </row>
    <row r="190" spans="1:10" ht="15" customHeight="1" x14ac:dyDescent="0.25">
      <c r="A190" t="s">
        <v>813</v>
      </c>
      <c r="B190">
        <v>2018</v>
      </c>
      <c r="C190" t="s">
        <v>182</v>
      </c>
      <c r="D190" t="b">
        <f>TRUE()</f>
        <v>1</v>
      </c>
      <c r="E190" t="b">
        <f>COUNTIF(connections!A:A, A190) &gt; 0</f>
        <v>1</v>
      </c>
      <c r="G190" t="s">
        <v>814</v>
      </c>
    </row>
    <row r="191" spans="1:10" ht="15" customHeight="1" x14ac:dyDescent="0.25">
      <c r="A191" t="s">
        <v>815</v>
      </c>
      <c r="B191">
        <v>2021</v>
      </c>
      <c r="C191" t="s">
        <v>182</v>
      </c>
      <c r="D191" t="b">
        <f>TRUE()</f>
        <v>1</v>
      </c>
      <c r="E191" t="b">
        <f>COUNTIF(connections!A:A, A191) &gt; 0</f>
        <v>0</v>
      </c>
      <c r="G191" t="s">
        <v>816</v>
      </c>
      <c r="H191" t="s">
        <v>187</v>
      </c>
      <c r="I191" t="s">
        <v>817</v>
      </c>
      <c r="J191" s="1" t="s">
        <v>818</v>
      </c>
    </row>
    <row r="192" spans="1:10" ht="15" customHeight="1" x14ac:dyDescent="0.25">
      <c r="A192" t="s">
        <v>819</v>
      </c>
      <c r="B192">
        <v>2012</v>
      </c>
      <c r="C192" t="s">
        <v>176</v>
      </c>
      <c r="D192" t="b">
        <f>FALSE()</f>
        <v>0</v>
      </c>
      <c r="E192" t="b">
        <f>COUNTIF(connections!A:A, A192) &gt; 0</f>
        <v>0</v>
      </c>
      <c r="G192" t="s">
        <v>820</v>
      </c>
    </row>
    <row r="193" spans="1:10" ht="15" customHeight="1" x14ac:dyDescent="0.25">
      <c r="A193" t="s">
        <v>821</v>
      </c>
      <c r="B193">
        <v>2026</v>
      </c>
      <c r="C193" t="s">
        <v>179</v>
      </c>
      <c r="D193" t="b">
        <f>TRUE()</f>
        <v>1</v>
      </c>
      <c r="E193" t="b">
        <f>COUNTIF(connections!A:A, A193) &gt; 0</f>
        <v>0</v>
      </c>
      <c r="F193" t="s">
        <v>822</v>
      </c>
      <c r="G193" t="s">
        <v>823</v>
      </c>
      <c r="H193" t="s">
        <v>187</v>
      </c>
      <c r="I193" t="s">
        <v>824</v>
      </c>
      <c r="J193" s="1" t="s">
        <v>825</v>
      </c>
    </row>
    <row r="194" spans="1:10" ht="15" customHeight="1" x14ac:dyDescent="0.25">
      <c r="A194" t="s">
        <v>826</v>
      </c>
      <c r="B194">
        <v>2019</v>
      </c>
      <c r="C194" t="s">
        <v>222</v>
      </c>
      <c r="D194" t="b">
        <f>TRUE()</f>
        <v>1</v>
      </c>
      <c r="E194" t="b">
        <f>COUNTIF(connections!A:A, A194) &gt; 0</f>
        <v>1</v>
      </c>
      <c r="G194" t="s">
        <v>827</v>
      </c>
    </row>
    <row r="195" spans="1:10" ht="15" customHeight="1" x14ac:dyDescent="0.25">
      <c r="A195" t="s">
        <v>828</v>
      </c>
      <c r="B195">
        <v>2025</v>
      </c>
      <c r="C195" t="s">
        <v>182</v>
      </c>
      <c r="D195" t="b">
        <f>TRUE()</f>
        <v>1</v>
      </c>
      <c r="E195" t="b">
        <f>COUNTIF(connections!A:A, A195) &gt; 0</f>
        <v>0</v>
      </c>
      <c r="F195" t="s">
        <v>271</v>
      </c>
      <c r="G195" t="s">
        <v>829</v>
      </c>
      <c r="H195" t="s">
        <v>187</v>
      </c>
      <c r="I195" t="s">
        <v>830</v>
      </c>
      <c r="J195" s="1" t="s">
        <v>831</v>
      </c>
    </row>
    <row r="196" spans="1:10" ht="15" customHeight="1" x14ac:dyDescent="0.25">
      <c r="A196" t="s">
        <v>832</v>
      </c>
      <c r="B196">
        <v>2022</v>
      </c>
      <c r="C196" t="s">
        <v>222</v>
      </c>
      <c r="D196" t="b">
        <f>FALSE()</f>
        <v>0</v>
      </c>
      <c r="E196" t="b">
        <f>COUNTIF(connections!A:A, A196) &gt; 0</f>
        <v>0</v>
      </c>
      <c r="G196" t="s">
        <v>833</v>
      </c>
      <c r="H196" t="s">
        <v>187</v>
      </c>
      <c r="I196" t="s">
        <v>834</v>
      </c>
      <c r="J196" s="1" t="s">
        <v>835</v>
      </c>
    </row>
    <row r="197" spans="1:10" ht="15" customHeight="1" x14ac:dyDescent="0.25">
      <c r="A197" t="s">
        <v>836</v>
      </c>
      <c r="B197">
        <v>2010</v>
      </c>
      <c r="C197" t="s">
        <v>179</v>
      </c>
      <c r="D197" t="b">
        <f>TRUE()</f>
        <v>1</v>
      </c>
      <c r="E197" t="b">
        <f>COUNTIF(connections!A:A, A197) &gt; 0</f>
        <v>1</v>
      </c>
      <c r="G197" t="s">
        <v>837</v>
      </c>
    </row>
    <row r="198" spans="1:10" ht="15" customHeight="1" x14ac:dyDescent="0.25">
      <c r="A198" t="s">
        <v>838</v>
      </c>
      <c r="B198">
        <v>2025</v>
      </c>
      <c r="C198" t="s">
        <v>176</v>
      </c>
      <c r="D198" t="b">
        <f>TRUE()</f>
        <v>1</v>
      </c>
      <c r="E198" t="b">
        <f>COUNTIF(connections!A:A, A198) &gt; 0</f>
        <v>0</v>
      </c>
      <c r="G198" t="s">
        <v>839</v>
      </c>
      <c r="H198" t="s">
        <v>187</v>
      </c>
      <c r="I198" t="s">
        <v>840</v>
      </c>
      <c r="J198" s="1" t="s">
        <v>841</v>
      </c>
    </row>
    <row r="199" spans="1:10" ht="15" customHeight="1" x14ac:dyDescent="0.25">
      <c r="A199" t="s">
        <v>842</v>
      </c>
      <c r="B199">
        <v>2021</v>
      </c>
      <c r="C199" t="s">
        <v>176</v>
      </c>
      <c r="D199" t="b">
        <f>TRUE()</f>
        <v>1</v>
      </c>
      <c r="E199" t="b">
        <f>COUNTIF(connections!A:A, A199) &gt; 0</f>
        <v>1</v>
      </c>
      <c r="G199" t="s">
        <v>843</v>
      </c>
      <c r="H199" t="s">
        <v>187</v>
      </c>
      <c r="I199" t="s">
        <v>844</v>
      </c>
      <c r="J199" s="1" t="s">
        <v>845</v>
      </c>
    </row>
    <row r="200" spans="1:10" ht="15" customHeight="1" x14ac:dyDescent="0.25">
      <c r="A200" t="s">
        <v>846</v>
      </c>
      <c r="B200">
        <v>2019</v>
      </c>
      <c r="C200" t="s">
        <v>176</v>
      </c>
      <c r="D200" t="b">
        <f>TRUE()</f>
        <v>1</v>
      </c>
      <c r="E200" t="b">
        <f>COUNTIF(connections!A:A, A200) &gt; 0</f>
        <v>0</v>
      </c>
      <c r="G200" t="s">
        <v>847</v>
      </c>
    </row>
    <row r="201" spans="1:10" ht="15" customHeight="1" x14ac:dyDescent="0.25">
      <c r="A201" t="s">
        <v>848</v>
      </c>
      <c r="B201">
        <v>1996</v>
      </c>
      <c r="C201" t="s">
        <v>176</v>
      </c>
      <c r="D201" t="b">
        <f>TRUE()</f>
        <v>1</v>
      </c>
      <c r="E201" t="b">
        <f>COUNTIF(connections!A:A, A201) &gt; 0</f>
        <v>1</v>
      </c>
      <c r="G201" t="s">
        <v>849</v>
      </c>
      <c r="H201" t="s">
        <v>187</v>
      </c>
      <c r="I201" t="s">
        <v>850</v>
      </c>
    </row>
    <row r="202" spans="1:10" ht="15" customHeight="1" x14ac:dyDescent="0.25">
      <c r="A202" t="s">
        <v>851</v>
      </c>
      <c r="B202">
        <v>2024</v>
      </c>
      <c r="C202" t="s">
        <v>182</v>
      </c>
      <c r="D202" t="b">
        <f>TRUE()</f>
        <v>1</v>
      </c>
      <c r="E202" t="b">
        <f>COUNTIF(connections!A:A, A202) &gt; 0</f>
        <v>0</v>
      </c>
      <c r="F202" t="s">
        <v>315</v>
      </c>
      <c r="G202" t="s">
        <v>852</v>
      </c>
      <c r="H202" t="s">
        <v>187</v>
      </c>
      <c r="I202" t="s">
        <v>853</v>
      </c>
      <c r="J202" s="1" t="s">
        <v>854</v>
      </c>
    </row>
    <row r="203" spans="1:10" ht="15" customHeight="1" x14ac:dyDescent="0.25">
      <c r="A203" t="s">
        <v>855</v>
      </c>
      <c r="B203">
        <v>2026</v>
      </c>
      <c r="C203" t="s">
        <v>182</v>
      </c>
      <c r="D203" t="b">
        <f>TRUE()</f>
        <v>1</v>
      </c>
      <c r="E203" t="b">
        <f>COUNTIF(connections!A:A, A203) &gt; 0</f>
        <v>0</v>
      </c>
      <c r="F203" t="s">
        <v>315</v>
      </c>
      <c r="G203" t="s">
        <v>856</v>
      </c>
    </row>
    <row r="204" spans="1:10" ht="15" customHeight="1" x14ac:dyDescent="0.25">
      <c r="A204" t="s">
        <v>857</v>
      </c>
      <c r="B204">
        <v>2025</v>
      </c>
      <c r="C204" t="s">
        <v>182</v>
      </c>
      <c r="D204" t="b">
        <f>TRUE()</f>
        <v>1</v>
      </c>
      <c r="E204" t="b">
        <f>COUNTIF(connections!A:A, A204) &gt; 0</f>
        <v>0</v>
      </c>
      <c r="G204" t="s">
        <v>858</v>
      </c>
      <c r="J204" s="10" t="s">
        <v>859</v>
      </c>
    </row>
    <row r="205" spans="1:10" ht="15" customHeight="1" x14ac:dyDescent="0.25">
      <c r="A205" t="s">
        <v>860</v>
      </c>
      <c r="B205">
        <v>2025</v>
      </c>
      <c r="C205" t="s">
        <v>222</v>
      </c>
      <c r="D205" t="b">
        <f>FALSE()</f>
        <v>0</v>
      </c>
      <c r="E205" t="b">
        <f>COUNTIF(connections!A:A, A205) &gt; 0</f>
        <v>0</v>
      </c>
      <c r="F205" t="s">
        <v>315</v>
      </c>
      <c r="G205" t="s">
        <v>861</v>
      </c>
      <c r="H205" t="s">
        <v>187</v>
      </c>
      <c r="I205" t="s">
        <v>862</v>
      </c>
      <c r="J205" s="10" t="s">
        <v>863</v>
      </c>
    </row>
    <row r="206" spans="1:10" ht="15" customHeight="1" x14ac:dyDescent="0.25">
      <c r="A206" t="s">
        <v>864</v>
      </c>
      <c r="B206">
        <v>2025</v>
      </c>
      <c r="C206" t="s">
        <v>182</v>
      </c>
      <c r="D206" t="b">
        <f>TRUE()</f>
        <v>1</v>
      </c>
      <c r="E206" t="b">
        <f>COUNTIF(connections!A:A, A206) &gt; 0</f>
        <v>0</v>
      </c>
      <c r="F206" t="s">
        <v>315</v>
      </c>
      <c r="G206" t="s">
        <v>865</v>
      </c>
    </row>
    <row r="207" spans="1:10" ht="15" customHeight="1" x14ac:dyDescent="0.25">
      <c r="A207" t="s">
        <v>866</v>
      </c>
      <c r="B207">
        <v>2024</v>
      </c>
      <c r="C207" t="s">
        <v>182</v>
      </c>
      <c r="D207" t="b">
        <f>TRUE()</f>
        <v>1</v>
      </c>
      <c r="E207" t="b">
        <f>COUNTIF(connections!A:A, A207) &gt; 0</f>
        <v>0</v>
      </c>
      <c r="F207" t="s">
        <v>315</v>
      </c>
      <c r="G207" t="s">
        <v>867</v>
      </c>
      <c r="H207" t="s">
        <v>187</v>
      </c>
      <c r="I207" t="s">
        <v>868</v>
      </c>
      <c r="J207" s="10" t="s">
        <v>869</v>
      </c>
    </row>
    <row r="208" spans="1:10" ht="15" customHeight="1" x14ac:dyDescent="0.25">
      <c r="A208" t="s">
        <v>870</v>
      </c>
      <c r="B208">
        <v>2024</v>
      </c>
      <c r="C208" t="s">
        <v>182</v>
      </c>
      <c r="D208" t="b">
        <f>FALSE()</f>
        <v>0</v>
      </c>
      <c r="E208" t="b">
        <f>COUNTIF(connections!A:A, A208) &gt; 0</f>
        <v>0</v>
      </c>
      <c r="F208" t="s">
        <v>315</v>
      </c>
      <c r="G208" t="s">
        <v>871</v>
      </c>
      <c r="H208" t="s">
        <v>187</v>
      </c>
      <c r="I208" t="s">
        <v>872</v>
      </c>
      <c r="J208" s="1" t="s">
        <v>873</v>
      </c>
    </row>
    <row r="209" spans="1:10" ht="15" customHeight="1" x14ac:dyDescent="0.25">
      <c r="A209" t="s">
        <v>874</v>
      </c>
      <c r="B209">
        <v>2019</v>
      </c>
      <c r="C209" t="s">
        <v>182</v>
      </c>
      <c r="D209" t="b">
        <f>TRUE()</f>
        <v>1</v>
      </c>
      <c r="E209" t="b">
        <f>COUNTIF(connections!A:A, A209) &gt; 0</f>
        <v>1</v>
      </c>
      <c r="F209" t="s">
        <v>315</v>
      </c>
      <c r="G209" t="s">
        <v>875</v>
      </c>
      <c r="H209" t="s">
        <v>187</v>
      </c>
      <c r="I209" t="s">
        <v>876</v>
      </c>
      <c r="J209" s="1" t="s">
        <v>877</v>
      </c>
    </row>
    <row r="210" spans="1:10" ht="15" customHeight="1" x14ac:dyDescent="0.25">
      <c r="A210" t="s">
        <v>878</v>
      </c>
      <c r="B210">
        <v>2025</v>
      </c>
      <c r="C210" t="s">
        <v>182</v>
      </c>
      <c r="D210" t="b">
        <f>TRUE()</f>
        <v>1</v>
      </c>
      <c r="E210" t="b">
        <f>COUNTIF(connections!A:A, A210) &gt; 0</f>
        <v>0</v>
      </c>
      <c r="F210" t="s">
        <v>315</v>
      </c>
      <c r="G210" t="s">
        <v>879</v>
      </c>
    </row>
    <row r="211" spans="1:10" ht="15" customHeight="1" x14ac:dyDescent="0.25">
      <c r="A211" t="s">
        <v>880</v>
      </c>
      <c r="B211">
        <v>2025</v>
      </c>
      <c r="C211" t="s">
        <v>182</v>
      </c>
      <c r="D211" t="b">
        <f>TRUE()</f>
        <v>1</v>
      </c>
      <c r="E211" t="b">
        <f>COUNTIF(connections!A:A, A211) &gt; 0</f>
        <v>0</v>
      </c>
      <c r="F211" t="s">
        <v>315</v>
      </c>
      <c r="G211" t="s">
        <v>881</v>
      </c>
      <c r="H211" t="s">
        <v>187</v>
      </c>
      <c r="I211" t="s">
        <v>882</v>
      </c>
      <c r="J211" s="1" t="s">
        <v>883</v>
      </c>
    </row>
    <row r="212" spans="1:10" ht="15" customHeight="1" x14ac:dyDescent="0.25">
      <c r="A212" t="s">
        <v>884</v>
      </c>
      <c r="B212">
        <v>2021</v>
      </c>
      <c r="C212" t="s">
        <v>176</v>
      </c>
      <c r="D212" t="b">
        <f>FALSE()</f>
        <v>0</v>
      </c>
      <c r="E212" t="b">
        <f>COUNTIF(connections!A:A, A212) &gt; 0</f>
        <v>0</v>
      </c>
      <c r="G212" t="s">
        <v>885</v>
      </c>
      <c r="H212" t="s">
        <v>187</v>
      </c>
      <c r="I212" t="s">
        <v>886</v>
      </c>
      <c r="J212" s="1" t="s">
        <v>887</v>
      </c>
    </row>
    <row r="213" spans="1:10" ht="15" customHeight="1" x14ac:dyDescent="0.25">
      <c r="A213" t="s">
        <v>888</v>
      </c>
      <c r="B213">
        <v>2024</v>
      </c>
      <c r="C213" t="s">
        <v>182</v>
      </c>
      <c r="D213" t="b">
        <f>TRUE()</f>
        <v>1</v>
      </c>
      <c r="E213" t="b">
        <f>COUNTIF(connections!A:A, A213) &gt; 0</f>
        <v>0</v>
      </c>
      <c r="G213" t="s">
        <v>889</v>
      </c>
    </row>
    <row r="214" spans="1:10" ht="15" customHeight="1" x14ac:dyDescent="0.25">
      <c r="A214" t="s">
        <v>890</v>
      </c>
      <c r="B214">
        <v>2023</v>
      </c>
      <c r="C214" t="s">
        <v>176</v>
      </c>
      <c r="D214" t="b">
        <f>TRUE()</f>
        <v>1</v>
      </c>
      <c r="E214" t="b">
        <f>COUNTIF(connections!A:A, A214) &gt; 0</f>
        <v>0</v>
      </c>
      <c r="G214" t="s">
        <v>891</v>
      </c>
      <c r="H214" t="s">
        <v>187</v>
      </c>
      <c r="I214" t="s">
        <v>892</v>
      </c>
      <c r="J214" s="1" t="s">
        <v>893</v>
      </c>
    </row>
    <row r="215" spans="1:10" ht="15" customHeight="1" x14ac:dyDescent="0.25">
      <c r="A215" t="s">
        <v>894</v>
      </c>
      <c r="B215">
        <v>2026</v>
      </c>
      <c r="C215" t="s">
        <v>176</v>
      </c>
      <c r="D215" t="b">
        <f>TRUE()</f>
        <v>1</v>
      </c>
      <c r="E215" t="b">
        <f>COUNTIF(connections!A:A, A215) &gt; 0</f>
        <v>0</v>
      </c>
      <c r="G215" t="s">
        <v>895</v>
      </c>
      <c r="J215" s="10" t="s">
        <v>896</v>
      </c>
    </row>
    <row r="216" spans="1:10" ht="15" customHeight="1" x14ac:dyDescent="0.25">
      <c r="A216" t="s">
        <v>897</v>
      </c>
      <c r="B216">
        <v>2024</v>
      </c>
      <c r="C216" t="s">
        <v>182</v>
      </c>
      <c r="D216" t="b">
        <f>TRUE()</f>
        <v>1</v>
      </c>
      <c r="E216" t="b">
        <f>COUNTIF(connections!A:A, A216) &gt; 0</f>
        <v>0</v>
      </c>
      <c r="G216" t="s">
        <v>898</v>
      </c>
    </row>
    <row r="217" spans="1:10" ht="15" customHeight="1" x14ac:dyDescent="0.25">
      <c r="A217" t="s">
        <v>899</v>
      </c>
      <c r="B217">
        <v>2025</v>
      </c>
      <c r="C217" t="s">
        <v>182</v>
      </c>
      <c r="D217" t="b">
        <f>TRUE()</f>
        <v>1</v>
      </c>
      <c r="E217" t="b">
        <f>COUNTIF(connections!A:A, A217) &gt; 0</f>
        <v>0</v>
      </c>
      <c r="G217" t="s">
        <v>900</v>
      </c>
    </row>
    <row r="218" spans="1:10" ht="15" customHeight="1" x14ac:dyDescent="0.25">
      <c r="A218" t="s">
        <v>901</v>
      </c>
      <c r="B218">
        <v>2025</v>
      </c>
      <c r="C218" t="s">
        <v>182</v>
      </c>
      <c r="D218" t="b">
        <f>TRUE()</f>
        <v>1</v>
      </c>
      <c r="E218" t="b">
        <f>COUNTIF(connections!A:A, A218) &gt; 0</f>
        <v>0</v>
      </c>
      <c r="G218" t="s">
        <v>902</v>
      </c>
      <c r="H218" t="s">
        <v>187</v>
      </c>
      <c r="I218" t="s">
        <v>903</v>
      </c>
      <c r="J218" s="1" t="s">
        <v>904</v>
      </c>
    </row>
    <row r="219" spans="1:10" ht="15" customHeight="1" x14ac:dyDescent="0.25">
      <c r="A219" t="s">
        <v>905</v>
      </c>
      <c r="B219">
        <v>2022</v>
      </c>
      <c r="C219" t="s">
        <v>222</v>
      </c>
      <c r="D219" t="b">
        <f>TRUE()</f>
        <v>1</v>
      </c>
      <c r="E219" t="b">
        <f>COUNTIF(connections!A:A, A219) &gt; 0</f>
        <v>1</v>
      </c>
      <c r="F219" t="s">
        <v>906</v>
      </c>
      <c r="G219" t="s">
        <v>907</v>
      </c>
      <c r="H219" t="s">
        <v>187</v>
      </c>
      <c r="I219" t="s">
        <v>908</v>
      </c>
      <c r="J219" s="1" t="s">
        <v>909</v>
      </c>
    </row>
    <row r="220" spans="1:10" ht="15" customHeight="1" x14ac:dyDescent="0.25">
      <c r="A220" t="s">
        <v>910</v>
      </c>
      <c r="B220">
        <v>2026</v>
      </c>
      <c r="C220" t="s">
        <v>222</v>
      </c>
      <c r="D220" t="b">
        <f>TRUE()</f>
        <v>1</v>
      </c>
      <c r="E220" t="b">
        <f>COUNTIF(connections!A:A, A220) &gt; 0</f>
        <v>0</v>
      </c>
      <c r="G220" t="s">
        <v>911</v>
      </c>
      <c r="J220" s="10" t="s">
        <v>912</v>
      </c>
    </row>
    <row r="221" spans="1:10" ht="15" customHeight="1" x14ac:dyDescent="0.25">
      <c r="A221" t="s">
        <v>913</v>
      </c>
      <c r="B221">
        <v>2026</v>
      </c>
      <c r="C221" t="s">
        <v>176</v>
      </c>
      <c r="D221" t="b">
        <f>FALSE()</f>
        <v>0</v>
      </c>
      <c r="E221" t="b">
        <f>COUNTIF(connections!A:A, A221) &gt; 0</f>
        <v>0</v>
      </c>
      <c r="G221" t="s">
        <v>914</v>
      </c>
    </row>
    <row r="222" spans="1:10" ht="15" customHeight="1" x14ac:dyDescent="0.25">
      <c r="A222" t="s">
        <v>915</v>
      </c>
      <c r="B222">
        <v>2013</v>
      </c>
      <c r="C222" t="s">
        <v>176</v>
      </c>
      <c r="D222" t="b">
        <f>TRUE()</f>
        <v>1</v>
      </c>
      <c r="E222" t="b">
        <f>COUNTIF(connections!A:A, A222) &gt; 0</f>
        <v>1</v>
      </c>
      <c r="G222" t="s">
        <v>916</v>
      </c>
      <c r="H222" t="s">
        <v>187</v>
      </c>
      <c r="I222" t="s">
        <v>917</v>
      </c>
      <c r="J222" s="1" t="s">
        <v>918</v>
      </c>
    </row>
    <row r="223" spans="1:10" ht="15" customHeight="1" x14ac:dyDescent="0.25">
      <c r="A223" t="s">
        <v>919</v>
      </c>
      <c r="B223">
        <v>2014</v>
      </c>
      <c r="C223" t="s">
        <v>176</v>
      </c>
      <c r="D223" t="b">
        <f>TRUE()</f>
        <v>1</v>
      </c>
      <c r="E223" t="b">
        <f>COUNTIF(connections!A:A, A223) &gt; 0</f>
        <v>0</v>
      </c>
      <c r="G223" t="s">
        <v>920</v>
      </c>
      <c r="H223" t="s">
        <v>187</v>
      </c>
      <c r="I223" t="s">
        <v>921</v>
      </c>
      <c r="J223" s="1" t="s">
        <v>922</v>
      </c>
    </row>
    <row r="224" spans="1:10" ht="15" customHeight="1" x14ac:dyDescent="0.25">
      <c r="A224" t="s">
        <v>923</v>
      </c>
      <c r="B224">
        <v>2002</v>
      </c>
      <c r="C224" t="s">
        <v>179</v>
      </c>
      <c r="D224" t="b">
        <f>TRUE()</f>
        <v>1</v>
      </c>
      <c r="E224" t="b">
        <f>COUNTIF(connections!A:A, A224) &gt; 0</f>
        <v>1</v>
      </c>
      <c r="G224" t="s">
        <v>924</v>
      </c>
    </row>
    <row r="225" spans="1:10" ht="15" customHeight="1" x14ac:dyDescent="0.25">
      <c r="A225" t="s">
        <v>925</v>
      </c>
      <c r="B225">
        <v>2019</v>
      </c>
      <c r="C225" t="s">
        <v>222</v>
      </c>
      <c r="D225" t="b">
        <f>TRUE()</f>
        <v>1</v>
      </c>
      <c r="E225" t="b">
        <f>COUNTIF(connections!A:A, A225) &gt; 0</f>
        <v>1</v>
      </c>
      <c r="G225" t="s">
        <v>926</v>
      </c>
    </row>
    <row r="226" spans="1:10" ht="15" customHeight="1" x14ac:dyDescent="0.25">
      <c r="A226" t="s">
        <v>927</v>
      </c>
      <c r="B226">
        <v>2023</v>
      </c>
      <c r="C226" t="s">
        <v>176</v>
      </c>
      <c r="D226" t="b">
        <f>FALSE()</f>
        <v>0</v>
      </c>
      <c r="E226" t="b">
        <f>COUNTIF(connections!A:A, A226) &gt; 0</f>
        <v>0</v>
      </c>
      <c r="F226" t="s">
        <v>229</v>
      </c>
      <c r="G226" t="s">
        <v>928</v>
      </c>
      <c r="H226" t="s">
        <v>187</v>
      </c>
      <c r="I226" t="s">
        <v>929</v>
      </c>
      <c r="J226" s="1" t="s">
        <v>930</v>
      </c>
    </row>
    <row r="227" spans="1:10" ht="15" customHeight="1" x14ac:dyDescent="0.25">
      <c r="A227" t="s">
        <v>931</v>
      </c>
      <c r="B227">
        <v>2015</v>
      </c>
      <c r="C227" t="s">
        <v>176</v>
      </c>
      <c r="D227" t="b">
        <f>TRUE()</f>
        <v>1</v>
      </c>
      <c r="E227" t="b">
        <f>COUNTIF(connections!A:A, A227) &gt; 0</f>
        <v>1</v>
      </c>
      <c r="G227" t="s">
        <v>932</v>
      </c>
      <c r="H227" t="s">
        <v>187</v>
      </c>
      <c r="I227" t="s">
        <v>933</v>
      </c>
      <c r="J227" s="1" t="s">
        <v>934</v>
      </c>
    </row>
    <row r="228" spans="1:10" ht="15" customHeight="1" x14ac:dyDescent="0.25">
      <c r="A228" t="s">
        <v>935</v>
      </c>
      <c r="B228">
        <v>1990</v>
      </c>
      <c r="C228" t="s">
        <v>179</v>
      </c>
      <c r="D228" t="b">
        <f>TRUE()</f>
        <v>1</v>
      </c>
      <c r="E228" t="b">
        <f>COUNTIF(connections!A:A, A228) &gt; 0</f>
        <v>0</v>
      </c>
      <c r="G228" t="s">
        <v>936</v>
      </c>
      <c r="H228" t="s">
        <v>187</v>
      </c>
      <c r="I228" t="s">
        <v>937</v>
      </c>
    </row>
    <row r="229" spans="1:10" ht="15" customHeight="1" x14ac:dyDescent="0.25">
      <c r="A229" t="s">
        <v>7904</v>
      </c>
      <c r="B229">
        <v>2026</v>
      </c>
      <c r="C229" t="s">
        <v>179</v>
      </c>
      <c r="D229" t="b">
        <f>TRUE()</f>
        <v>1</v>
      </c>
      <c r="E229" t="b">
        <f>COUNTIF(connections!A:A, A229) &gt; 0</f>
        <v>0</v>
      </c>
      <c r="G229" t="s">
        <v>7918</v>
      </c>
      <c r="J229" s="10" t="s">
        <v>7905</v>
      </c>
    </row>
    <row r="230" spans="1:10" ht="15" customHeight="1" x14ac:dyDescent="0.25">
      <c r="A230" t="s">
        <v>938</v>
      </c>
      <c r="B230">
        <v>2006</v>
      </c>
      <c r="C230" t="s">
        <v>179</v>
      </c>
      <c r="D230" t="b">
        <f>TRUE()</f>
        <v>1</v>
      </c>
      <c r="E230" t="b">
        <f>COUNTIF(connections!A:A, A230) &gt; 0</f>
        <v>0</v>
      </c>
      <c r="G230" t="s">
        <v>939</v>
      </c>
      <c r="H230" t="s">
        <v>187</v>
      </c>
      <c r="I230" t="s">
        <v>940</v>
      </c>
    </row>
    <row r="231" spans="1:10" ht="15" customHeight="1" x14ac:dyDescent="0.25">
      <c r="A231" t="s">
        <v>941</v>
      </c>
      <c r="B231">
        <v>2003</v>
      </c>
      <c r="C231" t="s">
        <v>179</v>
      </c>
      <c r="D231" t="b">
        <f>TRUE()</f>
        <v>1</v>
      </c>
      <c r="E231" t="b">
        <f>COUNTIF(connections!A:A, A231) &gt; 0</f>
        <v>0</v>
      </c>
      <c r="G231" t="s">
        <v>942</v>
      </c>
    </row>
    <row r="232" spans="1:10" ht="15" customHeight="1" x14ac:dyDescent="0.25">
      <c r="A232" t="s">
        <v>943</v>
      </c>
      <c r="B232">
        <v>2025</v>
      </c>
      <c r="C232" t="s">
        <v>222</v>
      </c>
      <c r="D232" t="b">
        <v>0</v>
      </c>
      <c r="E232" t="b">
        <v>0</v>
      </c>
      <c r="G232" t="s">
        <v>944</v>
      </c>
      <c r="H232" t="s">
        <v>187</v>
      </c>
      <c r="I232" t="s">
        <v>945</v>
      </c>
      <c r="J232" s="10" t="s">
        <v>946</v>
      </c>
    </row>
    <row r="233" spans="1:10" ht="15" customHeight="1" x14ac:dyDescent="0.25">
      <c r="A233" t="s">
        <v>947</v>
      </c>
      <c r="B233">
        <v>2014</v>
      </c>
      <c r="C233" t="s">
        <v>182</v>
      </c>
      <c r="D233" t="b">
        <f>TRUE()</f>
        <v>1</v>
      </c>
      <c r="E233" t="b">
        <f>COUNTIF(connections!A:A, A233) &gt; 0</f>
        <v>1</v>
      </c>
      <c r="G233" t="s">
        <v>948</v>
      </c>
    </row>
    <row r="234" spans="1:10" ht="15" customHeight="1" x14ac:dyDescent="0.25">
      <c r="A234" t="s">
        <v>949</v>
      </c>
      <c r="B234">
        <v>2020</v>
      </c>
      <c r="C234" t="s">
        <v>176</v>
      </c>
      <c r="D234" t="b">
        <f>TRUE()</f>
        <v>1</v>
      </c>
      <c r="E234" t="b">
        <f>COUNTIF(connections!A:A, A234) &gt; 0</f>
        <v>0</v>
      </c>
      <c r="G234" t="s">
        <v>950</v>
      </c>
      <c r="H234" t="s">
        <v>187</v>
      </c>
      <c r="I234" t="s">
        <v>951</v>
      </c>
      <c r="J234" s="1" t="s">
        <v>952</v>
      </c>
    </row>
    <row r="235" spans="1:10" ht="15" customHeight="1" x14ac:dyDescent="0.25">
      <c r="A235" t="s">
        <v>953</v>
      </c>
      <c r="B235">
        <v>2024</v>
      </c>
      <c r="C235" t="s">
        <v>222</v>
      </c>
      <c r="D235" t="b">
        <f>TRUE()</f>
        <v>1</v>
      </c>
      <c r="E235" t="b">
        <f>COUNTIF(connections!A:A, A235) &gt; 0</f>
        <v>0</v>
      </c>
      <c r="F235" t="s">
        <v>617</v>
      </c>
      <c r="G235" t="s">
        <v>954</v>
      </c>
    </row>
    <row r="236" spans="1:10" ht="15" customHeight="1" x14ac:dyDescent="0.25">
      <c r="A236" t="s">
        <v>955</v>
      </c>
      <c r="B236">
        <v>2025</v>
      </c>
      <c r="C236" t="s">
        <v>222</v>
      </c>
      <c r="D236" t="b">
        <f>TRUE()</f>
        <v>1</v>
      </c>
      <c r="E236" t="b">
        <f>COUNTIF(connections!A:A, A236) &gt; 0</f>
        <v>0</v>
      </c>
      <c r="G236" t="s">
        <v>956</v>
      </c>
      <c r="H236" t="s">
        <v>187</v>
      </c>
      <c r="I236" t="s">
        <v>957</v>
      </c>
      <c r="J236" s="10" t="s">
        <v>958</v>
      </c>
    </row>
    <row r="237" spans="1:10" ht="15" customHeight="1" x14ac:dyDescent="0.25">
      <c r="A237" t="s">
        <v>959</v>
      </c>
      <c r="B237">
        <v>2025</v>
      </c>
      <c r="C237" t="s">
        <v>222</v>
      </c>
      <c r="D237" t="b">
        <f>TRUE()</f>
        <v>1</v>
      </c>
      <c r="E237" t="b">
        <f>COUNTIF(connections!A:A, A237) &gt; 0</f>
        <v>0</v>
      </c>
      <c r="G237" t="s">
        <v>960</v>
      </c>
    </row>
    <row r="238" spans="1:10" ht="15" customHeight="1" x14ac:dyDescent="0.25">
      <c r="A238" t="s">
        <v>961</v>
      </c>
      <c r="B238">
        <v>2024</v>
      </c>
      <c r="C238" t="s">
        <v>182</v>
      </c>
      <c r="D238" t="b">
        <f>TRUE()</f>
        <v>1</v>
      </c>
      <c r="E238" t="b">
        <f>COUNTIF(connections!A:A, A238) &gt; 0</f>
        <v>1</v>
      </c>
      <c r="F238" t="s">
        <v>354</v>
      </c>
      <c r="G238" t="s">
        <v>962</v>
      </c>
      <c r="H238" t="s">
        <v>187</v>
      </c>
      <c r="I238" t="s">
        <v>963</v>
      </c>
      <c r="J238" s="1" t="s">
        <v>964</v>
      </c>
    </row>
    <row r="239" spans="1:10" ht="15" customHeight="1" x14ac:dyDescent="0.25">
      <c r="A239" t="s">
        <v>965</v>
      </c>
      <c r="B239">
        <v>2006</v>
      </c>
      <c r="C239" t="s">
        <v>179</v>
      </c>
      <c r="D239" t="b">
        <f>TRUE()</f>
        <v>1</v>
      </c>
      <c r="E239" t="b">
        <f>COUNTIF(connections!A:A, A239) &gt; 0</f>
        <v>1</v>
      </c>
      <c r="G239" t="s">
        <v>966</v>
      </c>
      <c r="H239" t="s">
        <v>187</v>
      </c>
      <c r="I239" t="s">
        <v>967</v>
      </c>
    </row>
    <row r="240" spans="1:10" ht="15" customHeight="1" x14ac:dyDescent="0.25">
      <c r="A240" t="s">
        <v>968</v>
      </c>
      <c r="B240">
        <v>2021</v>
      </c>
      <c r="C240" t="s">
        <v>222</v>
      </c>
      <c r="D240" t="b">
        <f>FALSE()</f>
        <v>0</v>
      </c>
      <c r="E240" t="b">
        <f>COUNTIF(connections!A:A, A240) &gt; 0</f>
        <v>0</v>
      </c>
      <c r="F240" t="s">
        <v>614</v>
      </c>
      <c r="G240" t="s">
        <v>969</v>
      </c>
      <c r="H240" t="s">
        <v>187</v>
      </c>
      <c r="I240" t="s">
        <v>970</v>
      </c>
      <c r="J240" s="1" t="s">
        <v>971</v>
      </c>
    </row>
    <row r="241" spans="1:10" ht="15" customHeight="1" x14ac:dyDescent="0.25">
      <c r="A241" t="s">
        <v>972</v>
      </c>
      <c r="B241">
        <v>2023</v>
      </c>
      <c r="C241" t="s">
        <v>179</v>
      </c>
      <c r="D241" t="b">
        <f>TRUE()</f>
        <v>1</v>
      </c>
      <c r="E241" t="b">
        <f>COUNTIF(connections!A:A, A241) &gt; 0</f>
        <v>0</v>
      </c>
      <c r="G241" t="s">
        <v>973</v>
      </c>
      <c r="H241" t="s">
        <v>187</v>
      </c>
      <c r="I241" t="s">
        <v>974</v>
      </c>
      <c r="J241" s="10" t="s">
        <v>975</v>
      </c>
    </row>
    <row r="242" spans="1:10" ht="15" customHeight="1" x14ac:dyDescent="0.25">
      <c r="A242" t="s">
        <v>976</v>
      </c>
      <c r="B242">
        <v>1993</v>
      </c>
      <c r="C242" t="s">
        <v>176</v>
      </c>
      <c r="D242" t="b">
        <f>FALSE()</f>
        <v>0</v>
      </c>
      <c r="E242" t="b">
        <f>COUNTIF(connections!A:A, A242) &gt; 0</f>
        <v>0</v>
      </c>
      <c r="G242" t="s">
        <v>977</v>
      </c>
    </row>
    <row r="243" spans="1:10" ht="15" customHeight="1" x14ac:dyDescent="0.25">
      <c r="A243" t="s">
        <v>978</v>
      </c>
      <c r="B243">
        <v>2008</v>
      </c>
      <c r="C243" t="s">
        <v>179</v>
      </c>
      <c r="D243" t="b">
        <f>TRUE()</f>
        <v>1</v>
      </c>
      <c r="E243" t="b">
        <f>COUNTIF(connections!A:A, A243) &gt; 0</f>
        <v>0</v>
      </c>
      <c r="G243" t="s">
        <v>979</v>
      </c>
      <c r="H243" t="s">
        <v>187</v>
      </c>
      <c r="I243" t="s">
        <v>980</v>
      </c>
    </row>
    <row r="244" spans="1:10" ht="15" customHeight="1" x14ac:dyDescent="0.25">
      <c r="A244" t="s">
        <v>981</v>
      </c>
      <c r="B244">
        <v>2016</v>
      </c>
      <c r="C244" t="s">
        <v>222</v>
      </c>
      <c r="D244" t="b">
        <f>TRUE()</f>
        <v>1</v>
      </c>
      <c r="E244" t="b">
        <f>COUNTIF(connections!A:A, A244) &gt; 0</f>
        <v>0</v>
      </c>
      <c r="G244" t="s">
        <v>982</v>
      </c>
      <c r="H244" t="s">
        <v>187</v>
      </c>
      <c r="I244" t="s">
        <v>983</v>
      </c>
      <c r="J244" s="10" t="s">
        <v>984</v>
      </c>
    </row>
    <row r="245" spans="1:10" ht="15" customHeight="1" x14ac:dyDescent="0.25">
      <c r="A245" t="s">
        <v>985</v>
      </c>
      <c r="B245">
        <v>2010</v>
      </c>
      <c r="C245" t="s">
        <v>179</v>
      </c>
      <c r="D245" t="b">
        <f>TRUE()</f>
        <v>1</v>
      </c>
      <c r="E245" t="b">
        <f>COUNTIF(connections!A:A, A245) &gt; 0</f>
        <v>1</v>
      </c>
      <c r="G245" t="s">
        <v>986</v>
      </c>
      <c r="H245" t="s">
        <v>187</v>
      </c>
      <c r="I245" t="s">
        <v>987</v>
      </c>
      <c r="J245" s="1" t="s">
        <v>988</v>
      </c>
    </row>
    <row r="246" spans="1:10" ht="15" customHeight="1" x14ac:dyDescent="0.25">
      <c r="A246" t="s">
        <v>989</v>
      </c>
      <c r="B246">
        <v>2024</v>
      </c>
      <c r="C246" t="s">
        <v>182</v>
      </c>
      <c r="D246" t="b">
        <f>TRUE()</f>
        <v>1</v>
      </c>
      <c r="E246" t="b">
        <f>COUNTIF(connections!A:A, A246) &gt; 0</f>
        <v>0</v>
      </c>
      <c r="F246" t="s">
        <v>354</v>
      </c>
      <c r="G246" t="s">
        <v>990</v>
      </c>
      <c r="H246" t="s">
        <v>187</v>
      </c>
      <c r="I246" t="s">
        <v>991</v>
      </c>
      <c r="J246" s="1" t="s">
        <v>992</v>
      </c>
    </row>
    <row r="247" spans="1:10" ht="15" customHeight="1" x14ac:dyDescent="0.25">
      <c r="A247" t="s">
        <v>993</v>
      </c>
      <c r="B247">
        <v>2024</v>
      </c>
      <c r="C247" t="s">
        <v>176</v>
      </c>
      <c r="D247" t="b">
        <f>TRUE()</f>
        <v>1</v>
      </c>
      <c r="E247" t="b">
        <f>COUNTIF(connections!A:A, A247) &gt; 0</f>
        <v>0</v>
      </c>
      <c r="G247" t="s">
        <v>994</v>
      </c>
    </row>
    <row r="248" spans="1:10" ht="15" customHeight="1" x14ac:dyDescent="0.25">
      <c r="A248" t="s">
        <v>995</v>
      </c>
      <c r="B248">
        <v>2011</v>
      </c>
      <c r="C248" t="s">
        <v>179</v>
      </c>
      <c r="D248" t="b">
        <f>TRUE()</f>
        <v>1</v>
      </c>
      <c r="E248" t="b">
        <f>COUNTIF(connections!A:A, A248) &gt; 0</f>
        <v>1</v>
      </c>
      <c r="G248" t="s">
        <v>996</v>
      </c>
      <c r="H248" t="s">
        <v>187</v>
      </c>
      <c r="I248" t="s">
        <v>997</v>
      </c>
      <c r="J248" s="1" t="s">
        <v>998</v>
      </c>
    </row>
    <row r="249" spans="1:10" ht="15" customHeight="1" x14ac:dyDescent="0.25">
      <c r="A249" t="s">
        <v>999</v>
      </c>
      <c r="B249">
        <v>2018</v>
      </c>
      <c r="C249" t="s">
        <v>176</v>
      </c>
      <c r="D249" t="b">
        <f>TRUE()</f>
        <v>1</v>
      </c>
      <c r="E249" t="b">
        <f>COUNTIF(connections!A:A, A249) &gt; 0</f>
        <v>1</v>
      </c>
      <c r="G249" t="s">
        <v>1000</v>
      </c>
      <c r="H249" t="s">
        <v>187</v>
      </c>
      <c r="I249" t="s">
        <v>1001</v>
      </c>
      <c r="J249" s="1" t="s">
        <v>1002</v>
      </c>
    </row>
    <row r="250" spans="1:10" ht="15" customHeight="1" x14ac:dyDescent="0.25">
      <c r="A250" t="s">
        <v>1003</v>
      </c>
      <c r="B250">
        <v>2025</v>
      </c>
      <c r="C250" t="s">
        <v>176</v>
      </c>
      <c r="D250" t="b">
        <f>TRUE()</f>
        <v>1</v>
      </c>
      <c r="E250" t="b">
        <f>COUNTIF(connections!A:A, A250) &gt; 0</f>
        <v>0</v>
      </c>
      <c r="G250" t="s">
        <v>1004</v>
      </c>
    </row>
    <row r="251" spans="1:10" ht="15" customHeight="1" x14ac:dyDescent="0.25">
      <c r="A251" t="s">
        <v>1005</v>
      </c>
      <c r="B251">
        <v>2006</v>
      </c>
      <c r="C251" t="s">
        <v>222</v>
      </c>
      <c r="D251" t="b">
        <f>TRUE()</f>
        <v>1</v>
      </c>
      <c r="E251" t="b">
        <f>COUNTIF(connections!A:A, A251) &gt; 0</f>
        <v>1</v>
      </c>
      <c r="G251" t="s">
        <v>1006</v>
      </c>
      <c r="H251" t="s">
        <v>187</v>
      </c>
      <c r="I251" t="s">
        <v>1007</v>
      </c>
      <c r="J251" s="1" t="s">
        <v>1008</v>
      </c>
    </row>
    <row r="252" spans="1:10" ht="15" customHeight="1" x14ac:dyDescent="0.25">
      <c r="A252" t="s">
        <v>1009</v>
      </c>
      <c r="B252">
        <v>2023</v>
      </c>
      <c r="C252" t="s">
        <v>222</v>
      </c>
      <c r="D252" t="b">
        <f>TRUE()</f>
        <v>1</v>
      </c>
      <c r="E252" t="b">
        <f>COUNTIF(connections!A:A, A252) &gt; 0</f>
        <v>0</v>
      </c>
      <c r="G252" t="s">
        <v>1010</v>
      </c>
    </row>
    <row r="253" spans="1:10" ht="15" customHeight="1" x14ac:dyDescent="0.25">
      <c r="A253" t="s">
        <v>1011</v>
      </c>
      <c r="B253">
        <v>2025</v>
      </c>
      <c r="C253" t="s">
        <v>176</v>
      </c>
      <c r="D253" t="b">
        <f>TRUE()</f>
        <v>1</v>
      </c>
      <c r="E253" t="b">
        <f>COUNTIF(connections!A:A, A253) &gt; 0</f>
        <v>1</v>
      </c>
      <c r="G253" t="s">
        <v>1012</v>
      </c>
      <c r="H253" t="s">
        <v>187</v>
      </c>
      <c r="I253" t="s">
        <v>1013</v>
      </c>
      <c r="J253" s="1" t="s">
        <v>1014</v>
      </c>
    </row>
    <row r="254" spans="1:10" ht="15" customHeight="1" x14ac:dyDescent="0.25">
      <c r="A254" t="s">
        <v>1015</v>
      </c>
      <c r="B254">
        <v>2013</v>
      </c>
      <c r="C254" t="s">
        <v>176</v>
      </c>
      <c r="D254" t="b">
        <f>TRUE()</f>
        <v>1</v>
      </c>
      <c r="E254" t="b">
        <f>COUNTIF(connections!A:A, A254) &gt; 0</f>
        <v>0</v>
      </c>
      <c r="G254" t="s">
        <v>1016</v>
      </c>
      <c r="J254" s="10" t="s">
        <v>1017</v>
      </c>
    </row>
    <row r="255" spans="1:10" ht="15" customHeight="1" x14ac:dyDescent="0.25">
      <c r="A255" t="s">
        <v>1018</v>
      </c>
      <c r="B255">
        <v>2023</v>
      </c>
      <c r="C255" t="s">
        <v>176</v>
      </c>
      <c r="D255" t="b">
        <f>TRUE()</f>
        <v>1</v>
      </c>
      <c r="E255" t="b">
        <f>COUNTIF(connections!A:A, A255) &gt; 0</f>
        <v>0</v>
      </c>
      <c r="G255" t="s">
        <v>1019</v>
      </c>
      <c r="H255" t="s">
        <v>187</v>
      </c>
      <c r="I255" t="s">
        <v>1020</v>
      </c>
      <c r="J255" s="1" t="s">
        <v>1021</v>
      </c>
    </row>
    <row r="256" spans="1:10" ht="15" customHeight="1" x14ac:dyDescent="0.25">
      <c r="A256" t="s">
        <v>1022</v>
      </c>
      <c r="B256">
        <v>2023</v>
      </c>
      <c r="C256" t="s">
        <v>176</v>
      </c>
      <c r="D256" t="b">
        <f>TRUE()</f>
        <v>1</v>
      </c>
      <c r="E256" t="b">
        <f>COUNTIF(connections!A:A, A256) &gt; 0</f>
        <v>0</v>
      </c>
      <c r="G256" t="s">
        <v>1023</v>
      </c>
      <c r="H256" t="s">
        <v>187</v>
      </c>
      <c r="I256" t="s">
        <v>1024</v>
      </c>
      <c r="J256" s="10" t="s">
        <v>1025</v>
      </c>
    </row>
    <row r="257" spans="1:10" ht="15" customHeight="1" x14ac:dyDescent="0.25">
      <c r="A257" t="s">
        <v>1026</v>
      </c>
      <c r="B257">
        <v>2024</v>
      </c>
      <c r="C257" t="s">
        <v>179</v>
      </c>
      <c r="D257" t="b">
        <f>TRUE()</f>
        <v>1</v>
      </c>
      <c r="E257" t="b">
        <f>COUNTIF(connections!A:A, A257) &gt; 0</f>
        <v>0</v>
      </c>
      <c r="G257" t="s">
        <v>1027</v>
      </c>
    </row>
    <row r="258" spans="1:10" ht="15" customHeight="1" x14ac:dyDescent="0.25">
      <c r="A258" t="s">
        <v>1028</v>
      </c>
      <c r="B258">
        <v>2008</v>
      </c>
      <c r="C258" t="s">
        <v>179</v>
      </c>
      <c r="D258" t="b">
        <f>TRUE()</f>
        <v>1</v>
      </c>
      <c r="E258" t="b">
        <f>COUNTIF(connections!A:A, A258) &gt; 0</f>
        <v>1</v>
      </c>
      <c r="G258" t="s">
        <v>1029</v>
      </c>
    </row>
    <row r="259" spans="1:10" ht="15" customHeight="1" x14ac:dyDescent="0.25">
      <c r="A259" t="s">
        <v>1030</v>
      </c>
      <c r="B259">
        <v>2022</v>
      </c>
      <c r="C259" t="s">
        <v>176</v>
      </c>
      <c r="D259" t="b">
        <f>TRUE()</f>
        <v>1</v>
      </c>
      <c r="E259" t="b">
        <f>COUNTIF(connections!A:A, A259) &gt; 0</f>
        <v>1</v>
      </c>
      <c r="F259" t="s">
        <v>1031</v>
      </c>
      <c r="G259" t="s">
        <v>1032</v>
      </c>
      <c r="H259" t="s">
        <v>187</v>
      </c>
      <c r="I259" t="s">
        <v>1033</v>
      </c>
      <c r="J259" s="1" t="s">
        <v>1034</v>
      </c>
    </row>
    <row r="260" spans="1:10" ht="15" customHeight="1" x14ac:dyDescent="0.25">
      <c r="A260" t="s">
        <v>1035</v>
      </c>
      <c r="B260">
        <v>2024</v>
      </c>
      <c r="C260" t="s">
        <v>222</v>
      </c>
      <c r="D260" t="b">
        <f>TRUE()</f>
        <v>1</v>
      </c>
      <c r="E260" t="b">
        <f>COUNTIF(connections!A:A, A260) &gt; 0</f>
        <v>0</v>
      </c>
      <c r="F260" t="s">
        <v>404</v>
      </c>
      <c r="G260" t="s">
        <v>1036</v>
      </c>
      <c r="H260" t="s">
        <v>187</v>
      </c>
      <c r="I260" t="s">
        <v>1037</v>
      </c>
      <c r="J260" s="1" t="s">
        <v>1038</v>
      </c>
    </row>
    <row r="261" spans="1:10" ht="15" customHeight="1" x14ac:dyDescent="0.25">
      <c r="A261" t="s">
        <v>1039</v>
      </c>
      <c r="B261">
        <v>2023</v>
      </c>
      <c r="C261" t="s">
        <v>182</v>
      </c>
      <c r="D261" t="b">
        <f>TRUE()</f>
        <v>1</v>
      </c>
      <c r="E261" t="b">
        <f>COUNTIF(connections!A:A, A261) &gt; 0</f>
        <v>0</v>
      </c>
      <c r="G261" t="s">
        <v>1040</v>
      </c>
      <c r="H261" t="s">
        <v>187</v>
      </c>
      <c r="I261" t="s">
        <v>1041</v>
      </c>
      <c r="J261" s="1" t="s">
        <v>1042</v>
      </c>
    </row>
    <row r="262" spans="1:10" ht="15" customHeight="1" x14ac:dyDescent="0.25">
      <c r="A262" t="s">
        <v>1043</v>
      </c>
      <c r="B262">
        <v>2025</v>
      </c>
      <c r="C262" t="s">
        <v>176</v>
      </c>
      <c r="D262" t="b">
        <f>TRUE()</f>
        <v>1</v>
      </c>
      <c r="E262" t="b">
        <f>COUNTIF(connections!A:A, A262) &gt; 0</f>
        <v>0</v>
      </c>
      <c r="G262" t="s">
        <v>1044</v>
      </c>
      <c r="H262" t="s">
        <v>187</v>
      </c>
      <c r="I262" t="s">
        <v>1045</v>
      </c>
      <c r="J262" s="1" t="s">
        <v>1046</v>
      </c>
    </row>
    <row r="263" spans="1:10" ht="15" customHeight="1" x14ac:dyDescent="0.25">
      <c r="A263" t="s">
        <v>1047</v>
      </c>
      <c r="B263">
        <v>2016</v>
      </c>
      <c r="C263" t="s">
        <v>176</v>
      </c>
      <c r="D263" t="b">
        <f>TRUE()</f>
        <v>1</v>
      </c>
      <c r="E263" t="b">
        <f>COUNTIF(connections!A:A, A263) &gt; 0</f>
        <v>1</v>
      </c>
      <c r="G263" t="s">
        <v>1048</v>
      </c>
      <c r="H263" t="s">
        <v>187</v>
      </c>
      <c r="I263" t="s">
        <v>1049</v>
      </c>
      <c r="J263" s="1" t="s">
        <v>1050</v>
      </c>
    </row>
    <row r="264" spans="1:10" ht="15" customHeight="1" x14ac:dyDescent="0.25">
      <c r="A264" t="s">
        <v>1051</v>
      </c>
      <c r="B264">
        <v>2025</v>
      </c>
      <c r="C264" t="s">
        <v>222</v>
      </c>
      <c r="D264" t="b">
        <f>TRUE()</f>
        <v>1</v>
      </c>
      <c r="E264" t="b">
        <f>COUNTIF(connections!A:A, A264) &gt; 0</f>
        <v>0</v>
      </c>
      <c r="G264" t="s">
        <v>1052</v>
      </c>
    </row>
    <row r="265" spans="1:10" ht="15" customHeight="1" x14ac:dyDescent="0.25">
      <c r="A265" t="s">
        <v>1053</v>
      </c>
      <c r="B265">
        <v>2004</v>
      </c>
      <c r="C265" t="s">
        <v>179</v>
      </c>
      <c r="D265" t="b">
        <f>TRUE()</f>
        <v>1</v>
      </c>
      <c r="E265" t="b">
        <f>COUNTIF(connections!A:A, A265) &gt; 0</f>
        <v>0</v>
      </c>
      <c r="G265" t="s">
        <v>1054</v>
      </c>
      <c r="H265" t="s">
        <v>187</v>
      </c>
      <c r="I265" t="s">
        <v>1055</v>
      </c>
    </row>
    <row r="266" spans="1:10" ht="15" customHeight="1" x14ac:dyDescent="0.25">
      <c r="A266" t="s">
        <v>1056</v>
      </c>
      <c r="B266">
        <v>2015</v>
      </c>
      <c r="C266" t="s">
        <v>179</v>
      </c>
      <c r="D266" t="b">
        <f>TRUE()</f>
        <v>1</v>
      </c>
      <c r="E266" t="b">
        <f>COUNTIF(connections!A:A, A266) &gt; 0</f>
        <v>1</v>
      </c>
      <c r="G266" t="s">
        <v>1057</v>
      </c>
    </row>
    <row r="267" spans="1:10" ht="15" customHeight="1" x14ac:dyDescent="0.25">
      <c r="A267" t="s">
        <v>1058</v>
      </c>
      <c r="B267">
        <v>2017</v>
      </c>
      <c r="C267" t="s">
        <v>179</v>
      </c>
      <c r="D267" t="b">
        <f>TRUE()</f>
        <v>1</v>
      </c>
      <c r="E267" t="b">
        <f>COUNTIF(connections!A:A, A267) &gt; 0</f>
        <v>0</v>
      </c>
      <c r="G267" t="s">
        <v>1059</v>
      </c>
    </row>
    <row r="268" spans="1:10" ht="15" customHeight="1" x14ac:dyDescent="0.25">
      <c r="A268" t="s">
        <v>1060</v>
      </c>
      <c r="B268">
        <v>2026</v>
      </c>
      <c r="C268" t="s">
        <v>176</v>
      </c>
      <c r="D268" t="b">
        <f>TRUE()</f>
        <v>1</v>
      </c>
      <c r="E268" t="b">
        <f>COUNTIF(connections!A:A, A268) &gt; 0</f>
        <v>0</v>
      </c>
      <c r="G268" t="s">
        <v>1061</v>
      </c>
      <c r="H268" t="s">
        <v>187</v>
      </c>
      <c r="I268" t="s">
        <v>1062</v>
      </c>
      <c r="J268" s="1" t="s">
        <v>1063</v>
      </c>
    </row>
    <row r="269" spans="1:10" ht="15" customHeight="1" x14ac:dyDescent="0.25">
      <c r="A269" t="s">
        <v>1064</v>
      </c>
      <c r="B269">
        <v>2023</v>
      </c>
      <c r="C269" t="s">
        <v>176</v>
      </c>
      <c r="D269" t="b">
        <f>FALSE()</f>
        <v>0</v>
      </c>
      <c r="E269" t="b">
        <f>COUNTIF(connections!A:A, A269) &gt; 0</f>
        <v>0</v>
      </c>
      <c r="G269" t="s">
        <v>1065</v>
      </c>
      <c r="H269" t="s">
        <v>187</v>
      </c>
      <c r="I269" t="s">
        <v>1066</v>
      </c>
      <c r="J269" s="1" t="s">
        <v>1067</v>
      </c>
    </row>
    <row r="270" spans="1:10" ht="15" customHeight="1" x14ac:dyDescent="0.25">
      <c r="A270" t="s">
        <v>1068</v>
      </c>
      <c r="B270">
        <v>2020</v>
      </c>
      <c r="C270" t="s">
        <v>176</v>
      </c>
      <c r="D270" t="b">
        <f>TRUE()</f>
        <v>1</v>
      </c>
      <c r="E270" t="b">
        <f>COUNTIF(connections!A:A, A270) &gt; 0</f>
        <v>0</v>
      </c>
      <c r="G270" t="s">
        <v>1069</v>
      </c>
      <c r="H270" t="s">
        <v>187</v>
      </c>
      <c r="I270" t="s">
        <v>1070</v>
      </c>
      <c r="J270" s="1" t="s">
        <v>1071</v>
      </c>
    </row>
    <row r="271" spans="1:10" ht="15" customHeight="1" x14ac:dyDescent="0.25">
      <c r="A271" t="s">
        <v>1072</v>
      </c>
      <c r="B271">
        <v>2024</v>
      </c>
      <c r="C271" t="s">
        <v>182</v>
      </c>
      <c r="D271" t="b">
        <f>TRUE()</f>
        <v>1</v>
      </c>
      <c r="E271" t="b">
        <f>COUNTIF(connections!A:A, A271) &gt; 0</f>
        <v>0</v>
      </c>
      <c r="G271" t="s">
        <v>1073</v>
      </c>
      <c r="H271" t="s">
        <v>187</v>
      </c>
      <c r="I271" t="s">
        <v>1074</v>
      </c>
      <c r="J271" s="1" t="s">
        <v>1075</v>
      </c>
    </row>
    <row r="272" spans="1:10" ht="15" customHeight="1" x14ac:dyDescent="0.25">
      <c r="A272" t="s">
        <v>1076</v>
      </c>
      <c r="B272">
        <v>2024</v>
      </c>
      <c r="C272" t="s">
        <v>182</v>
      </c>
      <c r="D272" t="b">
        <f>FALSE()</f>
        <v>0</v>
      </c>
      <c r="E272" t="b">
        <f>COUNTIF(connections!A:A, A272) &gt; 0</f>
        <v>0</v>
      </c>
      <c r="F272" t="s">
        <v>1077</v>
      </c>
      <c r="G272" t="s">
        <v>1078</v>
      </c>
      <c r="H272" t="s">
        <v>187</v>
      </c>
      <c r="I272" t="s">
        <v>1079</v>
      </c>
      <c r="J272" s="1" t="s">
        <v>1080</v>
      </c>
    </row>
    <row r="273" spans="1:10" ht="15" customHeight="1" x14ac:dyDescent="0.25">
      <c r="A273" t="s">
        <v>1081</v>
      </c>
      <c r="B273">
        <v>1990</v>
      </c>
      <c r="C273" t="s">
        <v>179</v>
      </c>
      <c r="D273" t="b">
        <f>TRUE()</f>
        <v>1</v>
      </c>
      <c r="E273" t="b">
        <f>COUNTIF(connections!A:A, A273) &gt; 0</f>
        <v>1</v>
      </c>
      <c r="G273" t="s">
        <v>1082</v>
      </c>
      <c r="H273" t="s">
        <v>187</v>
      </c>
      <c r="I273" t="s">
        <v>1083</v>
      </c>
    </row>
    <row r="274" spans="1:10" ht="15" customHeight="1" x14ac:dyDescent="0.25">
      <c r="A274" t="s">
        <v>1084</v>
      </c>
      <c r="B274">
        <v>2018</v>
      </c>
      <c r="C274" t="s">
        <v>222</v>
      </c>
      <c r="D274" t="b">
        <f>TRUE()</f>
        <v>1</v>
      </c>
      <c r="E274" t="b">
        <f>COUNTIF(connections!A:A, A274) &gt; 0</f>
        <v>0</v>
      </c>
      <c r="G274" t="s">
        <v>1085</v>
      </c>
    </row>
    <row r="275" spans="1:10" ht="15" customHeight="1" x14ac:dyDescent="0.25">
      <c r="A275" t="s">
        <v>1086</v>
      </c>
      <c r="B275">
        <v>2024</v>
      </c>
      <c r="C275" t="s">
        <v>222</v>
      </c>
      <c r="D275" t="b">
        <f>TRUE()</f>
        <v>1</v>
      </c>
      <c r="E275" t="b">
        <f>COUNTIF(connections!A:A, A275) &gt; 0</f>
        <v>0</v>
      </c>
      <c r="F275" t="s">
        <v>652</v>
      </c>
      <c r="G275" t="s">
        <v>1087</v>
      </c>
      <c r="H275" t="s">
        <v>187</v>
      </c>
      <c r="I275" t="s">
        <v>1088</v>
      </c>
      <c r="J275" s="1" t="s">
        <v>1089</v>
      </c>
    </row>
    <row r="276" spans="1:10" ht="15" customHeight="1" x14ac:dyDescent="0.25">
      <c r="A276" t="s">
        <v>1090</v>
      </c>
      <c r="B276">
        <v>2021</v>
      </c>
      <c r="C276" t="s">
        <v>182</v>
      </c>
      <c r="D276" t="b">
        <f>TRUE()</f>
        <v>1</v>
      </c>
      <c r="E276" t="b">
        <f>COUNTIF(connections!A:A, A276) &gt; 0</f>
        <v>1</v>
      </c>
      <c r="G276" t="s">
        <v>1091</v>
      </c>
      <c r="H276" t="s">
        <v>187</v>
      </c>
      <c r="I276" t="s">
        <v>1092</v>
      </c>
      <c r="J276" s="1" t="s">
        <v>1093</v>
      </c>
    </row>
    <row r="277" spans="1:10" ht="15" customHeight="1" x14ac:dyDescent="0.25">
      <c r="A277" t="s">
        <v>1094</v>
      </c>
      <c r="B277">
        <v>2007</v>
      </c>
      <c r="C277" t="s">
        <v>179</v>
      </c>
      <c r="D277" t="b">
        <f>TRUE()</f>
        <v>1</v>
      </c>
      <c r="E277" t="b">
        <f>COUNTIF(connections!A:A, A277) &gt; 0</f>
        <v>1</v>
      </c>
      <c r="G277" t="s">
        <v>1095</v>
      </c>
      <c r="H277" t="s">
        <v>187</v>
      </c>
      <c r="I277" t="s">
        <v>1096</v>
      </c>
    </row>
    <row r="278" spans="1:10" ht="15" customHeight="1" x14ac:dyDescent="0.25">
      <c r="A278" t="s">
        <v>1097</v>
      </c>
      <c r="B278">
        <v>2024</v>
      </c>
      <c r="C278" t="s">
        <v>176</v>
      </c>
      <c r="D278" t="b">
        <f>TRUE()</f>
        <v>1</v>
      </c>
      <c r="E278" t="b">
        <f>COUNTIF(connections!A:A, A278) &gt; 0</f>
        <v>0</v>
      </c>
      <c r="F278" t="s">
        <v>652</v>
      </c>
      <c r="G278" t="s">
        <v>1098</v>
      </c>
      <c r="H278" t="s">
        <v>187</v>
      </c>
      <c r="I278" t="s">
        <v>1099</v>
      </c>
      <c r="J278" s="1" t="s">
        <v>1100</v>
      </c>
    </row>
    <row r="279" spans="1:10" ht="15" customHeight="1" x14ac:dyDescent="0.25">
      <c r="A279" t="s">
        <v>1101</v>
      </c>
      <c r="B279">
        <v>2022</v>
      </c>
      <c r="C279" t="s">
        <v>176</v>
      </c>
      <c r="D279" t="b">
        <f>TRUE()</f>
        <v>1</v>
      </c>
      <c r="E279" t="b">
        <f>COUNTIF(connections!A:A, A279) &gt; 0</f>
        <v>1</v>
      </c>
      <c r="G279" t="s">
        <v>1102</v>
      </c>
    </row>
    <row r="280" spans="1:10" ht="15" customHeight="1" x14ac:dyDescent="0.25">
      <c r="A280" t="s">
        <v>1103</v>
      </c>
      <c r="B280">
        <v>2025</v>
      </c>
      <c r="C280" t="s">
        <v>222</v>
      </c>
      <c r="D280" t="b">
        <f>FALSE()</f>
        <v>0</v>
      </c>
      <c r="E280" t="b">
        <f>COUNTIF(connections!A:A, A280) &gt; 0</f>
        <v>0</v>
      </c>
      <c r="G280" t="s">
        <v>1104</v>
      </c>
    </row>
    <row r="281" spans="1:10" ht="15" customHeight="1" x14ac:dyDescent="0.25">
      <c r="A281" t="s">
        <v>1105</v>
      </c>
      <c r="B281">
        <v>2017</v>
      </c>
      <c r="C281" t="s">
        <v>176</v>
      </c>
      <c r="D281" t="b">
        <f>TRUE()</f>
        <v>1</v>
      </c>
      <c r="E281" t="b">
        <f>COUNTIF(connections!A:A, A281) &gt; 0</f>
        <v>0</v>
      </c>
      <c r="F281" t="s">
        <v>274</v>
      </c>
      <c r="G281" t="s">
        <v>1106</v>
      </c>
      <c r="H281" t="s">
        <v>187</v>
      </c>
      <c r="I281" t="s">
        <v>1107</v>
      </c>
      <c r="J281" s="1" t="s">
        <v>1108</v>
      </c>
    </row>
    <row r="282" spans="1:10" ht="15" customHeight="1" x14ac:dyDescent="0.25">
      <c r="A282" t="s">
        <v>1109</v>
      </c>
      <c r="B282">
        <v>2026</v>
      </c>
      <c r="C282" t="s">
        <v>182</v>
      </c>
      <c r="D282" t="b">
        <v>1</v>
      </c>
      <c r="E282" t="b">
        <v>0</v>
      </c>
      <c r="F282" t="s">
        <v>587</v>
      </c>
      <c r="G282" t="s">
        <v>1110</v>
      </c>
      <c r="J282" s="10" t="s">
        <v>1111</v>
      </c>
    </row>
    <row r="283" spans="1:10" ht="15" customHeight="1" x14ac:dyDescent="0.25">
      <c r="A283" t="s">
        <v>1112</v>
      </c>
      <c r="B283">
        <v>2024</v>
      </c>
      <c r="C283" t="s">
        <v>176</v>
      </c>
      <c r="D283" t="b">
        <f>FALSE()</f>
        <v>0</v>
      </c>
      <c r="E283" t="b">
        <f>COUNTIF(connections!A:A, A283) &gt; 0</f>
        <v>0</v>
      </c>
      <c r="F283" t="s">
        <v>614</v>
      </c>
      <c r="G283" t="s">
        <v>1113</v>
      </c>
      <c r="H283" t="s">
        <v>187</v>
      </c>
      <c r="I283" t="s">
        <v>1114</v>
      </c>
      <c r="J283" s="1" t="s">
        <v>1115</v>
      </c>
    </row>
    <row r="284" spans="1:10" ht="15" customHeight="1" x14ac:dyDescent="0.25">
      <c r="A284" t="s">
        <v>1116</v>
      </c>
      <c r="B284">
        <v>2018</v>
      </c>
      <c r="C284" t="s">
        <v>222</v>
      </c>
      <c r="D284" t="b">
        <f>TRUE()</f>
        <v>1</v>
      </c>
      <c r="E284" t="b">
        <f>COUNTIF(connections!A:A, A284) &gt; 0</f>
        <v>1</v>
      </c>
      <c r="G284" t="s">
        <v>1117</v>
      </c>
      <c r="H284" t="s">
        <v>187</v>
      </c>
      <c r="I284" t="s">
        <v>1118</v>
      </c>
      <c r="J284" s="1" t="s">
        <v>1119</v>
      </c>
    </row>
    <row r="285" spans="1:10" ht="15" customHeight="1" x14ac:dyDescent="0.25">
      <c r="A285" t="s">
        <v>1120</v>
      </c>
      <c r="B285">
        <v>2023</v>
      </c>
      <c r="C285" t="s">
        <v>222</v>
      </c>
      <c r="D285" t="b">
        <f>TRUE()</f>
        <v>1</v>
      </c>
      <c r="E285" t="b">
        <f>COUNTIF(connections!A:A, A285) &gt; 0</f>
        <v>0</v>
      </c>
      <c r="G285" t="s">
        <v>1121</v>
      </c>
      <c r="H285" t="s">
        <v>187</v>
      </c>
      <c r="I285" t="s">
        <v>1122</v>
      </c>
      <c r="J285" s="1" t="s">
        <v>1123</v>
      </c>
    </row>
    <row r="286" spans="1:10" ht="15" customHeight="1" x14ac:dyDescent="0.25">
      <c r="A286" t="s">
        <v>1124</v>
      </c>
      <c r="B286">
        <v>2020</v>
      </c>
      <c r="C286" t="s">
        <v>182</v>
      </c>
      <c r="D286" t="b">
        <f>TRUE()</f>
        <v>1</v>
      </c>
      <c r="E286" t="b">
        <f>COUNTIF(connections!A:A, A286) &gt; 0</f>
        <v>1</v>
      </c>
      <c r="F286" t="s">
        <v>274</v>
      </c>
      <c r="G286" t="s">
        <v>1125</v>
      </c>
      <c r="H286" t="s">
        <v>187</v>
      </c>
      <c r="I286" t="s">
        <v>1126</v>
      </c>
      <c r="J286" s="10" t="s">
        <v>1127</v>
      </c>
    </row>
    <row r="287" spans="1:10" ht="15" customHeight="1" x14ac:dyDescent="0.25">
      <c r="A287" t="s">
        <v>1128</v>
      </c>
      <c r="B287">
        <v>2025</v>
      </c>
      <c r="C287" t="s">
        <v>176</v>
      </c>
      <c r="D287" t="b">
        <f>FALSE()</f>
        <v>0</v>
      </c>
      <c r="E287" t="b">
        <f>COUNTIF(connections!A:A, A287) &gt; 0</f>
        <v>0</v>
      </c>
      <c r="G287" t="s">
        <v>1129</v>
      </c>
    </row>
    <row r="288" spans="1:10" ht="15" customHeight="1" x14ac:dyDescent="0.25">
      <c r="A288" t="s">
        <v>1130</v>
      </c>
      <c r="B288">
        <v>2022</v>
      </c>
      <c r="C288" t="s">
        <v>222</v>
      </c>
      <c r="D288" t="b">
        <f>TRUE()</f>
        <v>1</v>
      </c>
      <c r="E288" t="b">
        <f>COUNTIF(connections!A:A, A288) &gt; 0</f>
        <v>1</v>
      </c>
      <c r="G288" t="s">
        <v>1131</v>
      </c>
      <c r="H288" t="s">
        <v>187</v>
      </c>
      <c r="I288" t="s">
        <v>1132</v>
      </c>
      <c r="J288" s="1" t="s">
        <v>1133</v>
      </c>
    </row>
    <row r="289" spans="1:10" ht="15" customHeight="1" x14ac:dyDescent="0.25">
      <c r="A289" t="s">
        <v>1134</v>
      </c>
      <c r="B289">
        <v>2017</v>
      </c>
      <c r="C289" t="s">
        <v>176</v>
      </c>
      <c r="D289" t="b">
        <f>TRUE()</f>
        <v>1</v>
      </c>
      <c r="E289" t="b">
        <f>COUNTIF(connections!A:A, A289) &gt; 0</f>
        <v>0</v>
      </c>
      <c r="G289" t="s">
        <v>1135</v>
      </c>
      <c r="H289" t="s">
        <v>187</v>
      </c>
      <c r="I289" t="s">
        <v>1136</v>
      </c>
      <c r="J289" s="1" t="s">
        <v>1137</v>
      </c>
    </row>
    <row r="290" spans="1:10" ht="15" customHeight="1" x14ac:dyDescent="0.25">
      <c r="A290" t="s">
        <v>1138</v>
      </c>
      <c r="B290">
        <v>2025</v>
      </c>
      <c r="C290" t="s">
        <v>176</v>
      </c>
      <c r="D290" t="b">
        <f>TRUE()</f>
        <v>1</v>
      </c>
      <c r="E290" t="b">
        <f>COUNTIF(connections!A:A, A290) &gt; 0</f>
        <v>0</v>
      </c>
      <c r="G290" t="s">
        <v>1139</v>
      </c>
      <c r="H290" t="s">
        <v>187</v>
      </c>
      <c r="I290" t="s">
        <v>1140</v>
      </c>
      <c r="J290" s="1" t="s">
        <v>1141</v>
      </c>
    </row>
    <row r="291" spans="1:10" ht="15" customHeight="1" x14ac:dyDescent="0.25">
      <c r="A291" t="s">
        <v>1142</v>
      </c>
      <c r="B291">
        <v>2006</v>
      </c>
      <c r="C291" t="s">
        <v>179</v>
      </c>
      <c r="D291" t="b">
        <f>TRUE()</f>
        <v>1</v>
      </c>
      <c r="E291" t="b">
        <f>COUNTIF(connections!A:A, A291) &gt; 0</f>
        <v>0</v>
      </c>
      <c r="G291" t="s">
        <v>1143</v>
      </c>
      <c r="H291" t="s">
        <v>187</v>
      </c>
      <c r="I291" t="s">
        <v>1144</v>
      </c>
    </row>
    <row r="292" spans="1:10" ht="15" customHeight="1" x14ac:dyDescent="0.25">
      <c r="A292" t="s">
        <v>1145</v>
      </c>
      <c r="B292">
        <v>2012</v>
      </c>
      <c r="C292" t="s">
        <v>222</v>
      </c>
      <c r="D292" t="b">
        <f>TRUE()</f>
        <v>1</v>
      </c>
      <c r="E292" t="b">
        <f>COUNTIF(connections!A:A, A292) &gt; 0</f>
        <v>1</v>
      </c>
      <c r="F292" t="s">
        <v>274</v>
      </c>
      <c r="G292" t="s">
        <v>1146</v>
      </c>
      <c r="H292" t="s">
        <v>187</v>
      </c>
      <c r="I292" t="s">
        <v>1147</v>
      </c>
      <c r="J292" s="1" t="s">
        <v>1148</v>
      </c>
    </row>
    <row r="293" spans="1:10" ht="15" customHeight="1" x14ac:dyDescent="0.25">
      <c r="A293" t="s">
        <v>1149</v>
      </c>
      <c r="B293">
        <v>2013</v>
      </c>
      <c r="C293" t="s">
        <v>176</v>
      </c>
      <c r="D293" t="b">
        <f>TRUE()</f>
        <v>1</v>
      </c>
      <c r="E293" t="b">
        <f>COUNTIF(connections!A:A, A293) &gt; 0</f>
        <v>0</v>
      </c>
      <c r="G293" t="s">
        <v>1150</v>
      </c>
      <c r="J293" s="10" t="s">
        <v>1151</v>
      </c>
    </row>
    <row r="294" spans="1:10" ht="15" customHeight="1" x14ac:dyDescent="0.25">
      <c r="A294" t="s">
        <v>1152</v>
      </c>
      <c r="B294">
        <v>2020</v>
      </c>
      <c r="C294" t="s">
        <v>176</v>
      </c>
      <c r="D294" t="b">
        <f>TRUE()</f>
        <v>1</v>
      </c>
      <c r="E294" t="b">
        <f>COUNTIF(connections!A:A, A294) &gt; 0</f>
        <v>0</v>
      </c>
      <c r="G294" t="s">
        <v>1153</v>
      </c>
      <c r="H294" t="s">
        <v>187</v>
      </c>
      <c r="I294" t="s">
        <v>1154</v>
      </c>
      <c r="J294" s="1" t="s">
        <v>1155</v>
      </c>
    </row>
    <row r="295" spans="1:10" ht="15" customHeight="1" x14ac:dyDescent="0.25">
      <c r="A295" t="s">
        <v>1156</v>
      </c>
      <c r="B295">
        <v>2010</v>
      </c>
      <c r="C295" t="s">
        <v>179</v>
      </c>
      <c r="D295" t="b">
        <f>TRUE()</f>
        <v>1</v>
      </c>
      <c r="E295" t="b">
        <f>COUNTIF(connections!A:A, A295) &gt; 0</f>
        <v>1</v>
      </c>
      <c r="F295" t="s">
        <v>328</v>
      </c>
      <c r="G295" t="s">
        <v>1157</v>
      </c>
    </row>
    <row r="296" spans="1:10" ht="15" customHeight="1" x14ac:dyDescent="0.25">
      <c r="A296" t="s">
        <v>1158</v>
      </c>
      <c r="B296">
        <v>2014</v>
      </c>
      <c r="C296" t="s">
        <v>179</v>
      </c>
      <c r="D296" t="b">
        <f>TRUE()</f>
        <v>1</v>
      </c>
      <c r="E296" t="b">
        <f>COUNTIF(connections!A:A, A296) &gt; 0</f>
        <v>1</v>
      </c>
      <c r="F296" t="s">
        <v>328</v>
      </c>
      <c r="G296" t="s">
        <v>1159</v>
      </c>
    </row>
    <row r="297" spans="1:10" ht="15" customHeight="1" x14ac:dyDescent="0.25">
      <c r="A297" t="s">
        <v>1160</v>
      </c>
      <c r="B297">
        <v>2024</v>
      </c>
      <c r="C297" t="s">
        <v>176</v>
      </c>
      <c r="D297" t="b">
        <f>TRUE()</f>
        <v>1</v>
      </c>
      <c r="E297" t="b">
        <f>COUNTIF(connections!A:A, A297) &gt; 0</f>
        <v>0</v>
      </c>
      <c r="F297" t="s">
        <v>274</v>
      </c>
      <c r="G297" t="s">
        <v>1161</v>
      </c>
      <c r="H297" t="s">
        <v>187</v>
      </c>
      <c r="I297" t="s">
        <v>1162</v>
      </c>
      <c r="J297" s="1" t="s">
        <v>1163</v>
      </c>
    </row>
    <row r="298" spans="1:10" ht="15" customHeight="1" x14ac:dyDescent="0.25">
      <c r="A298" t="s">
        <v>1164</v>
      </c>
      <c r="B298">
        <v>2026</v>
      </c>
      <c r="C298" t="s">
        <v>182</v>
      </c>
      <c r="D298" t="b">
        <f>TRUE()</f>
        <v>1</v>
      </c>
      <c r="E298" t="b">
        <f>COUNTIF(connections!A:A, A298) &gt; 0</f>
        <v>0</v>
      </c>
      <c r="F298" t="s">
        <v>1165</v>
      </c>
      <c r="G298" t="s">
        <v>1166</v>
      </c>
    </row>
    <row r="299" spans="1:10" ht="15" customHeight="1" x14ac:dyDescent="0.25">
      <c r="A299" t="s">
        <v>1167</v>
      </c>
      <c r="B299">
        <v>2025</v>
      </c>
      <c r="C299" t="s">
        <v>176</v>
      </c>
      <c r="D299" t="b">
        <f>TRUE()</f>
        <v>1</v>
      </c>
      <c r="E299" t="b">
        <f>COUNTIF(connections!A:A, A299) &gt; 0</f>
        <v>0</v>
      </c>
      <c r="G299" t="s">
        <v>1168</v>
      </c>
    </row>
    <row r="300" spans="1:10" ht="15" customHeight="1" x14ac:dyDescent="0.25">
      <c r="A300" t="s">
        <v>1169</v>
      </c>
      <c r="B300">
        <v>2024</v>
      </c>
      <c r="C300" t="s">
        <v>176</v>
      </c>
      <c r="D300" t="b">
        <f>TRUE()</f>
        <v>1</v>
      </c>
      <c r="E300" t="b">
        <f>COUNTIF(connections!A:A, A300) &gt; 0</f>
        <v>0</v>
      </c>
      <c r="G300" t="s">
        <v>1170</v>
      </c>
      <c r="H300" t="s">
        <v>187</v>
      </c>
      <c r="I300" t="s">
        <v>1171</v>
      </c>
    </row>
    <row r="301" spans="1:10" ht="15" customHeight="1" x14ac:dyDescent="0.25">
      <c r="A301" t="s">
        <v>1172</v>
      </c>
      <c r="B301">
        <v>2002</v>
      </c>
      <c r="C301" t="s">
        <v>179</v>
      </c>
      <c r="D301" t="b">
        <f>TRUE()</f>
        <v>1</v>
      </c>
      <c r="E301" t="b">
        <f>COUNTIF(connections!A:A, A301) &gt; 0</f>
        <v>1</v>
      </c>
      <c r="F301" t="s">
        <v>277</v>
      </c>
      <c r="G301" t="s">
        <v>1173</v>
      </c>
      <c r="H301" t="s">
        <v>187</v>
      </c>
      <c r="I301" t="s">
        <v>1174</v>
      </c>
    </row>
    <row r="302" spans="1:10" ht="15" customHeight="1" x14ac:dyDescent="0.25">
      <c r="A302" t="s">
        <v>1175</v>
      </c>
      <c r="B302">
        <v>2007</v>
      </c>
      <c r="C302" t="s">
        <v>179</v>
      </c>
      <c r="D302" t="b">
        <f>TRUE()</f>
        <v>1</v>
      </c>
      <c r="E302" t="b">
        <f>COUNTIF(connections!A:A, A302) &gt; 0</f>
        <v>1</v>
      </c>
      <c r="F302" t="s">
        <v>277</v>
      </c>
      <c r="G302" t="s">
        <v>1176</v>
      </c>
      <c r="H302" t="s">
        <v>187</v>
      </c>
      <c r="I302" t="s">
        <v>1177</v>
      </c>
    </row>
    <row r="303" spans="1:10" ht="15" customHeight="1" x14ac:dyDescent="0.25">
      <c r="A303" t="s">
        <v>1178</v>
      </c>
      <c r="B303">
        <v>2022</v>
      </c>
      <c r="C303" t="s">
        <v>179</v>
      </c>
      <c r="D303" t="b">
        <f>TRUE()</f>
        <v>1</v>
      </c>
      <c r="E303" t="b">
        <f>COUNTIF(connections!A:A, A303) &gt; 0</f>
        <v>0</v>
      </c>
      <c r="F303" t="s">
        <v>277</v>
      </c>
      <c r="G303" t="s">
        <v>1179</v>
      </c>
      <c r="J303" s="10" t="s">
        <v>1180</v>
      </c>
    </row>
    <row r="304" spans="1:10" ht="15" customHeight="1" x14ac:dyDescent="0.25">
      <c r="A304" t="s">
        <v>1181</v>
      </c>
      <c r="B304">
        <v>2024</v>
      </c>
      <c r="C304" t="s">
        <v>176</v>
      </c>
      <c r="D304" t="b">
        <f>FALSE()</f>
        <v>0</v>
      </c>
      <c r="E304" t="b">
        <f>COUNTIF(connections!A:A, A304) &gt; 0</f>
        <v>1</v>
      </c>
      <c r="G304" t="s">
        <v>1182</v>
      </c>
      <c r="H304" t="s">
        <v>187</v>
      </c>
      <c r="I304" t="s">
        <v>1183</v>
      </c>
      <c r="J304" s="1" t="s">
        <v>1184</v>
      </c>
    </row>
    <row r="305" spans="1:10" ht="15" customHeight="1" x14ac:dyDescent="0.25">
      <c r="A305" t="s">
        <v>1185</v>
      </c>
      <c r="B305">
        <v>2026</v>
      </c>
      <c r="C305" t="s">
        <v>176</v>
      </c>
      <c r="D305" t="b">
        <f>TRUE()</f>
        <v>1</v>
      </c>
      <c r="E305" t="b">
        <f>COUNTIF(connections!A:A, A305) &gt; 0</f>
        <v>0</v>
      </c>
      <c r="G305" t="s">
        <v>1186</v>
      </c>
      <c r="J305" s="10" t="s">
        <v>1187</v>
      </c>
    </row>
    <row r="306" spans="1:10" ht="15" customHeight="1" x14ac:dyDescent="0.25">
      <c r="A306" t="s">
        <v>1188</v>
      </c>
      <c r="B306">
        <v>2020</v>
      </c>
      <c r="C306" t="s">
        <v>176</v>
      </c>
      <c r="D306" t="b">
        <f>FALSE()</f>
        <v>0</v>
      </c>
      <c r="E306" t="b">
        <f>COUNTIF(connections!A:A, A306) &gt; 0</f>
        <v>1</v>
      </c>
      <c r="G306" t="s">
        <v>1189</v>
      </c>
      <c r="H306" t="s">
        <v>187</v>
      </c>
      <c r="I306" t="s">
        <v>1190</v>
      </c>
      <c r="J306" s="1" t="s">
        <v>1191</v>
      </c>
    </row>
    <row r="307" spans="1:10" ht="15" customHeight="1" x14ac:dyDescent="0.25">
      <c r="A307" t="s">
        <v>1192</v>
      </c>
      <c r="B307">
        <v>2023</v>
      </c>
      <c r="C307" t="s">
        <v>176</v>
      </c>
      <c r="D307" t="b">
        <f>FALSE()</f>
        <v>0</v>
      </c>
      <c r="E307" t="b">
        <f>COUNTIF(connections!A:A, A307) &gt; 0</f>
        <v>0</v>
      </c>
      <c r="G307" t="s">
        <v>1193</v>
      </c>
      <c r="H307" t="s">
        <v>187</v>
      </c>
      <c r="I307" t="s">
        <v>1194</v>
      </c>
      <c r="J307" s="1" t="s">
        <v>1195</v>
      </c>
    </row>
    <row r="308" spans="1:10" ht="15" customHeight="1" x14ac:dyDescent="0.25">
      <c r="A308" t="s">
        <v>1196</v>
      </c>
      <c r="B308">
        <v>2024</v>
      </c>
      <c r="C308" t="s">
        <v>176</v>
      </c>
      <c r="D308" t="b">
        <f>TRUE()</f>
        <v>1</v>
      </c>
      <c r="E308" t="b">
        <f>COUNTIF(connections!A:A, A308) &gt; 0</f>
        <v>0</v>
      </c>
      <c r="G308" t="s">
        <v>1197</v>
      </c>
    </row>
    <row r="309" spans="1:10" ht="15" customHeight="1" x14ac:dyDescent="0.25">
      <c r="A309" t="s">
        <v>1198</v>
      </c>
      <c r="B309">
        <v>2020</v>
      </c>
      <c r="C309" t="s">
        <v>179</v>
      </c>
      <c r="D309" t="b">
        <f>TRUE()</f>
        <v>1</v>
      </c>
      <c r="E309" t="b">
        <f>COUNTIF(connections!A:A, A309) &gt; 0</f>
        <v>0</v>
      </c>
      <c r="G309" t="s">
        <v>1199</v>
      </c>
      <c r="H309" t="s">
        <v>187</v>
      </c>
      <c r="I309" t="s">
        <v>1200</v>
      </c>
      <c r="J309" s="1" t="s">
        <v>1201</v>
      </c>
    </row>
    <row r="310" spans="1:10" ht="15" customHeight="1" x14ac:dyDescent="0.25">
      <c r="A310" t="s">
        <v>1202</v>
      </c>
      <c r="B310">
        <v>2025</v>
      </c>
      <c r="C310" t="s">
        <v>222</v>
      </c>
      <c r="D310" t="b">
        <f>FALSE()</f>
        <v>0</v>
      </c>
      <c r="E310" t="b">
        <f>COUNTIF(connections!A:A, A310) &gt; 0</f>
        <v>0</v>
      </c>
      <c r="F310" t="s">
        <v>404</v>
      </c>
      <c r="G310" t="s">
        <v>1203</v>
      </c>
      <c r="H310" t="s">
        <v>187</v>
      </c>
      <c r="I310" t="s">
        <v>1204</v>
      </c>
      <c r="J310" s="1" t="s">
        <v>1205</v>
      </c>
    </row>
    <row r="311" spans="1:10" ht="15" customHeight="1" x14ac:dyDescent="0.25">
      <c r="A311" t="s">
        <v>1206</v>
      </c>
      <c r="B311">
        <v>2024</v>
      </c>
      <c r="C311" t="s">
        <v>176</v>
      </c>
      <c r="D311" t="b">
        <f>FALSE()</f>
        <v>0</v>
      </c>
      <c r="E311" t="b">
        <f>COUNTIF(connections!A:A, A311) &gt; 0</f>
        <v>0</v>
      </c>
      <c r="F311" t="s">
        <v>277</v>
      </c>
      <c r="G311" t="s">
        <v>1207</v>
      </c>
      <c r="H311" t="s">
        <v>187</v>
      </c>
      <c r="I311" t="s">
        <v>1208</v>
      </c>
      <c r="J311" s="1" t="s">
        <v>1209</v>
      </c>
    </row>
    <row r="312" spans="1:10" ht="15" customHeight="1" x14ac:dyDescent="0.25">
      <c r="A312" t="s">
        <v>1210</v>
      </c>
      <c r="B312">
        <v>2026</v>
      </c>
      <c r="C312" t="s">
        <v>182</v>
      </c>
      <c r="D312" t="b">
        <f>FALSE()</f>
        <v>0</v>
      </c>
      <c r="E312" t="b">
        <f>COUNTIF(connections!A:A, A312) &gt; 0</f>
        <v>0</v>
      </c>
      <c r="F312" t="s">
        <v>264</v>
      </c>
      <c r="G312" t="s">
        <v>1211</v>
      </c>
    </row>
    <row r="313" spans="1:10" ht="15" customHeight="1" x14ac:dyDescent="0.25">
      <c r="A313" t="s">
        <v>1212</v>
      </c>
      <c r="B313">
        <v>2023</v>
      </c>
      <c r="C313" t="s">
        <v>176</v>
      </c>
      <c r="D313" t="b">
        <f>TRUE()</f>
        <v>1</v>
      </c>
      <c r="E313" t="b">
        <f>COUNTIF(connections!A:A, A313) &gt; 0</f>
        <v>0</v>
      </c>
      <c r="G313" t="s">
        <v>1213</v>
      </c>
      <c r="H313" t="s">
        <v>187</v>
      </c>
      <c r="I313" t="s">
        <v>1214</v>
      </c>
      <c r="J313" s="1" t="s">
        <v>1215</v>
      </c>
    </row>
    <row r="314" spans="1:10" ht="15" customHeight="1" x14ac:dyDescent="0.25">
      <c r="A314" t="s">
        <v>1216</v>
      </c>
      <c r="B314">
        <v>2025</v>
      </c>
      <c r="C314" t="s">
        <v>176</v>
      </c>
      <c r="D314" t="b">
        <f>FALSE()</f>
        <v>0</v>
      </c>
      <c r="E314" t="b">
        <f>COUNTIF(connections!A:A, A314) &gt; 0</f>
        <v>0</v>
      </c>
      <c r="G314" t="s">
        <v>1217</v>
      </c>
      <c r="H314" t="s">
        <v>187</v>
      </c>
      <c r="I314" t="s">
        <v>1218</v>
      </c>
      <c r="J314" s="1" t="s">
        <v>1219</v>
      </c>
    </row>
    <row r="315" spans="1:10" ht="15" customHeight="1" x14ac:dyDescent="0.25">
      <c r="A315" t="s">
        <v>1220</v>
      </c>
      <c r="B315">
        <v>2020</v>
      </c>
      <c r="C315" t="s">
        <v>176</v>
      </c>
      <c r="D315" t="b">
        <f>TRUE()</f>
        <v>1</v>
      </c>
      <c r="E315" t="b">
        <f>COUNTIF(connections!A:A, A315) &gt; 0</f>
        <v>0</v>
      </c>
      <c r="G315" t="s">
        <v>1221</v>
      </c>
      <c r="H315" t="s">
        <v>187</v>
      </c>
      <c r="I315" t="s">
        <v>1222</v>
      </c>
      <c r="J315" s="1" t="s">
        <v>1223</v>
      </c>
    </row>
    <row r="316" spans="1:10" ht="15" customHeight="1" x14ac:dyDescent="0.25">
      <c r="A316" t="s">
        <v>1224</v>
      </c>
      <c r="B316">
        <v>2014</v>
      </c>
      <c r="C316" t="s">
        <v>179</v>
      </c>
      <c r="D316" t="b">
        <f>TRUE()</f>
        <v>1</v>
      </c>
      <c r="E316" t="b">
        <f>COUNTIF(connections!A:A, A316) &gt; 0</f>
        <v>0</v>
      </c>
      <c r="G316" t="s">
        <v>1225</v>
      </c>
      <c r="H316" t="s">
        <v>187</v>
      </c>
      <c r="I316" t="s">
        <v>1226</v>
      </c>
      <c r="J316" s="1" t="s">
        <v>1227</v>
      </c>
    </row>
    <row r="317" spans="1:10" ht="15" customHeight="1" x14ac:dyDescent="0.25">
      <c r="A317" t="s">
        <v>1228</v>
      </c>
      <c r="B317">
        <v>2020</v>
      </c>
      <c r="C317" t="s">
        <v>176</v>
      </c>
      <c r="D317" t="b">
        <f>TRUE()</f>
        <v>1</v>
      </c>
      <c r="E317" t="b">
        <f>COUNTIF(connections!A:A, A317) &gt; 0</f>
        <v>0</v>
      </c>
      <c r="G317" t="s">
        <v>1229</v>
      </c>
      <c r="H317" t="s">
        <v>187</v>
      </c>
      <c r="I317" t="s">
        <v>1230</v>
      </c>
      <c r="J317" s="1" t="s">
        <v>1231</v>
      </c>
    </row>
    <row r="318" spans="1:10" ht="15" customHeight="1" x14ac:dyDescent="0.25">
      <c r="A318" t="s">
        <v>1232</v>
      </c>
      <c r="B318">
        <v>2022</v>
      </c>
      <c r="C318" t="s">
        <v>176</v>
      </c>
      <c r="D318" t="b">
        <f>TRUE()</f>
        <v>1</v>
      </c>
      <c r="E318" t="b">
        <f>COUNTIF(connections!A:A, A318) &gt; 0</f>
        <v>0</v>
      </c>
      <c r="G318" t="s">
        <v>1233</v>
      </c>
      <c r="H318" t="s">
        <v>187</v>
      </c>
      <c r="I318" t="s">
        <v>1234</v>
      </c>
      <c r="J318" s="1" t="s">
        <v>1235</v>
      </c>
    </row>
    <row r="319" spans="1:10" ht="15" customHeight="1" x14ac:dyDescent="0.25">
      <c r="A319" t="s">
        <v>1236</v>
      </c>
      <c r="B319">
        <v>2016</v>
      </c>
      <c r="C319" t="s">
        <v>176</v>
      </c>
      <c r="D319" t="b">
        <f>TRUE()</f>
        <v>1</v>
      </c>
      <c r="E319" t="b">
        <f>COUNTIF(connections!A:A, A319) &gt; 0</f>
        <v>1</v>
      </c>
      <c r="G319" t="s">
        <v>1237</v>
      </c>
      <c r="H319" t="s">
        <v>187</v>
      </c>
      <c r="I319" t="s">
        <v>1238</v>
      </c>
      <c r="J319" s="1" t="s">
        <v>1239</v>
      </c>
    </row>
    <row r="320" spans="1:10" ht="15" customHeight="1" x14ac:dyDescent="0.25">
      <c r="A320" t="s">
        <v>1240</v>
      </c>
      <c r="B320">
        <v>2020</v>
      </c>
      <c r="C320" t="s">
        <v>176</v>
      </c>
      <c r="D320" t="b">
        <f>TRUE()</f>
        <v>1</v>
      </c>
      <c r="E320" t="b">
        <f>COUNTIF(connections!A:A, A320) &gt; 0</f>
        <v>0</v>
      </c>
      <c r="G320" t="s">
        <v>1241</v>
      </c>
      <c r="H320" t="s">
        <v>187</v>
      </c>
      <c r="I320" t="s">
        <v>1242</v>
      </c>
      <c r="J320" s="1" t="s">
        <v>1243</v>
      </c>
    </row>
    <row r="321" spans="1:10" ht="15" customHeight="1" x14ac:dyDescent="0.25">
      <c r="A321" t="s">
        <v>1244</v>
      </c>
      <c r="B321">
        <v>2023</v>
      </c>
      <c r="C321" t="s">
        <v>176</v>
      </c>
      <c r="D321" t="b">
        <f>TRUE()</f>
        <v>1</v>
      </c>
      <c r="E321" t="b">
        <f>COUNTIF(connections!A:A, A321) &gt; 0</f>
        <v>0</v>
      </c>
      <c r="G321" t="s">
        <v>1245</v>
      </c>
    </row>
    <row r="322" spans="1:10" ht="15" customHeight="1" x14ac:dyDescent="0.25">
      <c r="A322" t="s">
        <v>1246</v>
      </c>
      <c r="B322">
        <v>2020</v>
      </c>
      <c r="C322" t="s">
        <v>182</v>
      </c>
      <c r="D322" t="b">
        <f>TRUE()</f>
        <v>1</v>
      </c>
      <c r="E322" t="b">
        <f>COUNTIF(connections!A:A, A322) &gt; 0</f>
        <v>0</v>
      </c>
      <c r="G322" t="s">
        <v>1247</v>
      </c>
      <c r="H322" t="s">
        <v>187</v>
      </c>
      <c r="I322" t="s">
        <v>1248</v>
      </c>
      <c r="J322" s="10" t="s">
        <v>1249</v>
      </c>
    </row>
    <row r="323" spans="1:10" ht="15" customHeight="1" x14ac:dyDescent="0.25">
      <c r="A323" t="s">
        <v>1250</v>
      </c>
      <c r="B323">
        <v>2025</v>
      </c>
      <c r="C323" t="s">
        <v>176</v>
      </c>
      <c r="D323" t="b">
        <f>FALSE()</f>
        <v>0</v>
      </c>
      <c r="E323" t="b">
        <f>COUNTIF(connections!A:A, A323) &gt; 0</f>
        <v>0</v>
      </c>
      <c r="F323" t="s">
        <v>277</v>
      </c>
      <c r="G323" t="s">
        <v>1251</v>
      </c>
    </row>
    <row r="324" spans="1:10" ht="15" customHeight="1" x14ac:dyDescent="0.25">
      <c r="A324" t="s">
        <v>1252</v>
      </c>
      <c r="B324">
        <v>2023</v>
      </c>
      <c r="C324" t="s">
        <v>176</v>
      </c>
      <c r="D324" t="b">
        <f>TRUE()</f>
        <v>1</v>
      </c>
      <c r="E324" t="b">
        <f>COUNTIF(connections!A:A, A324) &gt; 0</f>
        <v>0</v>
      </c>
      <c r="G324" t="s">
        <v>1253</v>
      </c>
      <c r="H324" t="s">
        <v>187</v>
      </c>
      <c r="I324" t="s">
        <v>1254</v>
      </c>
      <c r="J324" s="1" t="s">
        <v>1255</v>
      </c>
    </row>
    <row r="325" spans="1:10" ht="15" customHeight="1" x14ac:dyDescent="0.25">
      <c r="A325" t="s">
        <v>1256</v>
      </c>
      <c r="B325">
        <v>2020</v>
      </c>
      <c r="C325" t="s">
        <v>182</v>
      </c>
      <c r="D325" t="b">
        <f>TRUE()</f>
        <v>1</v>
      </c>
      <c r="E325" t="b">
        <f>COUNTIF(connections!A:A, A325) &gt; 0</f>
        <v>1</v>
      </c>
      <c r="G325" t="s">
        <v>1257</v>
      </c>
      <c r="H325" t="s">
        <v>187</v>
      </c>
      <c r="I325" t="s">
        <v>1258</v>
      </c>
      <c r="J325" s="1" t="s">
        <v>1259</v>
      </c>
    </row>
    <row r="326" spans="1:10" ht="15" customHeight="1" x14ac:dyDescent="0.25">
      <c r="A326" t="s">
        <v>1260</v>
      </c>
      <c r="B326">
        <v>2021</v>
      </c>
      <c r="C326" t="s">
        <v>176</v>
      </c>
      <c r="D326" t="b">
        <f>TRUE()</f>
        <v>1</v>
      </c>
      <c r="E326" t="b">
        <f>COUNTIF(connections!A:A, A326) &gt; 0</f>
        <v>1</v>
      </c>
      <c r="G326" t="s">
        <v>1261</v>
      </c>
      <c r="H326" t="s">
        <v>187</v>
      </c>
      <c r="I326" t="s">
        <v>1262</v>
      </c>
    </row>
    <row r="327" spans="1:10" ht="15" customHeight="1" x14ac:dyDescent="0.25">
      <c r="A327" t="s">
        <v>1263</v>
      </c>
      <c r="B327">
        <v>2024</v>
      </c>
      <c r="C327" t="s">
        <v>176</v>
      </c>
      <c r="D327" t="b">
        <f>TRUE()</f>
        <v>1</v>
      </c>
      <c r="E327" t="b">
        <f>COUNTIF(connections!A:A, A327) &gt; 0</f>
        <v>0</v>
      </c>
      <c r="G327" t="s">
        <v>1264</v>
      </c>
      <c r="J327" s="10" t="s">
        <v>1265</v>
      </c>
    </row>
    <row r="328" spans="1:10" ht="15" customHeight="1" x14ac:dyDescent="0.25">
      <c r="A328" t="s">
        <v>1266</v>
      </c>
      <c r="B328">
        <v>2015</v>
      </c>
      <c r="C328" t="s">
        <v>182</v>
      </c>
      <c r="D328" t="b">
        <f>TRUE()</f>
        <v>1</v>
      </c>
      <c r="E328" t="b">
        <f>COUNTIF(connections!A:A, A328) &gt; 0</f>
        <v>1</v>
      </c>
      <c r="G328" t="s">
        <v>1267</v>
      </c>
      <c r="J328" s="1" t="s">
        <v>1268</v>
      </c>
    </row>
    <row r="329" spans="1:10" ht="15" customHeight="1" x14ac:dyDescent="0.25">
      <c r="A329" t="s">
        <v>1269</v>
      </c>
      <c r="B329">
        <v>2017</v>
      </c>
      <c r="C329" t="s">
        <v>222</v>
      </c>
      <c r="D329" t="b">
        <f>FALSE()</f>
        <v>0</v>
      </c>
      <c r="E329" t="b">
        <f>COUNTIF(connections!A:A, A329) &gt; 0</f>
        <v>0</v>
      </c>
      <c r="G329" t="s">
        <v>1270</v>
      </c>
      <c r="H329" t="s">
        <v>187</v>
      </c>
      <c r="I329" t="s">
        <v>1271</v>
      </c>
      <c r="J329" s="1" t="s">
        <v>1272</v>
      </c>
    </row>
    <row r="330" spans="1:10" ht="15" customHeight="1" x14ac:dyDescent="0.25">
      <c r="A330" t="s">
        <v>1273</v>
      </c>
      <c r="B330">
        <v>2020</v>
      </c>
      <c r="C330" t="s">
        <v>176</v>
      </c>
      <c r="D330" t="b">
        <f>TRUE()</f>
        <v>1</v>
      </c>
      <c r="E330" t="b">
        <f>COUNTIF(connections!A:A, A330) &gt; 0</f>
        <v>1</v>
      </c>
      <c r="G330" t="s">
        <v>1274</v>
      </c>
      <c r="H330" t="s">
        <v>187</v>
      </c>
      <c r="I330" t="s">
        <v>1275</v>
      </c>
      <c r="J330" s="1" t="s">
        <v>1276</v>
      </c>
    </row>
    <row r="331" spans="1:10" ht="15" customHeight="1" x14ac:dyDescent="0.25">
      <c r="A331" t="s">
        <v>1277</v>
      </c>
      <c r="B331">
        <v>2022</v>
      </c>
      <c r="C331" t="s">
        <v>176</v>
      </c>
      <c r="D331" t="b">
        <f>TRUE()</f>
        <v>1</v>
      </c>
      <c r="E331" t="b">
        <f>COUNTIF(connections!A:A, A331) &gt; 0</f>
        <v>1</v>
      </c>
      <c r="F331" t="s">
        <v>274</v>
      </c>
      <c r="G331" t="s">
        <v>1278</v>
      </c>
      <c r="H331" t="s">
        <v>187</v>
      </c>
      <c r="I331" t="s">
        <v>1279</v>
      </c>
      <c r="J331" s="1" t="s">
        <v>1280</v>
      </c>
    </row>
    <row r="332" spans="1:10" ht="15" customHeight="1" x14ac:dyDescent="0.25">
      <c r="A332" t="s">
        <v>1281</v>
      </c>
      <c r="B332">
        <v>2025</v>
      </c>
      <c r="C332" t="s">
        <v>176</v>
      </c>
      <c r="D332" t="b">
        <f>TRUE()</f>
        <v>1</v>
      </c>
      <c r="E332" t="b">
        <f>COUNTIF(connections!A:A, A332) &gt; 0</f>
        <v>0</v>
      </c>
      <c r="F332" t="s">
        <v>274</v>
      </c>
      <c r="G332" t="s">
        <v>1282</v>
      </c>
      <c r="H332" t="s">
        <v>187</v>
      </c>
      <c r="I332" t="s">
        <v>1283</v>
      </c>
      <c r="J332" s="1" t="s">
        <v>1284</v>
      </c>
    </row>
    <row r="333" spans="1:10" ht="15" customHeight="1" x14ac:dyDescent="0.25">
      <c r="A333" t="s">
        <v>7760</v>
      </c>
      <c r="B333">
        <v>2025</v>
      </c>
      <c r="C333" t="s">
        <v>176</v>
      </c>
      <c r="D333" t="b">
        <f>TRUE()</f>
        <v>1</v>
      </c>
      <c r="E333" t="b">
        <f>COUNTIF(connections!A:A, A333) &gt; 0</f>
        <v>0</v>
      </c>
      <c r="G333" t="s">
        <v>7761</v>
      </c>
      <c r="H333" t="s">
        <v>187</v>
      </c>
      <c r="I333" t="s">
        <v>7764</v>
      </c>
      <c r="J333" s="10" t="s">
        <v>7762</v>
      </c>
    </row>
    <row r="334" spans="1:10" ht="15" customHeight="1" x14ac:dyDescent="0.25">
      <c r="A334" t="s">
        <v>1285</v>
      </c>
      <c r="B334">
        <v>1984</v>
      </c>
      <c r="C334" t="s">
        <v>179</v>
      </c>
      <c r="D334" t="b">
        <f>TRUE()</f>
        <v>1</v>
      </c>
      <c r="E334" t="b">
        <f>COUNTIF(connections!A:A, A334) &gt; 0</f>
        <v>1</v>
      </c>
      <c r="G334" t="s">
        <v>1286</v>
      </c>
      <c r="H334" t="s">
        <v>187</v>
      </c>
      <c r="I334" t="s">
        <v>1287</v>
      </c>
    </row>
    <row r="335" spans="1:10" ht="15" customHeight="1" x14ac:dyDescent="0.25">
      <c r="A335" t="s">
        <v>1288</v>
      </c>
      <c r="B335">
        <v>2022</v>
      </c>
      <c r="C335" t="s">
        <v>179</v>
      </c>
      <c r="D335" t="b">
        <f>TRUE()</f>
        <v>1</v>
      </c>
      <c r="E335" t="b">
        <f>COUNTIF(connections!A:A, A335) &gt; 0</f>
        <v>1</v>
      </c>
      <c r="G335" t="s">
        <v>1289</v>
      </c>
      <c r="H335" t="s">
        <v>187</v>
      </c>
      <c r="I335" t="s">
        <v>1290</v>
      </c>
    </row>
    <row r="336" spans="1:10" ht="15" customHeight="1" x14ac:dyDescent="0.25">
      <c r="A336" t="s">
        <v>1291</v>
      </c>
      <c r="B336">
        <v>2021</v>
      </c>
      <c r="C336" t="s">
        <v>182</v>
      </c>
      <c r="D336" t="b">
        <f>TRUE()</f>
        <v>1</v>
      </c>
      <c r="E336" t="b">
        <f>COUNTIF(connections!A:A, A336) &gt; 0</f>
        <v>0</v>
      </c>
      <c r="F336" t="s">
        <v>199</v>
      </c>
      <c r="G336" t="s">
        <v>1292</v>
      </c>
      <c r="H336" t="s">
        <v>187</v>
      </c>
      <c r="I336" t="s">
        <v>1293</v>
      </c>
      <c r="J336" s="1" t="s">
        <v>1294</v>
      </c>
    </row>
    <row r="337" spans="1:10" ht="15" customHeight="1" x14ac:dyDescent="0.25">
      <c r="A337" t="s">
        <v>1295</v>
      </c>
      <c r="B337">
        <v>2019</v>
      </c>
      <c r="C337" t="s">
        <v>176</v>
      </c>
      <c r="D337" t="b">
        <f>TRUE()</f>
        <v>1</v>
      </c>
      <c r="E337" t="b">
        <f>COUNTIF(connections!A:A, A337) &gt; 0</f>
        <v>1</v>
      </c>
      <c r="F337" t="s">
        <v>199</v>
      </c>
      <c r="G337" t="s">
        <v>1296</v>
      </c>
      <c r="H337" t="s">
        <v>187</v>
      </c>
      <c r="I337" t="s">
        <v>1297</v>
      </c>
      <c r="J337" s="1" t="s">
        <v>1298</v>
      </c>
    </row>
    <row r="338" spans="1:10" ht="15" customHeight="1" x14ac:dyDescent="0.25">
      <c r="A338" t="s">
        <v>1299</v>
      </c>
      <c r="B338">
        <v>2024</v>
      </c>
      <c r="C338" t="s">
        <v>176</v>
      </c>
      <c r="D338" t="b">
        <f>TRUE()</f>
        <v>1</v>
      </c>
      <c r="E338" t="b">
        <f>COUNTIF(connections!A:A, A338) &gt; 0</f>
        <v>0</v>
      </c>
      <c r="F338" t="s">
        <v>199</v>
      </c>
      <c r="G338" t="s">
        <v>1300</v>
      </c>
      <c r="H338" t="s">
        <v>187</v>
      </c>
      <c r="I338" t="s">
        <v>1301</v>
      </c>
      <c r="J338" s="1" t="s">
        <v>1302</v>
      </c>
    </row>
    <row r="339" spans="1:10" ht="15" customHeight="1" x14ac:dyDescent="0.25">
      <c r="A339" t="s">
        <v>1303</v>
      </c>
      <c r="B339">
        <v>2023</v>
      </c>
      <c r="C339" t="s">
        <v>176</v>
      </c>
      <c r="D339" t="b">
        <f>TRUE()</f>
        <v>1</v>
      </c>
      <c r="E339" t="b">
        <f>COUNTIF(connections!A:A, A339) &gt; 0</f>
        <v>1</v>
      </c>
      <c r="F339" t="s">
        <v>199</v>
      </c>
      <c r="G339" t="s">
        <v>1304</v>
      </c>
      <c r="H339" t="s">
        <v>187</v>
      </c>
      <c r="I339" t="s">
        <v>1305</v>
      </c>
      <c r="J339" s="1" t="s">
        <v>1306</v>
      </c>
    </row>
    <row r="340" spans="1:10" ht="15" customHeight="1" x14ac:dyDescent="0.25">
      <c r="A340" t="s">
        <v>1307</v>
      </c>
      <c r="B340">
        <v>2014</v>
      </c>
      <c r="C340" t="s">
        <v>182</v>
      </c>
      <c r="D340" t="b">
        <f>TRUE()</f>
        <v>1</v>
      </c>
      <c r="E340" t="b">
        <f>COUNTIF(connections!A:A, A340) &gt; 0</f>
        <v>1</v>
      </c>
      <c r="G340" t="s">
        <v>1308</v>
      </c>
      <c r="H340" t="s">
        <v>187</v>
      </c>
      <c r="I340" t="s">
        <v>1309</v>
      </c>
      <c r="J340" s="1" t="s">
        <v>1310</v>
      </c>
    </row>
    <row r="341" spans="1:10" ht="15" customHeight="1" x14ac:dyDescent="0.25">
      <c r="A341" t="s">
        <v>1311</v>
      </c>
      <c r="B341">
        <v>2017</v>
      </c>
      <c r="C341" t="s">
        <v>182</v>
      </c>
      <c r="D341" t="b">
        <f>TRUE()</f>
        <v>1</v>
      </c>
      <c r="E341" t="b">
        <f>COUNTIF(connections!A:A, A341) &gt; 0</f>
        <v>0</v>
      </c>
      <c r="G341" t="s">
        <v>1312</v>
      </c>
    </row>
    <row r="342" spans="1:10" ht="15" customHeight="1" x14ac:dyDescent="0.25">
      <c r="A342" t="s">
        <v>1313</v>
      </c>
      <c r="B342">
        <v>2026</v>
      </c>
      <c r="C342" t="s">
        <v>176</v>
      </c>
      <c r="D342" t="b">
        <v>1</v>
      </c>
      <c r="E342" t="b">
        <f>COUNTIF(connections!A:A, A342) &gt; 0</f>
        <v>0</v>
      </c>
      <c r="G342" t="s">
        <v>1314</v>
      </c>
      <c r="J342" s="10" t="s">
        <v>1315</v>
      </c>
    </row>
    <row r="343" spans="1:10" ht="15" customHeight="1" x14ac:dyDescent="0.25">
      <c r="A343" t="s">
        <v>7915</v>
      </c>
      <c r="B343">
        <v>2026</v>
      </c>
      <c r="C343" t="s">
        <v>182</v>
      </c>
      <c r="D343" t="b">
        <f>TRUE()</f>
        <v>1</v>
      </c>
      <c r="E343" t="b">
        <f>COUNTIF(connections!A:A, A343) &gt; 0</f>
        <v>0</v>
      </c>
      <c r="G343" t="s">
        <v>7916</v>
      </c>
      <c r="J343" s="10" t="s">
        <v>7917</v>
      </c>
    </row>
    <row r="344" spans="1:10" ht="15" customHeight="1" x14ac:dyDescent="0.25">
      <c r="A344" t="s">
        <v>1316</v>
      </c>
      <c r="B344">
        <v>2025</v>
      </c>
      <c r="C344" t="s">
        <v>176</v>
      </c>
      <c r="D344" t="b">
        <f>FALSE()</f>
        <v>0</v>
      </c>
      <c r="E344" t="b">
        <f>COUNTIF(connections!A:A, A344) &gt; 0</f>
        <v>0</v>
      </c>
      <c r="F344" t="s">
        <v>614</v>
      </c>
      <c r="G344" t="s">
        <v>1317</v>
      </c>
    </row>
    <row r="345" spans="1:10" ht="15" customHeight="1" x14ac:dyDescent="0.25">
      <c r="A345" t="s">
        <v>1318</v>
      </c>
      <c r="B345">
        <v>2017</v>
      </c>
      <c r="C345" t="s">
        <v>179</v>
      </c>
      <c r="D345" t="b">
        <f>TRUE()</f>
        <v>1</v>
      </c>
      <c r="E345" t="b">
        <f>COUNTIF(connections!A:A, A345) &gt; 0</f>
        <v>0</v>
      </c>
      <c r="G345" t="s">
        <v>1319</v>
      </c>
      <c r="J345" s="1" t="s">
        <v>1320</v>
      </c>
    </row>
    <row r="346" spans="1:10" ht="15" customHeight="1" x14ac:dyDescent="0.25">
      <c r="A346" t="s">
        <v>1321</v>
      </c>
      <c r="B346">
        <v>2017</v>
      </c>
      <c r="C346" t="s">
        <v>176</v>
      </c>
      <c r="D346" t="b">
        <f>TRUE()</f>
        <v>1</v>
      </c>
      <c r="E346" t="b">
        <f>COUNTIF(connections!A:A, A346) &gt; 0</f>
        <v>0</v>
      </c>
      <c r="G346" t="s">
        <v>1322</v>
      </c>
    </row>
    <row r="347" spans="1:10" ht="15" customHeight="1" x14ac:dyDescent="0.25">
      <c r="A347" t="s">
        <v>1323</v>
      </c>
      <c r="B347">
        <v>2025</v>
      </c>
      <c r="C347" t="s">
        <v>176</v>
      </c>
      <c r="D347" t="b">
        <f>FALSE()</f>
        <v>0</v>
      </c>
      <c r="E347" t="b">
        <f>COUNTIF(connections!A:A, A347) &gt; 0</f>
        <v>0</v>
      </c>
      <c r="G347" t="s">
        <v>1324</v>
      </c>
      <c r="H347" t="s">
        <v>187</v>
      </c>
      <c r="I347" t="s">
        <v>1325</v>
      </c>
      <c r="J347" s="1" t="s">
        <v>1326</v>
      </c>
    </row>
    <row r="348" spans="1:10" ht="15" customHeight="1" x14ac:dyDescent="0.25">
      <c r="A348" t="s">
        <v>1327</v>
      </c>
      <c r="B348">
        <v>2022</v>
      </c>
      <c r="C348" t="s">
        <v>176</v>
      </c>
      <c r="D348" t="b">
        <f>TRUE()</f>
        <v>1</v>
      </c>
      <c r="E348" t="b">
        <f>COUNTIF(connections!A:A, A348) &gt; 0</f>
        <v>0</v>
      </c>
      <c r="F348" t="s">
        <v>199</v>
      </c>
      <c r="G348" t="s">
        <v>1328</v>
      </c>
      <c r="H348" t="s">
        <v>187</v>
      </c>
      <c r="I348" t="s">
        <v>1329</v>
      </c>
      <c r="J348" s="1" t="s">
        <v>1330</v>
      </c>
    </row>
    <row r="349" spans="1:10" ht="15" customHeight="1" x14ac:dyDescent="0.25">
      <c r="A349" t="s">
        <v>1331</v>
      </c>
      <c r="B349">
        <v>2025</v>
      </c>
      <c r="C349" t="s">
        <v>182</v>
      </c>
      <c r="D349" t="b">
        <f>TRUE()</f>
        <v>1</v>
      </c>
      <c r="E349" t="b">
        <f>COUNTIF(connections!A:A, A349) &gt; 0</f>
        <v>0</v>
      </c>
      <c r="G349" t="s">
        <v>1332</v>
      </c>
      <c r="H349" t="s">
        <v>187</v>
      </c>
      <c r="I349" t="s">
        <v>1333</v>
      </c>
      <c r="J349" s="1" t="s">
        <v>1334</v>
      </c>
    </row>
    <row r="350" spans="1:10" ht="15" customHeight="1" x14ac:dyDescent="0.25">
      <c r="A350" t="s">
        <v>1335</v>
      </c>
      <c r="B350">
        <v>2023</v>
      </c>
      <c r="C350" t="s">
        <v>176</v>
      </c>
      <c r="D350" t="b">
        <f>FALSE()</f>
        <v>0</v>
      </c>
      <c r="E350" t="b">
        <f>COUNTIF(connections!A:A, A350) &gt; 0</f>
        <v>0</v>
      </c>
      <c r="G350" t="s">
        <v>1336</v>
      </c>
    </row>
    <row r="351" spans="1:10" ht="15" customHeight="1" x14ac:dyDescent="0.25">
      <c r="A351" t="s">
        <v>1337</v>
      </c>
      <c r="B351">
        <v>2017</v>
      </c>
      <c r="C351" t="s">
        <v>176</v>
      </c>
      <c r="D351" t="b">
        <f>FALSE()</f>
        <v>0</v>
      </c>
      <c r="E351" t="b">
        <f>COUNTIF(connections!A:A, A351) &gt; 0</f>
        <v>0</v>
      </c>
      <c r="G351" t="s">
        <v>1338</v>
      </c>
      <c r="H351" t="s">
        <v>187</v>
      </c>
      <c r="I351" t="s">
        <v>1339</v>
      </c>
      <c r="J351" s="1" t="s">
        <v>1340</v>
      </c>
    </row>
    <row r="352" spans="1:10" ht="15" customHeight="1" x14ac:dyDescent="0.25">
      <c r="A352" t="s">
        <v>1341</v>
      </c>
      <c r="B352">
        <v>2014</v>
      </c>
      <c r="C352" t="s">
        <v>176</v>
      </c>
      <c r="D352" t="b">
        <f>FALSE()</f>
        <v>0</v>
      </c>
      <c r="E352" t="b">
        <f>COUNTIF(connections!A:A, A352) &gt; 0</f>
        <v>0</v>
      </c>
      <c r="G352" t="s">
        <v>1342</v>
      </c>
      <c r="H352" t="s">
        <v>187</v>
      </c>
      <c r="I352" t="s">
        <v>1343</v>
      </c>
      <c r="J352" s="1" t="s">
        <v>1344</v>
      </c>
    </row>
    <row r="353" spans="1:10" ht="15" customHeight="1" x14ac:dyDescent="0.25">
      <c r="A353" t="s">
        <v>1345</v>
      </c>
      <c r="B353">
        <v>2025</v>
      </c>
      <c r="C353" t="s">
        <v>176</v>
      </c>
      <c r="D353" t="b">
        <f>TRUE()</f>
        <v>1</v>
      </c>
      <c r="E353" t="b">
        <f>COUNTIF(connections!A:A, A353) &gt; 0</f>
        <v>0</v>
      </c>
      <c r="G353" t="s">
        <v>1346</v>
      </c>
      <c r="H353" t="s">
        <v>187</v>
      </c>
      <c r="I353" t="s">
        <v>1347</v>
      </c>
      <c r="J353" s="1" t="s">
        <v>1348</v>
      </c>
    </row>
    <row r="354" spans="1:10" ht="15" customHeight="1" x14ac:dyDescent="0.25">
      <c r="A354" t="s">
        <v>1349</v>
      </c>
      <c r="B354">
        <v>2026</v>
      </c>
      <c r="C354" t="s">
        <v>176</v>
      </c>
      <c r="D354" t="b">
        <f>TRUE()</f>
        <v>1</v>
      </c>
      <c r="E354" t="b">
        <f>COUNTIF(connections!A:A, A354) &gt; 0</f>
        <v>0</v>
      </c>
      <c r="F354" t="s">
        <v>199</v>
      </c>
      <c r="G354" t="s">
        <v>1350</v>
      </c>
      <c r="J354" s="10" t="s">
        <v>1351</v>
      </c>
    </row>
    <row r="355" spans="1:10" ht="15" customHeight="1" x14ac:dyDescent="0.25">
      <c r="A355" t="s">
        <v>1352</v>
      </c>
      <c r="B355">
        <v>2023</v>
      </c>
      <c r="C355" t="s">
        <v>176</v>
      </c>
      <c r="D355" t="b">
        <f>FALSE()</f>
        <v>0</v>
      </c>
      <c r="E355" t="b">
        <f>COUNTIF(connections!A:A, A355) &gt; 0</f>
        <v>0</v>
      </c>
      <c r="G355" t="s">
        <v>1353</v>
      </c>
    </row>
    <row r="356" spans="1:10" ht="15" customHeight="1" x14ac:dyDescent="0.25">
      <c r="A356" t="s">
        <v>1354</v>
      </c>
      <c r="B356">
        <v>2023</v>
      </c>
      <c r="C356" t="s">
        <v>182</v>
      </c>
      <c r="D356" t="b">
        <f>TRUE()</f>
        <v>1</v>
      </c>
      <c r="E356" t="b">
        <f>COUNTIF(connections!A:A, A356) &gt; 0</f>
        <v>0</v>
      </c>
      <c r="G356" t="s">
        <v>1355</v>
      </c>
      <c r="H356" t="s">
        <v>187</v>
      </c>
      <c r="I356" t="s">
        <v>1356</v>
      </c>
      <c r="J356" s="1" t="s">
        <v>1357</v>
      </c>
    </row>
    <row r="357" spans="1:10" ht="15" customHeight="1" x14ac:dyDescent="0.25">
      <c r="A357" t="s">
        <v>1358</v>
      </c>
      <c r="B357">
        <v>2025</v>
      </c>
      <c r="C357" t="s">
        <v>176</v>
      </c>
      <c r="D357" t="b">
        <f>TRUE()</f>
        <v>1</v>
      </c>
      <c r="E357" t="b">
        <f>COUNTIF(connections!A:A, A357) &gt; 0</f>
        <v>0</v>
      </c>
      <c r="G357" t="s">
        <v>1359</v>
      </c>
      <c r="H357" t="s">
        <v>187</v>
      </c>
      <c r="I357" t="s">
        <v>1360</v>
      </c>
      <c r="J357" s="1" t="s">
        <v>1361</v>
      </c>
    </row>
    <row r="358" spans="1:10" ht="15" customHeight="1" x14ac:dyDescent="0.25">
      <c r="A358" t="s">
        <v>1362</v>
      </c>
      <c r="B358">
        <v>2023</v>
      </c>
      <c r="C358" t="s">
        <v>176</v>
      </c>
      <c r="D358" t="b">
        <f>TRUE()</f>
        <v>1</v>
      </c>
      <c r="E358" t="b">
        <f>COUNTIF(connections!A:A, A358) &gt; 0</f>
        <v>0</v>
      </c>
      <c r="F358" t="s">
        <v>199</v>
      </c>
      <c r="G358" t="s">
        <v>1363</v>
      </c>
      <c r="H358" t="s">
        <v>187</v>
      </c>
      <c r="I358" t="s">
        <v>1364</v>
      </c>
      <c r="J358" s="1" t="s">
        <v>1365</v>
      </c>
    </row>
    <row r="359" spans="1:10" ht="15" customHeight="1" x14ac:dyDescent="0.25">
      <c r="A359" t="s">
        <v>1366</v>
      </c>
      <c r="B359">
        <v>2018</v>
      </c>
      <c r="C359" t="s">
        <v>176</v>
      </c>
      <c r="D359" t="b">
        <f>TRUE()</f>
        <v>1</v>
      </c>
      <c r="E359" t="b">
        <f>COUNTIF(connections!A:A, A359) &gt; 0</f>
        <v>1</v>
      </c>
      <c r="G359" t="s">
        <v>1367</v>
      </c>
      <c r="H359" t="s">
        <v>187</v>
      </c>
      <c r="I359" t="s">
        <v>1368</v>
      </c>
      <c r="J359" s="1" t="s">
        <v>1369</v>
      </c>
    </row>
    <row r="360" spans="1:10" ht="15" customHeight="1" x14ac:dyDescent="0.25">
      <c r="A360" t="s">
        <v>1370</v>
      </c>
      <c r="B360">
        <v>2025</v>
      </c>
      <c r="C360" t="s">
        <v>176</v>
      </c>
      <c r="D360" t="b">
        <f>TRUE()</f>
        <v>1</v>
      </c>
      <c r="E360" t="b">
        <f>COUNTIF(connections!A:A, A360) &gt; 0</f>
        <v>0</v>
      </c>
      <c r="G360" t="s">
        <v>1371</v>
      </c>
      <c r="H360" t="s">
        <v>187</v>
      </c>
      <c r="I360" t="s">
        <v>1372</v>
      </c>
      <c r="J360" s="1" t="s">
        <v>1373</v>
      </c>
    </row>
    <row r="361" spans="1:10" ht="15" customHeight="1" x14ac:dyDescent="0.25">
      <c r="A361" t="s">
        <v>1374</v>
      </c>
      <c r="B361">
        <v>2025</v>
      </c>
      <c r="C361" t="s">
        <v>222</v>
      </c>
      <c r="D361" t="b">
        <f>TRUE()</f>
        <v>1</v>
      </c>
      <c r="E361" t="b">
        <f>COUNTIF(connections!A:A, A361) &gt; 0</f>
        <v>0</v>
      </c>
      <c r="G361" t="s">
        <v>1375</v>
      </c>
      <c r="J361" s="10" t="s">
        <v>1376</v>
      </c>
    </row>
    <row r="362" spans="1:10" ht="15" customHeight="1" x14ac:dyDescent="0.25">
      <c r="A362" t="s">
        <v>1377</v>
      </c>
      <c r="B362">
        <v>2026</v>
      </c>
      <c r="C362" t="s">
        <v>222</v>
      </c>
      <c r="D362" t="b">
        <f>TRUE()</f>
        <v>1</v>
      </c>
      <c r="E362" t="b">
        <f>COUNTIF(connections!A:A, A362) &gt; 0</f>
        <v>0</v>
      </c>
      <c r="G362" t="s">
        <v>1378</v>
      </c>
    </row>
    <row r="363" spans="1:10" ht="15" customHeight="1" x14ac:dyDescent="0.25">
      <c r="A363" t="s">
        <v>1379</v>
      </c>
      <c r="B363">
        <v>2023</v>
      </c>
      <c r="C363" t="s">
        <v>176</v>
      </c>
      <c r="D363" t="b">
        <f>TRUE()</f>
        <v>1</v>
      </c>
      <c r="E363" t="b">
        <f>COUNTIF(connections!A:A, A363) &gt; 0</f>
        <v>0</v>
      </c>
      <c r="G363" t="s">
        <v>1380</v>
      </c>
      <c r="H363" t="s">
        <v>187</v>
      </c>
      <c r="I363" t="s">
        <v>1381</v>
      </c>
      <c r="J363" s="1" t="s">
        <v>1382</v>
      </c>
    </row>
    <row r="364" spans="1:10" ht="15" customHeight="1" x14ac:dyDescent="0.25">
      <c r="A364" t="s">
        <v>1383</v>
      </c>
      <c r="B364">
        <v>2026</v>
      </c>
      <c r="C364" t="s">
        <v>179</v>
      </c>
      <c r="D364" t="b">
        <f>TRUE()</f>
        <v>1</v>
      </c>
      <c r="E364" t="b">
        <f>COUNTIF(connections!A:A, A364) &gt; 0</f>
        <v>0</v>
      </c>
      <c r="G364" t="s">
        <v>1384</v>
      </c>
      <c r="J364" s="10" t="s">
        <v>1385</v>
      </c>
    </row>
    <row r="365" spans="1:10" ht="15" customHeight="1" x14ac:dyDescent="0.25">
      <c r="A365" t="s">
        <v>1386</v>
      </c>
      <c r="B365">
        <v>2013</v>
      </c>
      <c r="C365" t="s">
        <v>179</v>
      </c>
      <c r="D365" t="b">
        <f>TRUE()</f>
        <v>1</v>
      </c>
      <c r="E365" t="b">
        <f>COUNTIF(connections!A:A, A365) &gt; 0</f>
        <v>1</v>
      </c>
      <c r="G365" t="s">
        <v>1387</v>
      </c>
      <c r="H365" t="s">
        <v>187</v>
      </c>
      <c r="I365" t="s">
        <v>1388</v>
      </c>
    </row>
    <row r="366" spans="1:10" ht="15" customHeight="1" x14ac:dyDescent="0.25">
      <c r="A366" t="s">
        <v>1389</v>
      </c>
      <c r="B366">
        <v>2025</v>
      </c>
      <c r="C366" t="s">
        <v>179</v>
      </c>
      <c r="D366" t="b">
        <f>TRUE()</f>
        <v>1</v>
      </c>
      <c r="E366" t="b">
        <f>COUNTIF(connections!A:A, A366) &gt; 0</f>
        <v>0</v>
      </c>
      <c r="F366" t="s">
        <v>1390</v>
      </c>
      <c r="G366" t="s">
        <v>1391</v>
      </c>
    </row>
    <row r="367" spans="1:10" ht="15" customHeight="1" x14ac:dyDescent="0.25">
      <c r="A367" t="s">
        <v>1392</v>
      </c>
      <c r="B367">
        <v>2026</v>
      </c>
      <c r="C367" t="s">
        <v>176</v>
      </c>
      <c r="D367" t="b">
        <f>TRUE()</f>
        <v>1</v>
      </c>
      <c r="E367" t="b">
        <f>COUNTIF(connections!A:A, A367) &gt; 0</f>
        <v>0</v>
      </c>
      <c r="G367" t="s">
        <v>1393</v>
      </c>
      <c r="J367" s="10" t="s">
        <v>1394</v>
      </c>
    </row>
    <row r="368" spans="1:10" ht="15" customHeight="1" x14ac:dyDescent="0.25">
      <c r="A368" t="s">
        <v>1395</v>
      </c>
      <c r="B368">
        <v>2026</v>
      </c>
      <c r="C368" t="s">
        <v>182</v>
      </c>
      <c r="D368" t="b">
        <f>TRUE()</f>
        <v>1</v>
      </c>
      <c r="E368" t="b">
        <f>COUNTIF(connections!A:A, A368) &gt; 0</f>
        <v>0</v>
      </c>
      <c r="G368" t="s">
        <v>1396</v>
      </c>
    </row>
    <row r="369" spans="1:10" ht="15" customHeight="1" x14ac:dyDescent="0.25">
      <c r="A369" t="s">
        <v>1397</v>
      </c>
      <c r="B369">
        <v>2026</v>
      </c>
      <c r="C369" t="s">
        <v>176</v>
      </c>
      <c r="D369" t="b">
        <f>TRUE()</f>
        <v>1</v>
      </c>
      <c r="E369" t="b">
        <f>COUNTIF(connections!A:A, A369) &gt; 0</f>
        <v>0</v>
      </c>
      <c r="F369" t="s">
        <v>1398</v>
      </c>
      <c r="G369" t="s">
        <v>1399</v>
      </c>
      <c r="H369" t="s">
        <v>187</v>
      </c>
      <c r="I369" t="s">
        <v>1400</v>
      </c>
    </row>
    <row r="370" spans="1:10" ht="15" customHeight="1" x14ac:dyDescent="0.25">
      <c r="A370" t="s">
        <v>1401</v>
      </c>
      <c r="B370">
        <v>2012</v>
      </c>
      <c r="C370" t="s">
        <v>179</v>
      </c>
      <c r="D370" t="b">
        <f>TRUE()</f>
        <v>1</v>
      </c>
      <c r="E370" t="b">
        <f>COUNTIF(connections!A:A, A370) &gt; 0</f>
        <v>0</v>
      </c>
      <c r="G370" t="s">
        <v>1402</v>
      </c>
      <c r="J370" s="10" t="s">
        <v>1403</v>
      </c>
    </row>
    <row r="371" spans="1:10" ht="15" customHeight="1" x14ac:dyDescent="0.25">
      <c r="A371" t="s">
        <v>1404</v>
      </c>
      <c r="B371">
        <v>2025</v>
      </c>
      <c r="C371" t="s">
        <v>176</v>
      </c>
      <c r="D371" t="b">
        <f>TRUE()</f>
        <v>1</v>
      </c>
      <c r="E371" t="b">
        <f>COUNTIF(connections!A:A, A371) &gt; 0</f>
        <v>0</v>
      </c>
      <c r="G371" t="s">
        <v>1405</v>
      </c>
      <c r="H371" t="s">
        <v>187</v>
      </c>
      <c r="I371" t="s">
        <v>1406</v>
      </c>
      <c r="J371" s="1" t="s">
        <v>1407</v>
      </c>
    </row>
    <row r="372" spans="1:10" ht="15" customHeight="1" x14ac:dyDescent="0.25">
      <c r="A372" t="s">
        <v>1408</v>
      </c>
      <c r="B372">
        <v>2017</v>
      </c>
      <c r="C372" t="s">
        <v>179</v>
      </c>
      <c r="D372" t="b">
        <f>TRUE()</f>
        <v>1</v>
      </c>
      <c r="E372" t="b">
        <f>COUNTIF(connections!A:A, A372) &gt; 0</f>
        <v>0</v>
      </c>
      <c r="G372" t="s">
        <v>1409</v>
      </c>
    </row>
    <row r="373" spans="1:10" ht="15" customHeight="1" x14ac:dyDescent="0.25">
      <c r="A373" t="s">
        <v>1410</v>
      </c>
      <c r="B373">
        <v>2022</v>
      </c>
      <c r="C373" t="s">
        <v>176</v>
      </c>
      <c r="D373" t="b">
        <f>TRUE()</f>
        <v>1</v>
      </c>
      <c r="E373" t="b">
        <f>COUNTIF(connections!A:A, A373) &gt; 0</f>
        <v>0</v>
      </c>
      <c r="G373" t="s">
        <v>1411</v>
      </c>
      <c r="H373" t="s">
        <v>187</v>
      </c>
      <c r="I373" t="s">
        <v>1412</v>
      </c>
      <c r="J373" s="1" t="s">
        <v>1413</v>
      </c>
    </row>
    <row r="374" spans="1:10" ht="15" customHeight="1" x14ac:dyDescent="0.25">
      <c r="A374" t="s">
        <v>1414</v>
      </c>
      <c r="B374">
        <v>2017</v>
      </c>
      <c r="C374" t="s">
        <v>176</v>
      </c>
      <c r="D374" t="b">
        <f>TRUE()</f>
        <v>1</v>
      </c>
      <c r="E374" t="b">
        <f>COUNTIF(connections!A:A, A374) &gt; 0</f>
        <v>0</v>
      </c>
      <c r="G374" t="s">
        <v>1415</v>
      </c>
      <c r="H374" t="s">
        <v>187</v>
      </c>
      <c r="I374" t="s">
        <v>1416</v>
      </c>
      <c r="J374" s="1" t="s">
        <v>1417</v>
      </c>
    </row>
    <row r="375" spans="1:10" ht="15" customHeight="1" x14ac:dyDescent="0.25">
      <c r="A375" t="s">
        <v>1418</v>
      </c>
      <c r="B375">
        <v>2016</v>
      </c>
      <c r="C375" t="s">
        <v>176</v>
      </c>
      <c r="D375" t="b">
        <v>1</v>
      </c>
      <c r="E375" t="b">
        <f>COUNTIF(connections!A:A, A375) &gt; 0</f>
        <v>0</v>
      </c>
      <c r="G375" t="s">
        <v>1419</v>
      </c>
      <c r="J375" s="10" t="s">
        <v>1420</v>
      </c>
    </row>
    <row r="376" spans="1:10" ht="15" customHeight="1" x14ac:dyDescent="0.25">
      <c r="A376" t="s">
        <v>1421</v>
      </c>
      <c r="B376">
        <v>2007</v>
      </c>
      <c r="C376" t="s">
        <v>179</v>
      </c>
      <c r="D376" t="b">
        <f>TRUE()</f>
        <v>1</v>
      </c>
      <c r="E376" t="b">
        <f>COUNTIF(connections!A:A, A376) &gt; 0</f>
        <v>1</v>
      </c>
      <c r="G376" t="s">
        <v>1422</v>
      </c>
      <c r="H376" t="s">
        <v>187</v>
      </c>
      <c r="I376" t="s">
        <v>1423</v>
      </c>
    </row>
    <row r="377" spans="1:10" ht="15" customHeight="1" x14ac:dyDescent="0.25">
      <c r="A377" t="s">
        <v>1424</v>
      </c>
      <c r="B377">
        <v>2015</v>
      </c>
      <c r="C377" t="s">
        <v>222</v>
      </c>
      <c r="D377" t="b">
        <f>TRUE()</f>
        <v>1</v>
      </c>
      <c r="E377" t="b">
        <f>COUNTIF(connections!A:A, A377) &gt; 0</f>
        <v>0</v>
      </c>
      <c r="G377" t="s">
        <v>1425</v>
      </c>
    </row>
    <row r="378" spans="1:10" ht="15" customHeight="1" x14ac:dyDescent="0.25">
      <c r="A378" t="s">
        <v>1426</v>
      </c>
      <c r="B378">
        <v>2011</v>
      </c>
      <c r="C378" t="s">
        <v>179</v>
      </c>
      <c r="D378" t="b">
        <f>TRUE()</f>
        <v>1</v>
      </c>
      <c r="E378" t="b">
        <f>COUNTIF(connections!A:A, A378) &gt; 0</f>
        <v>0</v>
      </c>
      <c r="F378" t="s">
        <v>274</v>
      </c>
      <c r="G378" t="s">
        <v>1427</v>
      </c>
      <c r="H378" t="s">
        <v>187</v>
      </c>
      <c r="I378" t="s">
        <v>1428</v>
      </c>
    </row>
    <row r="379" spans="1:10" ht="15" customHeight="1" x14ac:dyDescent="0.25">
      <c r="A379" t="s">
        <v>1429</v>
      </c>
      <c r="B379">
        <v>2023</v>
      </c>
      <c r="C379" t="s">
        <v>222</v>
      </c>
      <c r="D379" t="b">
        <f>TRUE()</f>
        <v>1</v>
      </c>
      <c r="E379" t="b">
        <f>COUNTIF(connections!A:A, A379) &gt; 0</f>
        <v>0</v>
      </c>
      <c r="G379" t="s">
        <v>1430</v>
      </c>
      <c r="H379" t="s">
        <v>187</v>
      </c>
      <c r="I379" t="s">
        <v>1431</v>
      </c>
      <c r="J379" s="10" t="s">
        <v>1432</v>
      </c>
    </row>
    <row r="380" spans="1:10" ht="15" customHeight="1" x14ac:dyDescent="0.25">
      <c r="A380" t="s">
        <v>1433</v>
      </c>
      <c r="B380">
        <v>2025</v>
      </c>
      <c r="C380" t="s">
        <v>222</v>
      </c>
      <c r="D380" t="b">
        <f>TRUE()</f>
        <v>1</v>
      </c>
      <c r="E380" t="b">
        <f>COUNTIF(connections!A:A, A380) &gt; 0</f>
        <v>0</v>
      </c>
      <c r="G380" t="s">
        <v>1434</v>
      </c>
      <c r="J380" s="10" t="s">
        <v>1435</v>
      </c>
    </row>
    <row r="381" spans="1:10" ht="15" customHeight="1" x14ac:dyDescent="0.25">
      <c r="A381" t="s">
        <v>1436</v>
      </c>
      <c r="B381">
        <v>2021</v>
      </c>
      <c r="C381" t="s">
        <v>182</v>
      </c>
      <c r="D381" t="b">
        <f>TRUE()</f>
        <v>1</v>
      </c>
      <c r="E381" t="b">
        <f>COUNTIF(connections!A:A, A381) &gt; 0</f>
        <v>1</v>
      </c>
      <c r="G381" t="s">
        <v>1437</v>
      </c>
      <c r="H381" t="s">
        <v>187</v>
      </c>
      <c r="I381" t="s">
        <v>1438</v>
      </c>
      <c r="J381" s="1" t="s">
        <v>1439</v>
      </c>
    </row>
    <row r="382" spans="1:10" ht="15" customHeight="1" x14ac:dyDescent="0.25">
      <c r="A382" t="s">
        <v>1440</v>
      </c>
      <c r="B382">
        <v>2021</v>
      </c>
      <c r="C382" t="s">
        <v>222</v>
      </c>
      <c r="D382" t="b">
        <f>TRUE()</f>
        <v>1</v>
      </c>
      <c r="E382" t="b">
        <f>COUNTIF(connections!A:A, A382) &gt; 0</f>
        <v>0</v>
      </c>
      <c r="G382" t="s">
        <v>1441</v>
      </c>
      <c r="H382" t="s">
        <v>187</v>
      </c>
      <c r="I382" t="s">
        <v>1442</v>
      </c>
      <c r="J382" s="1" t="s">
        <v>1443</v>
      </c>
    </row>
    <row r="383" spans="1:10" ht="15" customHeight="1" x14ac:dyDescent="0.25">
      <c r="A383" t="s">
        <v>1444</v>
      </c>
      <c r="B383">
        <v>2018</v>
      </c>
      <c r="C383" t="s">
        <v>222</v>
      </c>
      <c r="D383" t="b">
        <f>TRUE()</f>
        <v>1</v>
      </c>
      <c r="E383" t="b">
        <f>COUNTIF(connections!A:A, A383) &gt; 0</f>
        <v>1</v>
      </c>
      <c r="F383" t="s">
        <v>274</v>
      </c>
      <c r="G383" t="s">
        <v>1445</v>
      </c>
      <c r="H383" t="s">
        <v>187</v>
      </c>
      <c r="I383" t="s">
        <v>1446</v>
      </c>
      <c r="J383" s="1" t="s">
        <v>1447</v>
      </c>
    </row>
    <row r="384" spans="1:10" ht="15" customHeight="1" x14ac:dyDescent="0.25">
      <c r="A384" t="s">
        <v>1448</v>
      </c>
      <c r="B384">
        <v>2025</v>
      </c>
      <c r="C384" t="s">
        <v>182</v>
      </c>
      <c r="D384" t="b">
        <f>TRUE()</f>
        <v>1</v>
      </c>
      <c r="E384" t="b">
        <f>COUNTIF(connections!A:A, A384) &gt; 0</f>
        <v>0</v>
      </c>
      <c r="G384" t="s">
        <v>1449</v>
      </c>
      <c r="J384" s="10" t="s">
        <v>1450</v>
      </c>
    </row>
    <row r="385" spans="1:10" ht="15" customHeight="1" x14ac:dyDescent="0.25">
      <c r="A385" t="s">
        <v>1451</v>
      </c>
      <c r="B385">
        <v>2019</v>
      </c>
      <c r="C385" t="s">
        <v>222</v>
      </c>
      <c r="D385" t="b">
        <f>TRUE()</f>
        <v>1</v>
      </c>
      <c r="E385" t="b">
        <f>COUNTIF(connections!A:A, A385) &gt; 0</f>
        <v>0</v>
      </c>
      <c r="G385" t="s">
        <v>1452</v>
      </c>
      <c r="H385" t="s">
        <v>187</v>
      </c>
      <c r="I385" t="s">
        <v>1453</v>
      </c>
      <c r="J385" s="1" t="s">
        <v>1454</v>
      </c>
    </row>
    <row r="386" spans="1:10" ht="15" customHeight="1" x14ac:dyDescent="0.25">
      <c r="A386" t="s">
        <v>1455</v>
      </c>
      <c r="B386">
        <v>2001</v>
      </c>
      <c r="C386" t="s">
        <v>179</v>
      </c>
      <c r="D386" t="b">
        <f>TRUE()</f>
        <v>1</v>
      </c>
      <c r="E386" t="b">
        <f>COUNTIF(connections!A:A, A386) &gt; 0</f>
        <v>1</v>
      </c>
      <c r="G386" t="s">
        <v>1456</v>
      </c>
      <c r="H386" t="s">
        <v>187</v>
      </c>
      <c r="I386" t="s">
        <v>1457</v>
      </c>
    </row>
    <row r="387" spans="1:10" ht="15" customHeight="1" x14ac:dyDescent="0.25">
      <c r="A387" t="s">
        <v>1458</v>
      </c>
      <c r="B387">
        <v>2007</v>
      </c>
      <c r="C387" t="s">
        <v>179</v>
      </c>
      <c r="D387" t="b">
        <f>TRUE()</f>
        <v>1</v>
      </c>
      <c r="E387" t="b">
        <f>COUNTIF(connections!A:A, A387) &gt; 0</f>
        <v>0</v>
      </c>
      <c r="G387" t="s">
        <v>1459</v>
      </c>
      <c r="H387" t="s">
        <v>187</v>
      </c>
      <c r="I387" t="s">
        <v>1460</v>
      </c>
    </row>
    <row r="388" spans="1:10" ht="15" customHeight="1" x14ac:dyDescent="0.25">
      <c r="A388" t="s">
        <v>1461</v>
      </c>
      <c r="B388">
        <v>2006</v>
      </c>
      <c r="C388" t="s">
        <v>179</v>
      </c>
      <c r="D388" t="b">
        <f>TRUE()</f>
        <v>1</v>
      </c>
      <c r="E388" t="b">
        <f>COUNTIF(connections!A:A, A388) &gt; 0</f>
        <v>1</v>
      </c>
      <c r="G388" t="s">
        <v>1462</v>
      </c>
      <c r="H388" t="s">
        <v>187</v>
      </c>
      <c r="I388" t="s">
        <v>1463</v>
      </c>
    </row>
    <row r="389" spans="1:10" ht="15" customHeight="1" x14ac:dyDescent="0.25">
      <c r="A389" t="s">
        <v>1464</v>
      </c>
      <c r="B389">
        <v>2025</v>
      </c>
      <c r="C389" t="s">
        <v>176</v>
      </c>
      <c r="D389" t="b">
        <f>TRUE()</f>
        <v>1</v>
      </c>
      <c r="E389" t="b">
        <f>COUNTIF(connections!A:A, A389) &gt; 0</f>
        <v>0</v>
      </c>
      <c r="G389" t="s">
        <v>1465</v>
      </c>
    </row>
    <row r="390" spans="1:10" ht="15" customHeight="1" x14ac:dyDescent="0.25">
      <c r="A390" t="s">
        <v>1466</v>
      </c>
      <c r="B390">
        <v>2018</v>
      </c>
      <c r="C390" t="s">
        <v>176</v>
      </c>
      <c r="D390" t="b">
        <f>FALSE()</f>
        <v>0</v>
      </c>
      <c r="E390" t="b">
        <f>COUNTIF(connections!A:A, A390) &gt; 0</f>
        <v>0</v>
      </c>
      <c r="F390" t="s">
        <v>264</v>
      </c>
      <c r="G390" t="s">
        <v>1467</v>
      </c>
    </row>
    <row r="391" spans="1:10" ht="15" customHeight="1" x14ac:dyDescent="0.25">
      <c r="A391" t="s">
        <v>1468</v>
      </c>
      <c r="B391">
        <v>2019</v>
      </c>
      <c r="C391" t="s">
        <v>179</v>
      </c>
      <c r="D391" t="b">
        <f>TRUE()</f>
        <v>1</v>
      </c>
      <c r="E391" t="b">
        <f>COUNTIF(connections!A:A, A391) &gt; 0</f>
        <v>0</v>
      </c>
      <c r="F391" t="s">
        <v>274</v>
      </c>
      <c r="G391" t="s">
        <v>1469</v>
      </c>
      <c r="H391" t="s">
        <v>187</v>
      </c>
      <c r="I391" t="s">
        <v>1470</v>
      </c>
      <c r="J391" s="1" t="s">
        <v>1471</v>
      </c>
    </row>
    <row r="392" spans="1:10" ht="15" customHeight="1" x14ac:dyDescent="0.25">
      <c r="A392" t="s">
        <v>1472</v>
      </c>
      <c r="B392">
        <v>2023</v>
      </c>
      <c r="C392" t="s">
        <v>176</v>
      </c>
      <c r="D392" t="b">
        <f>TRUE()</f>
        <v>1</v>
      </c>
      <c r="E392" t="b">
        <f>COUNTIF(connections!A:A, A392) &gt; 0</f>
        <v>0</v>
      </c>
      <c r="G392" t="s">
        <v>1473</v>
      </c>
      <c r="H392" t="s">
        <v>187</v>
      </c>
      <c r="I392" t="s">
        <v>1474</v>
      </c>
      <c r="J392" s="1" t="s">
        <v>1475</v>
      </c>
    </row>
    <row r="393" spans="1:10" ht="15" customHeight="1" x14ac:dyDescent="0.25">
      <c r="A393" t="s">
        <v>1476</v>
      </c>
      <c r="B393">
        <v>2024</v>
      </c>
      <c r="C393" t="s">
        <v>222</v>
      </c>
      <c r="D393" t="b">
        <f>TRUE()</f>
        <v>1</v>
      </c>
      <c r="E393" t="b">
        <f>COUNTIF(connections!A:A, A393) &gt; 0</f>
        <v>0</v>
      </c>
      <c r="G393" t="s">
        <v>1477</v>
      </c>
      <c r="H393" t="s">
        <v>187</v>
      </c>
      <c r="I393" t="s">
        <v>1478</v>
      </c>
      <c r="J393" s="1" t="s">
        <v>1479</v>
      </c>
    </row>
    <row r="394" spans="1:10" ht="15" customHeight="1" x14ac:dyDescent="0.25">
      <c r="A394" t="s">
        <v>1480</v>
      </c>
      <c r="B394">
        <v>2025</v>
      </c>
      <c r="C394" t="s">
        <v>176</v>
      </c>
      <c r="D394" t="b">
        <f>TRUE()</f>
        <v>1</v>
      </c>
      <c r="E394" t="b">
        <f>COUNTIF(connections!A:A, A394) &gt; 0</f>
        <v>0</v>
      </c>
      <c r="G394" t="s">
        <v>1481</v>
      </c>
      <c r="J394" s="10" t="s">
        <v>1482</v>
      </c>
    </row>
    <row r="395" spans="1:10" ht="15" customHeight="1" x14ac:dyDescent="0.25">
      <c r="A395" t="s">
        <v>1483</v>
      </c>
      <c r="B395">
        <v>2015</v>
      </c>
      <c r="C395" t="s">
        <v>179</v>
      </c>
      <c r="D395" t="b">
        <f>TRUE()</f>
        <v>1</v>
      </c>
      <c r="E395" t="b">
        <f>COUNTIF(connections!A:A, A395) &gt; 0</f>
        <v>0</v>
      </c>
      <c r="G395" t="s">
        <v>1484</v>
      </c>
      <c r="H395" t="s">
        <v>187</v>
      </c>
      <c r="I395" t="s">
        <v>1485</v>
      </c>
      <c r="J395" s="1" t="s">
        <v>1486</v>
      </c>
    </row>
    <row r="396" spans="1:10" ht="15" customHeight="1" x14ac:dyDescent="0.25">
      <c r="A396" t="s">
        <v>1487</v>
      </c>
      <c r="B396">
        <v>2023</v>
      </c>
      <c r="C396" t="s">
        <v>176</v>
      </c>
      <c r="D396" t="b">
        <f>TRUE()</f>
        <v>1</v>
      </c>
      <c r="E396" t="b">
        <f>COUNTIF(connections!A:A, A396) &gt; 0</f>
        <v>0</v>
      </c>
      <c r="G396" t="s">
        <v>1488</v>
      </c>
      <c r="H396" t="s">
        <v>187</v>
      </c>
      <c r="I396" t="s">
        <v>1489</v>
      </c>
      <c r="J396" s="1" t="s">
        <v>1490</v>
      </c>
    </row>
    <row r="397" spans="1:10" ht="15" customHeight="1" x14ac:dyDescent="0.25">
      <c r="A397" t="s">
        <v>1491</v>
      </c>
      <c r="B397">
        <v>2025</v>
      </c>
      <c r="C397" t="s">
        <v>222</v>
      </c>
      <c r="D397" t="b">
        <f>FALSE()</f>
        <v>0</v>
      </c>
      <c r="E397" t="b">
        <f>COUNTIF(connections!A:A, A397) &gt; 0</f>
        <v>0</v>
      </c>
      <c r="G397" t="s">
        <v>1492</v>
      </c>
    </row>
    <row r="398" spans="1:10" ht="15" customHeight="1" x14ac:dyDescent="0.25">
      <c r="A398" t="s">
        <v>1493</v>
      </c>
      <c r="B398">
        <v>2025</v>
      </c>
      <c r="C398" t="s">
        <v>176</v>
      </c>
      <c r="D398" t="b">
        <f>TRUE()</f>
        <v>1</v>
      </c>
      <c r="E398" t="b">
        <f>COUNTIF(connections!A:A, A398) &gt; 0</f>
        <v>0</v>
      </c>
      <c r="F398" t="s">
        <v>399</v>
      </c>
      <c r="G398" t="s">
        <v>1494</v>
      </c>
      <c r="H398" t="s">
        <v>187</v>
      </c>
      <c r="I398" t="s">
        <v>1495</v>
      </c>
      <c r="J398" s="1" t="s">
        <v>1496</v>
      </c>
    </row>
    <row r="399" spans="1:10" ht="15" customHeight="1" x14ac:dyDescent="0.25">
      <c r="A399" t="s">
        <v>1497</v>
      </c>
      <c r="B399">
        <v>2016</v>
      </c>
      <c r="C399" t="s">
        <v>222</v>
      </c>
      <c r="D399" t="b">
        <f>TRUE()</f>
        <v>1</v>
      </c>
      <c r="E399" t="b">
        <f>COUNTIF(connections!A:A, A399) &gt; 0</f>
        <v>1</v>
      </c>
      <c r="G399" t="s">
        <v>1498</v>
      </c>
      <c r="H399" t="s">
        <v>187</v>
      </c>
      <c r="I399" t="s">
        <v>1499</v>
      </c>
      <c r="J399" s="1" t="s">
        <v>1500</v>
      </c>
    </row>
    <row r="400" spans="1:10" ht="15" customHeight="1" x14ac:dyDescent="0.25">
      <c r="A400" t="s">
        <v>1501</v>
      </c>
      <c r="B400">
        <v>2023</v>
      </c>
      <c r="C400" t="s">
        <v>176</v>
      </c>
      <c r="D400" t="b">
        <f>TRUE()</f>
        <v>1</v>
      </c>
      <c r="E400" t="b">
        <f>COUNTIF(connections!A:A, A400) &gt; 0</f>
        <v>0</v>
      </c>
      <c r="F400" t="s">
        <v>529</v>
      </c>
      <c r="G400" t="s">
        <v>1502</v>
      </c>
      <c r="H400" t="s">
        <v>187</v>
      </c>
      <c r="I400" t="s">
        <v>1503</v>
      </c>
      <c r="J400" s="1" t="s">
        <v>1021</v>
      </c>
    </row>
    <row r="401" spans="1:10" ht="15" customHeight="1" x14ac:dyDescent="0.25">
      <c r="A401" t="s">
        <v>1504</v>
      </c>
      <c r="B401">
        <v>2025</v>
      </c>
      <c r="C401" t="s">
        <v>222</v>
      </c>
      <c r="D401" t="b">
        <f>TRUE()</f>
        <v>1</v>
      </c>
      <c r="E401" t="b">
        <f>COUNTIF(connections!A:A, A401) &gt; 0</f>
        <v>0</v>
      </c>
      <c r="F401" t="s">
        <v>1031</v>
      </c>
      <c r="G401" t="s">
        <v>1505</v>
      </c>
      <c r="H401" t="s">
        <v>187</v>
      </c>
      <c r="I401" t="s">
        <v>1506</v>
      </c>
      <c r="J401" s="1" t="s">
        <v>1507</v>
      </c>
    </row>
    <row r="402" spans="1:10" ht="15" customHeight="1" x14ac:dyDescent="0.25">
      <c r="A402" t="s">
        <v>1508</v>
      </c>
      <c r="B402">
        <v>2025</v>
      </c>
      <c r="C402" t="s">
        <v>182</v>
      </c>
      <c r="D402" t="b">
        <f>TRUE()</f>
        <v>1</v>
      </c>
      <c r="E402" t="b">
        <f>COUNTIF(connections!A:A, A402) &gt; 0</f>
        <v>0</v>
      </c>
      <c r="F402" t="s">
        <v>1031</v>
      </c>
      <c r="G402" t="s">
        <v>1509</v>
      </c>
      <c r="H402" t="s">
        <v>187</v>
      </c>
      <c r="I402" t="s">
        <v>1510</v>
      </c>
      <c r="J402" s="1" t="s">
        <v>1511</v>
      </c>
    </row>
    <row r="403" spans="1:10" ht="15" customHeight="1" x14ac:dyDescent="0.25">
      <c r="A403" t="s">
        <v>1512</v>
      </c>
      <c r="B403">
        <v>2020</v>
      </c>
      <c r="C403" t="s">
        <v>182</v>
      </c>
      <c r="D403" t="b">
        <f>TRUE()</f>
        <v>1</v>
      </c>
      <c r="E403" t="b">
        <f>COUNTIF(connections!A:A, A403) &gt; 0</f>
        <v>0</v>
      </c>
      <c r="G403" t="s">
        <v>1513</v>
      </c>
    </row>
    <row r="404" spans="1:10" ht="15" customHeight="1" x14ac:dyDescent="0.25">
      <c r="A404" t="s">
        <v>1514</v>
      </c>
      <c r="B404">
        <v>2020</v>
      </c>
      <c r="C404" t="s">
        <v>179</v>
      </c>
      <c r="D404" t="b">
        <f>TRUE()</f>
        <v>1</v>
      </c>
      <c r="E404" t="b">
        <f>COUNTIF(connections!A:A, A404) &gt; 0</f>
        <v>0</v>
      </c>
      <c r="G404" t="s">
        <v>1515</v>
      </c>
      <c r="H404" t="s">
        <v>187</v>
      </c>
      <c r="I404" t="s">
        <v>1516</v>
      </c>
    </row>
    <row r="405" spans="1:10" ht="15" customHeight="1" x14ac:dyDescent="0.25">
      <c r="A405" t="s">
        <v>1517</v>
      </c>
      <c r="B405">
        <v>2024</v>
      </c>
      <c r="C405" t="s">
        <v>176</v>
      </c>
      <c r="D405" t="b">
        <f>TRUE()</f>
        <v>1</v>
      </c>
      <c r="E405" t="b">
        <f>COUNTIF(connections!A:A, A405) &gt; 0</f>
        <v>1</v>
      </c>
      <c r="F405" t="s">
        <v>652</v>
      </c>
      <c r="G405" t="s">
        <v>1518</v>
      </c>
      <c r="H405" t="s">
        <v>187</v>
      </c>
      <c r="I405" t="s">
        <v>1519</v>
      </c>
      <c r="J405" s="1" t="s">
        <v>1520</v>
      </c>
    </row>
    <row r="406" spans="1:10" ht="15" customHeight="1" x14ac:dyDescent="0.25">
      <c r="A406" t="s">
        <v>1521</v>
      </c>
      <c r="B406">
        <v>2006</v>
      </c>
      <c r="C406" t="s">
        <v>179</v>
      </c>
      <c r="D406" t="b">
        <f>TRUE()</f>
        <v>1</v>
      </c>
      <c r="E406" t="b">
        <f>COUNTIF(connections!A:A, A406) &gt; 0</f>
        <v>0</v>
      </c>
      <c r="G406" t="s">
        <v>1522</v>
      </c>
      <c r="H406" t="s">
        <v>187</v>
      </c>
      <c r="I406" t="s">
        <v>1523</v>
      </c>
    </row>
    <row r="407" spans="1:10" ht="15" customHeight="1" x14ac:dyDescent="0.25">
      <c r="A407" t="s">
        <v>1524</v>
      </c>
      <c r="B407">
        <v>1986</v>
      </c>
      <c r="C407" t="s">
        <v>179</v>
      </c>
      <c r="D407" t="b">
        <f>TRUE()</f>
        <v>1</v>
      </c>
      <c r="E407" t="b">
        <f>COUNTIF(connections!A:A, A407) &gt; 0</f>
        <v>0</v>
      </c>
      <c r="G407" t="s">
        <v>1525</v>
      </c>
      <c r="H407" t="s">
        <v>187</v>
      </c>
      <c r="I407" t="s">
        <v>1526</v>
      </c>
    </row>
    <row r="408" spans="1:10" ht="15" customHeight="1" x14ac:dyDescent="0.25">
      <c r="A408" t="s">
        <v>1527</v>
      </c>
      <c r="B408">
        <v>2019</v>
      </c>
      <c r="C408" t="s">
        <v>222</v>
      </c>
      <c r="D408" t="b">
        <f>TRUE()</f>
        <v>1</v>
      </c>
      <c r="E408" t="b">
        <f>COUNTIF(connections!A:A, A408) &gt; 0</f>
        <v>0</v>
      </c>
      <c r="G408" t="s">
        <v>1528</v>
      </c>
      <c r="H408" t="s">
        <v>187</v>
      </c>
      <c r="I408" t="s">
        <v>1529</v>
      </c>
      <c r="J408" s="1" t="s">
        <v>1530</v>
      </c>
    </row>
    <row r="409" spans="1:10" ht="15" customHeight="1" x14ac:dyDescent="0.25">
      <c r="A409" t="s">
        <v>1531</v>
      </c>
      <c r="B409">
        <v>2024</v>
      </c>
      <c r="C409" t="s">
        <v>176</v>
      </c>
      <c r="D409" t="b">
        <f>TRUE()</f>
        <v>1</v>
      </c>
      <c r="E409" t="b">
        <f>COUNTIF(connections!A:A, A409) &gt; 0</f>
        <v>0</v>
      </c>
      <c r="F409" t="s">
        <v>264</v>
      </c>
      <c r="G409" t="s">
        <v>1532</v>
      </c>
    </row>
    <row r="410" spans="1:10" ht="15" customHeight="1" x14ac:dyDescent="0.25">
      <c r="A410" t="s">
        <v>1533</v>
      </c>
      <c r="B410">
        <v>2026</v>
      </c>
      <c r="C410" t="s">
        <v>182</v>
      </c>
      <c r="D410" t="b">
        <f>FALSE()</f>
        <v>0</v>
      </c>
      <c r="E410" t="b">
        <f>COUNTIF(connections!A:A, A410) &gt; 0</f>
        <v>0</v>
      </c>
      <c r="G410" t="s">
        <v>1534</v>
      </c>
    </row>
    <row r="411" spans="1:10" ht="15" customHeight="1" x14ac:dyDescent="0.25">
      <c r="A411" t="s">
        <v>1535</v>
      </c>
      <c r="B411">
        <v>2023</v>
      </c>
      <c r="C411" t="s">
        <v>222</v>
      </c>
      <c r="D411" t="b">
        <f>FALSE()</f>
        <v>0</v>
      </c>
      <c r="E411" t="b">
        <f>COUNTIF(connections!A:A, A411) &gt; 0</f>
        <v>0</v>
      </c>
      <c r="G411" t="s">
        <v>1536</v>
      </c>
      <c r="H411" t="s">
        <v>187</v>
      </c>
      <c r="I411" t="s">
        <v>1537</v>
      </c>
      <c r="J411" s="1" t="s">
        <v>1538</v>
      </c>
    </row>
    <row r="412" spans="1:10" ht="15" customHeight="1" x14ac:dyDescent="0.25">
      <c r="A412" t="s">
        <v>1539</v>
      </c>
      <c r="B412">
        <v>1995</v>
      </c>
      <c r="C412" t="s">
        <v>179</v>
      </c>
      <c r="D412" t="b">
        <f>TRUE()</f>
        <v>1</v>
      </c>
      <c r="E412" t="b">
        <f>COUNTIF(connections!A:A, A412) &gt; 0</f>
        <v>1</v>
      </c>
      <c r="G412" t="s">
        <v>1540</v>
      </c>
      <c r="H412" t="s">
        <v>187</v>
      </c>
      <c r="I412" t="s">
        <v>1541</v>
      </c>
    </row>
    <row r="413" spans="1:10" ht="15" customHeight="1" x14ac:dyDescent="0.25">
      <c r="A413" t="s">
        <v>1542</v>
      </c>
      <c r="B413">
        <v>2023</v>
      </c>
      <c r="C413" t="s">
        <v>176</v>
      </c>
      <c r="D413" t="b">
        <f>TRUE()</f>
        <v>1</v>
      </c>
      <c r="E413" t="b">
        <f>COUNTIF(connections!A:A, A413) &gt; 0</f>
        <v>0</v>
      </c>
      <c r="G413" t="s">
        <v>1543</v>
      </c>
      <c r="H413" t="s">
        <v>187</v>
      </c>
      <c r="I413" t="s">
        <v>1544</v>
      </c>
      <c r="J413" s="1" t="s">
        <v>1545</v>
      </c>
    </row>
    <row r="414" spans="1:10" ht="15" customHeight="1" x14ac:dyDescent="0.25">
      <c r="A414" t="s">
        <v>1546</v>
      </c>
      <c r="B414">
        <v>2024</v>
      </c>
      <c r="C414" t="s">
        <v>222</v>
      </c>
      <c r="D414" t="b">
        <f>TRUE()</f>
        <v>1</v>
      </c>
      <c r="E414" t="b">
        <f>COUNTIF(connections!A:A, A414) &gt; 0</f>
        <v>0</v>
      </c>
      <c r="F414" t="s">
        <v>274</v>
      </c>
      <c r="G414" t="s">
        <v>1547</v>
      </c>
      <c r="H414" t="s">
        <v>187</v>
      </c>
      <c r="I414" t="s">
        <v>1548</v>
      </c>
      <c r="J414" s="1" t="s">
        <v>1549</v>
      </c>
    </row>
    <row r="415" spans="1:10" ht="15" customHeight="1" x14ac:dyDescent="0.25">
      <c r="A415" t="s">
        <v>1550</v>
      </c>
      <c r="B415">
        <v>2021</v>
      </c>
      <c r="C415" t="s">
        <v>222</v>
      </c>
      <c r="D415" t="b">
        <f>TRUE()</f>
        <v>1</v>
      </c>
      <c r="E415" t="b">
        <f>COUNTIF(connections!A:A, A415) &gt; 0</f>
        <v>1</v>
      </c>
      <c r="G415" t="s">
        <v>1551</v>
      </c>
      <c r="H415" t="s">
        <v>187</v>
      </c>
      <c r="I415" t="s">
        <v>1552</v>
      </c>
      <c r="J415" s="1" t="s">
        <v>1553</v>
      </c>
    </row>
    <row r="416" spans="1:10" ht="15" customHeight="1" x14ac:dyDescent="0.25">
      <c r="A416" t="s">
        <v>1554</v>
      </c>
      <c r="B416">
        <v>2017</v>
      </c>
      <c r="C416" t="s">
        <v>222</v>
      </c>
      <c r="D416" t="b">
        <f>TRUE()</f>
        <v>1</v>
      </c>
      <c r="E416" t="b">
        <f>COUNTIF(connections!A:A, A416) &gt; 0</f>
        <v>1</v>
      </c>
      <c r="G416" t="s">
        <v>1555</v>
      </c>
    </row>
    <row r="417" spans="1:10" ht="15" customHeight="1" x14ac:dyDescent="0.25">
      <c r="A417" t="s">
        <v>1556</v>
      </c>
      <c r="B417">
        <v>2022</v>
      </c>
      <c r="C417" t="s">
        <v>222</v>
      </c>
      <c r="D417" t="b">
        <f>FALSE()</f>
        <v>0</v>
      </c>
      <c r="E417" t="b">
        <f>COUNTIF(connections!A:A, A417) &gt; 0</f>
        <v>0</v>
      </c>
      <c r="F417" t="s">
        <v>652</v>
      </c>
      <c r="G417" t="s">
        <v>1557</v>
      </c>
      <c r="H417" t="s">
        <v>187</v>
      </c>
      <c r="I417" t="s">
        <v>1558</v>
      </c>
      <c r="J417" s="1" t="s">
        <v>1559</v>
      </c>
    </row>
    <row r="418" spans="1:10" ht="15" customHeight="1" x14ac:dyDescent="0.25">
      <c r="A418" t="s">
        <v>1560</v>
      </c>
      <c r="B418">
        <v>2025</v>
      </c>
      <c r="C418" t="s">
        <v>222</v>
      </c>
      <c r="D418" t="b">
        <f>TRUE()</f>
        <v>1</v>
      </c>
      <c r="E418" t="b">
        <f>COUNTIF(connections!A:A, A418) &gt; 0</f>
        <v>0</v>
      </c>
      <c r="G418" t="s">
        <v>1561</v>
      </c>
    </row>
    <row r="419" spans="1:10" ht="15" customHeight="1" x14ac:dyDescent="0.25">
      <c r="A419" t="s">
        <v>1562</v>
      </c>
      <c r="B419">
        <v>2026</v>
      </c>
      <c r="C419" t="s">
        <v>176</v>
      </c>
      <c r="D419" t="b">
        <f>TRUE()</f>
        <v>1</v>
      </c>
      <c r="E419" t="b">
        <f>COUNTIF(connections!A:A, A419) &gt; 0</f>
        <v>0</v>
      </c>
      <c r="G419" t="s">
        <v>1563</v>
      </c>
    </row>
    <row r="420" spans="1:10" ht="15" customHeight="1" x14ac:dyDescent="0.25">
      <c r="A420" t="s">
        <v>1564</v>
      </c>
      <c r="B420">
        <v>2019</v>
      </c>
      <c r="C420" t="s">
        <v>179</v>
      </c>
      <c r="D420" t="b">
        <f>TRUE()</f>
        <v>1</v>
      </c>
      <c r="E420" t="b">
        <f>COUNTIF(connections!A:A, A420) &gt; 0</f>
        <v>0</v>
      </c>
      <c r="G420" t="s">
        <v>1565</v>
      </c>
    </row>
    <row r="421" spans="1:10" ht="15" customHeight="1" x14ac:dyDescent="0.25">
      <c r="A421" t="s">
        <v>1566</v>
      </c>
      <c r="B421">
        <v>2023</v>
      </c>
      <c r="C421" t="s">
        <v>182</v>
      </c>
      <c r="D421" t="b">
        <f>TRUE()</f>
        <v>1</v>
      </c>
      <c r="E421" t="b">
        <f>COUNTIF(connections!A:A, A421) &gt; 0</f>
        <v>1</v>
      </c>
      <c r="G421" t="s">
        <v>1567</v>
      </c>
      <c r="J421" s="10" t="s">
        <v>1568</v>
      </c>
    </row>
    <row r="422" spans="1:10" ht="15" customHeight="1" x14ac:dyDescent="0.25">
      <c r="A422" t="s">
        <v>1569</v>
      </c>
      <c r="B422">
        <v>2022</v>
      </c>
      <c r="C422" t="s">
        <v>182</v>
      </c>
      <c r="D422" t="b">
        <f>TRUE()</f>
        <v>1</v>
      </c>
      <c r="E422" t="b">
        <f>COUNTIF(connections!A:A, A422) &gt; 0</f>
        <v>0</v>
      </c>
      <c r="G422" t="s">
        <v>1570</v>
      </c>
    </row>
    <row r="423" spans="1:10" ht="15" customHeight="1" x14ac:dyDescent="0.25">
      <c r="A423" t="s">
        <v>1571</v>
      </c>
      <c r="B423">
        <v>2025</v>
      </c>
      <c r="C423" t="s">
        <v>176</v>
      </c>
      <c r="D423" t="b">
        <f>TRUE()</f>
        <v>1</v>
      </c>
      <c r="E423" t="b">
        <f>COUNTIF(connections!A:A, A423) &gt; 0</f>
        <v>0</v>
      </c>
      <c r="G423" t="s">
        <v>1572</v>
      </c>
    </row>
    <row r="424" spans="1:10" ht="16.5" customHeight="1" x14ac:dyDescent="0.25">
      <c r="A424" t="s">
        <v>1573</v>
      </c>
      <c r="B424">
        <v>2001</v>
      </c>
      <c r="C424" t="s">
        <v>179</v>
      </c>
      <c r="D424" t="b">
        <f>TRUE()</f>
        <v>1</v>
      </c>
      <c r="E424" t="b">
        <f>COUNTIF(connections!A:A, A424) &gt; 0</f>
        <v>1</v>
      </c>
      <c r="G424" t="s">
        <v>1574</v>
      </c>
    </row>
    <row r="425" spans="1:10" ht="15" customHeight="1" x14ac:dyDescent="0.25">
      <c r="A425" t="s">
        <v>1575</v>
      </c>
      <c r="B425">
        <v>2024</v>
      </c>
      <c r="C425" t="s">
        <v>182</v>
      </c>
      <c r="D425" t="b">
        <f>TRUE()</f>
        <v>1</v>
      </c>
      <c r="E425" t="b">
        <f>COUNTIF(connections!A:A, A425) &gt; 0</f>
        <v>0</v>
      </c>
      <c r="G425" t="s">
        <v>1576</v>
      </c>
    </row>
    <row r="426" spans="1:10" ht="15" customHeight="1" x14ac:dyDescent="0.25">
      <c r="A426" t="s">
        <v>1577</v>
      </c>
      <c r="B426">
        <v>2021</v>
      </c>
      <c r="C426" t="s">
        <v>182</v>
      </c>
      <c r="D426" t="b">
        <f>TRUE()</f>
        <v>1</v>
      </c>
      <c r="E426" t="b">
        <f>COUNTIF(connections!A:A, A426) &gt; 0</f>
        <v>1</v>
      </c>
      <c r="F426" t="s">
        <v>354</v>
      </c>
      <c r="G426" t="s">
        <v>1578</v>
      </c>
      <c r="H426" t="s">
        <v>187</v>
      </c>
      <c r="I426" t="s">
        <v>1579</v>
      </c>
      <c r="J426" s="1" t="s">
        <v>1580</v>
      </c>
    </row>
    <row r="427" spans="1:10" ht="15" customHeight="1" x14ac:dyDescent="0.25">
      <c r="A427" t="s">
        <v>1581</v>
      </c>
      <c r="B427">
        <v>2023</v>
      </c>
      <c r="C427" t="s">
        <v>182</v>
      </c>
      <c r="D427" t="b">
        <f>TRUE()</f>
        <v>1</v>
      </c>
      <c r="E427" t="b">
        <f>COUNTIF(connections!A:A, A427) &gt; 0</f>
        <v>0</v>
      </c>
      <c r="F427" t="s">
        <v>354</v>
      </c>
      <c r="G427" t="s">
        <v>1582</v>
      </c>
      <c r="H427" t="s">
        <v>187</v>
      </c>
      <c r="I427" t="s">
        <v>1583</v>
      </c>
      <c r="J427" s="1" t="s">
        <v>1584</v>
      </c>
    </row>
    <row r="428" spans="1:10" ht="15" customHeight="1" x14ac:dyDescent="0.25">
      <c r="A428" t="s">
        <v>1585</v>
      </c>
      <c r="B428">
        <v>2026</v>
      </c>
      <c r="C428" t="s">
        <v>176</v>
      </c>
      <c r="D428" t="b">
        <f>TRUE()</f>
        <v>1</v>
      </c>
      <c r="E428" t="b">
        <f>COUNTIF(connections!A:A, A428) &gt; 0</f>
        <v>0</v>
      </c>
      <c r="G428" t="s">
        <v>1586</v>
      </c>
      <c r="J428" s="10" t="s">
        <v>1587</v>
      </c>
    </row>
    <row r="429" spans="1:10" ht="15" customHeight="1" x14ac:dyDescent="0.25">
      <c r="A429" t="s">
        <v>1588</v>
      </c>
      <c r="B429">
        <v>2026</v>
      </c>
      <c r="C429" t="s">
        <v>222</v>
      </c>
      <c r="D429" t="b">
        <f>TRUE()</f>
        <v>1</v>
      </c>
      <c r="E429" t="b">
        <f>COUNTIF(connections!A:A, A429) &gt; 0</f>
        <v>0</v>
      </c>
      <c r="F429" t="s">
        <v>264</v>
      </c>
      <c r="G429" t="s">
        <v>1589</v>
      </c>
    </row>
    <row r="430" spans="1:10" ht="15" customHeight="1" x14ac:dyDescent="0.25">
      <c r="A430" t="s">
        <v>1590</v>
      </c>
      <c r="B430">
        <v>2026</v>
      </c>
      <c r="C430" t="s">
        <v>176</v>
      </c>
      <c r="D430" t="b">
        <f>FALSE()</f>
        <v>0</v>
      </c>
      <c r="E430" t="b">
        <f>COUNTIF(connections!A:A, A430) &gt; 0</f>
        <v>0</v>
      </c>
      <c r="G430" t="s">
        <v>1591</v>
      </c>
      <c r="J430" s="1" t="s">
        <v>1592</v>
      </c>
    </row>
    <row r="431" spans="1:10" ht="15" customHeight="1" x14ac:dyDescent="0.25">
      <c r="A431" t="s">
        <v>1593</v>
      </c>
      <c r="B431">
        <v>2019</v>
      </c>
      <c r="C431" t="s">
        <v>176</v>
      </c>
      <c r="D431" t="b">
        <f>TRUE()</f>
        <v>1</v>
      </c>
      <c r="E431" t="b">
        <f>COUNTIF(connections!A:A, A431) &gt; 0</f>
        <v>1</v>
      </c>
      <c r="G431" t="s">
        <v>1594</v>
      </c>
    </row>
    <row r="432" spans="1:10" ht="15" customHeight="1" x14ac:dyDescent="0.25">
      <c r="A432" t="s">
        <v>1595</v>
      </c>
      <c r="B432">
        <v>2023</v>
      </c>
      <c r="C432" t="s">
        <v>176</v>
      </c>
      <c r="D432" t="b">
        <f>TRUE()</f>
        <v>1</v>
      </c>
      <c r="E432" t="b">
        <f>COUNTIF(connections!A:A, A432) &gt; 0</f>
        <v>1</v>
      </c>
      <c r="G432" t="s">
        <v>1596</v>
      </c>
    </row>
    <row r="433" spans="1:10" ht="15" customHeight="1" x14ac:dyDescent="0.25">
      <c r="A433" t="s">
        <v>1597</v>
      </c>
      <c r="B433">
        <v>2025</v>
      </c>
      <c r="C433" t="s">
        <v>176</v>
      </c>
      <c r="D433" t="b">
        <f>TRUE()</f>
        <v>1</v>
      </c>
      <c r="E433" t="b">
        <f>COUNTIF(connections!A:A, A433) &gt; 0</f>
        <v>0</v>
      </c>
      <c r="G433" t="s">
        <v>1598</v>
      </c>
    </row>
    <row r="434" spans="1:10" ht="15" customHeight="1" x14ac:dyDescent="0.25">
      <c r="A434" t="s">
        <v>1599</v>
      </c>
      <c r="B434">
        <v>2020</v>
      </c>
      <c r="C434" t="s">
        <v>179</v>
      </c>
      <c r="D434" t="b">
        <f>TRUE()</f>
        <v>1</v>
      </c>
      <c r="E434" t="b">
        <f>COUNTIF(connections!A:A, A434) &gt; 0</f>
        <v>0</v>
      </c>
      <c r="G434" t="s">
        <v>1600</v>
      </c>
      <c r="H434" t="s">
        <v>187</v>
      </c>
      <c r="I434" t="s">
        <v>1601</v>
      </c>
      <c r="J434" s="1" t="s">
        <v>1602</v>
      </c>
    </row>
    <row r="435" spans="1:10" ht="15" customHeight="1" x14ac:dyDescent="0.25">
      <c r="A435" t="s">
        <v>1603</v>
      </c>
      <c r="B435">
        <v>2018</v>
      </c>
      <c r="C435" t="s">
        <v>176</v>
      </c>
      <c r="D435" t="b">
        <f>TRUE()</f>
        <v>1</v>
      </c>
      <c r="E435" t="b">
        <f>COUNTIF(connections!A:A, A435) &gt; 0</f>
        <v>0</v>
      </c>
      <c r="G435" t="s">
        <v>1604</v>
      </c>
      <c r="H435" t="s">
        <v>187</v>
      </c>
      <c r="I435" t="s">
        <v>1605</v>
      </c>
      <c r="J435" s="1" t="s">
        <v>1606</v>
      </c>
    </row>
    <row r="436" spans="1:10" ht="15" customHeight="1" x14ac:dyDescent="0.25">
      <c r="A436" t="s">
        <v>1607</v>
      </c>
      <c r="B436">
        <v>2025</v>
      </c>
      <c r="C436" t="s">
        <v>176</v>
      </c>
      <c r="D436" t="b">
        <f>TRUE()</f>
        <v>1</v>
      </c>
      <c r="E436" t="b">
        <f>COUNTIF(connections!A:A, A436) &gt; 0</f>
        <v>0</v>
      </c>
      <c r="G436" t="s">
        <v>1608</v>
      </c>
      <c r="H436" t="s">
        <v>187</v>
      </c>
      <c r="I436" t="s">
        <v>1609</v>
      </c>
      <c r="J436" s="10" t="s">
        <v>1610</v>
      </c>
    </row>
    <row r="437" spans="1:10" ht="15" customHeight="1" x14ac:dyDescent="0.25">
      <c r="A437" t="s">
        <v>1611</v>
      </c>
      <c r="B437">
        <v>2026</v>
      </c>
      <c r="C437" t="s">
        <v>182</v>
      </c>
      <c r="D437" t="b">
        <f>TRUE()</f>
        <v>1</v>
      </c>
      <c r="E437" t="b">
        <f>COUNTIF(connections!A:A, A437) &gt; 0</f>
        <v>0</v>
      </c>
      <c r="G437" t="s">
        <v>1612</v>
      </c>
      <c r="J437" s="10" t="s">
        <v>1613</v>
      </c>
    </row>
    <row r="438" spans="1:10" ht="15" customHeight="1" x14ac:dyDescent="0.25">
      <c r="A438" t="s">
        <v>1614</v>
      </c>
      <c r="B438">
        <v>2025</v>
      </c>
      <c r="C438" t="s">
        <v>176</v>
      </c>
      <c r="D438" t="b">
        <f>TRUE()</f>
        <v>1</v>
      </c>
      <c r="E438" t="b">
        <f>COUNTIF(connections!A:A, A438) &gt; 0</f>
        <v>0</v>
      </c>
      <c r="G438" t="s">
        <v>1615</v>
      </c>
      <c r="H438" t="s">
        <v>187</v>
      </c>
      <c r="I438" t="s">
        <v>1616</v>
      </c>
      <c r="J438" s="1" t="s">
        <v>1617</v>
      </c>
    </row>
    <row r="439" spans="1:10" ht="15" customHeight="1" x14ac:dyDescent="0.25">
      <c r="A439" t="s">
        <v>1618</v>
      </c>
      <c r="B439">
        <v>2022</v>
      </c>
      <c r="C439" t="s">
        <v>222</v>
      </c>
      <c r="D439" t="b">
        <f>FALSE()</f>
        <v>0</v>
      </c>
      <c r="E439" t="b">
        <f>COUNTIF(connections!A:A, A439) &gt; 0</f>
        <v>0</v>
      </c>
      <c r="G439" t="s">
        <v>1619</v>
      </c>
      <c r="H439" t="s">
        <v>187</v>
      </c>
      <c r="I439" t="s">
        <v>1620</v>
      </c>
      <c r="J439" s="1" t="s">
        <v>1621</v>
      </c>
    </row>
    <row r="440" spans="1:10" ht="15" customHeight="1" x14ac:dyDescent="0.25">
      <c r="A440" t="s">
        <v>1622</v>
      </c>
      <c r="B440">
        <v>2025</v>
      </c>
      <c r="C440" t="s">
        <v>176</v>
      </c>
      <c r="D440" t="b">
        <f>TRUE()</f>
        <v>1</v>
      </c>
      <c r="E440" t="b">
        <f>COUNTIF(connections!A:A, A440) &gt; 0</f>
        <v>1</v>
      </c>
      <c r="G440" t="s">
        <v>1623</v>
      </c>
      <c r="H440" t="s">
        <v>187</v>
      </c>
      <c r="I440" t="s">
        <v>1624</v>
      </c>
      <c r="J440" s="1" t="s">
        <v>1625</v>
      </c>
    </row>
    <row r="441" spans="1:10" ht="15" customHeight="1" x14ac:dyDescent="0.25">
      <c r="A441" t="s">
        <v>1626</v>
      </c>
      <c r="B441">
        <v>2024</v>
      </c>
      <c r="C441" t="s">
        <v>182</v>
      </c>
      <c r="D441" t="b">
        <f>TRUE()</f>
        <v>1</v>
      </c>
      <c r="E441" t="b">
        <f>COUNTIF(connections!A:A, A441) &gt; 0</f>
        <v>0</v>
      </c>
      <c r="G441" t="s">
        <v>1627</v>
      </c>
    </row>
    <row r="442" spans="1:10" ht="15" customHeight="1" x14ac:dyDescent="0.25">
      <c r="A442" t="s">
        <v>1628</v>
      </c>
      <c r="B442">
        <v>2024</v>
      </c>
      <c r="C442" t="s">
        <v>182</v>
      </c>
      <c r="D442" t="b">
        <f>TRUE()</f>
        <v>1</v>
      </c>
      <c r="E442" t="b">
        <f>COUNTIF(connections!A:A, A442) &gt; 0</f>
        <v>0</v>
      </c>
      <c r="G442" t="s">
        <v>1629</v>
      </c>
      <c r="H442" t="s">
        <v>187</v>
      </c>
      <c r="I442" t="s">
        <v>1630</v>
      </c>
      <c r="J442" s="1" t="s">
        <v>1631</v>
      </c>
    </row>
    <row r="443" spans="1:10" ht="15" customHeight="1" x14ac:dyDescent="0.25">
      <c r="A443" t="s">
        <v>1632</v>
      </c>
      <c r="B443">
        <v>2026</v>
      </c>
      <c r="C443" t="s">
        <v>182</v>
      </c>
      <c r="D443" t="b">
        <f>TRUE()</f>
        <v>1</v>
      </c>
      <c r="E443" t="b">
        <f>COUNTIF(connections!A:A, A443) &gt; 0</f>
        <v>0</v>
      </c>
      <c r="G443" t="s">
        <v>1633</v>
      </c>
    </row>
    <row r="444" spans="1:10" ht="15" customHeight="1" x14ac:dyDescent="0.25">
      <c r="A444" t="s">
        <v>1634</v>
      </c>
      <c r="B444">
        <v>2025</v>
      </c>
      <c r="C444" t="s">
        <v>182</v>
      </c>
      <c r="D444" t="b">
        <f>TRUE()</f>
        <v>1</v>
      </c>
      <c r="E444" t="b">
        <f>COUNTIF(connections!A:A, A444) &gt; 0</f>
        <v>0</v>
      </c>
      <c r="G444" t="s">
        <v>1635</v>
      </c>
      <c r="H444" t="s">
        <v>187</v>
      </c>
      <c r="I444" t="s">
        <v>1636</v>
      </c>
      <c r="J444" s="1" t="s">
        <v>1637</v>
      </c>
    </row>
    <row r="445" spans="1:10" ht="15" customHeight="1" x14ac:dyDescent="0.25">
      <c r="A445" t="s">
        <v>1638</v>
      </c>
      <c r="B445">
        <v>2024</v>
      </c>
      <c r="C445" t="s">
        <v>222</v>
      </c>
      <c r="D445" t="b">
        <f>TRUE()</f>
        <v>1</v>
      </c>
      <c r="E445" t="b">
        <f>COUNTIF(connections!A:A, A445) &gt; 0</f>
        <v>0</v>
      </c>
      <c r="G445" t="s">
        <v>1639</v>
      </c>
      <c r="H445" t="s">
        <v>187</v>
      </c>
      <c r="I445" t="s">
        <v>1640</v>
      </c>
      <c r="J445" s="1" t="s">
        <v>1641</v>
      </c>
    </row>
    <row r="446" spans="1:10" ht="15" customHeight="1" x14ac:dyDescent="0.25">
      <c r="A446" t="s">
        <v>1642</v>
      </c>
      <c r="B446">
        <v>2020</v>
      </c>
      <c r="C446" t="s">
        <v>176</v>
      </c>
      <c r="D446" t="b">
        <f>TRUE()</f>
        <v>1</v>
      </c>
      <c r="E446" t="b">
        <f>COUNTIF(connections!A:A, A446) &gt; 0</f>
        <v>0</v>
      </c>
      <c r="G446" t="s">
        <v>1643</v>
      </c>
      <c r="H446" t="s">
        <v>187</v>
      </c>
      <c r="I446" t="s">
        <v>1644</v>
      </c>
      <c r="J446" s="1" t="s">
        <v>1645</v>
      </c>
    </row>
    <row r="447" spans="1:10" ht="15" customHeight="1" x14ac:dyDescent="0.25">
      <c r="A447" t="s">
        <v>1646</v>
      </c>
      <c r="B447">
        <v>2021</v>
      </c>
      <c r="C447" t="s">
        <v>176</v>
      </c>
      <c r="D447" t="b">
        <f>FALSE()</f>
        <v>0</v>
      </c>
      <c r="E447" t="b">
        <f>COUNTIF(connections!A:A, A447) &gt; 0</f>
        <v>0</v>
      </c>
      <c r="G447" t="s">
        <v>1647</v>
      </c>
      <c r="H447" t="s">
        <v>187</v>
      </c>
      <c r="I447" t="s">
        <v>1648</v>
      </c>
      <c r="J447" s="1" t="s">
        <v>1649</v>
      </c>
    </row>
    <row r="448" spans="1:10" ht="15" customHeight="1" x14ac:dyDescent="0.25">
      <c r="A448" t="s">
        <v>1650</v>
      </c>
      <c r="B448">
        <v>2026</v>
      </c>
      <c r="C448" t="s">
        <v>222</v>
      </c>
      <c r="D448" t="b">
        <f>TRUE()</f>
        <v>1</v>
      </c>
      <c r="E448" t="b">
        <f>COUNTIF(connections!A:A, A448) &gt; 0</f>
        <v>0</v>
      </c>
      <c r="F448" t="s">
        <v>529</v>
      </c>
      <c r="G448" t="s">
        <v>1651</v>
      </c>
      <c r="H448" t="s">
        <v>187</v>
      </c>
      <c r="I448" t="s">
        <v>1652</v>
      </c>
      <c r="J448" s="1" t="s">
        <v>1653</v>
      </c>
    </row>
    <row r="449" spans="1:10" ht="15" customHeight="1" x14ac:dyDescent="0.25">
      <c r="A449" t="s">
        <v>1654</v>
      </c>
      <c r="B449">
        <v>2025</v>
      </c>
      <c r="C449" t="s">
        <v>176</v>
      </c>
      <c r="D449" t="b">
        <f>FALSE()</f>
        <v>0</v>
      </c>
      <c r="E449" t="b">
        <f>COUNTIF(connections!A:A, A449) &gt; 0</f>
        <v>0</v>
      </c>
      <c r="G449" t="s">
        <v>1655</v>
      </c>
    </row>
    <row r="450" spans="1:10" ht="15" customHeight="1" x14ac:dyDescent="0.25">
      <c r="A450" t="s">
        <v>1656</v>
      </c>
      <c r="B450">
        <v>2024</v>
      </c>
      <c r="C450" t="s">
        <v>222</v>
      </c>
      <c r="D450" t="b">
        <f>FALSE()</f>
        <v>0</v>
      </c>
      <c r="E450" t="b">
        <f>COUNTIF(connections!A:A, A450) &gt; 0</f>
        <v>1</v>
      </c>
      <c r="G450" t="s">
        <v>1657</v>
      </c>
      <c r="H450" t="s">
        <v>187</v>
      </c>
      <c r="I450" t="s">
        <v>1658</v>
      </c>
      <c r="J450" s="1" t="s">
        <v>1659</v>
      </c>
    </row>
    <row r="451" spans="1:10" ht="15" customHeight="1" x14ac:dyDescent="0.25">
      <c r="A451" t="s">
        <v>1660</v>
      </c>
      <c r="B451">
        <v>2012</v>
      </c>
      <c r="C451" t="s">
        <v>179</v>
      </c>
      <c r="D451" t="b">
        <f>TRUE()</f>
        <v>1</v>
      </c>
      <c r="E451" t="b">
        <f>COUNTIF(connections!A:A, A451) &gt; 0</f>
        <v>1</v>
      </c>
      <c r="F451" t="s">
        <v>328</v>
      </c>
      <c r="G451" t="s">
        <v>1661</v>
      </c>
    </row>
    <row r="452" spans="1:10" ht="15" customHeight="1" x14ac:dyDescent="0.25">
      <c r="A452" t="s">
        <v>1662</v>
      </c>
      <c r="B452">
        <v>2011</v>
      </c>
      <c r="C452" t="s">
        <v>179</v>
      </c>
      <c r="D452" t="b">
        <f>TRUE()</f>
        <v>1</v>
      </c>
      <c r="E452" t="b">
        <f>COUNTIF(connections!A:A, A452) &gt; 0</f>
        <v>1</v>
      </c>
      <c r="F452" t="s">
        <v>328</v>
      </c>
      <c r="G452" t="s">
        <v>1663</v>
      </c>
    </row>
    <row r="453" spans="1:10" ht="15" customHeight="1" x14ac:dyDescent="0.25">
      <c r="A453" t="s">
        <v>1664</v>
      </c>
      <c r="B453">
        <v>1987</v>
      </c>
      <c r="C453" t="s">
        <v>179</v>
      </c>
      <c r="D453" t="b">
        <v>1</v>
      </c>
      <c r="E453" t="b">
        <f>COUNTIF(connections!A:A, A453) &gt; 0</f>
        <v>0</v>
      </c>
      <c r="G453" t="s">
        <v>1665</v>
      </c>
      <c r="H453" t="s">
        <v>187</v>
      </c>
      <c r="I453" t="s">
        <v>1666</v>
      </c>
    </row>
    <row r="454" spans="1:10" ht="15" customHeight="1" x14ac:dyDescent="0.25">
      <c r="A454" t="s">
        <v>1667</v>
      </c>
      <c r="B454">
        <v>2023</v>
      </c>
      <c r="C454" t="s">
        <v>176</v>
      </c>
      <c r="D454" t="b">
        <f>TRUE()</f>
        <v>1</v>
      </c>
      <c r="E454" t="b">
        <f>COUNTIF(connections!A:A, A454) &gt; 0</f>
        <v>0</v>
      </c>
      <c r="G454" t="s">
        <v>1668</v>
      </c>
      <c r="H454" t="s">
        <v>187</v>
      </c>
      <c r="I454" t="s">
        <v>1669</v>
      </c>
      <c r="J454" s="1" t="s">
        <v>1670</v>
      </c>
    </row>
    <row r="455" spans="1:10" ht="15" customHeight="1" x14ac:dyDescent="0.25">
      <c r="A455" t="s">
        <v>1671</v>
      </c>
      <c r="B455">
        <v>2022</v>
      </c>
      <c r="C455" t="s">
        <v>176</v>
      </c>
      <c r="D455" t="b">
        <f>TRUE()</f>
        <v>1</v>
      </c>
      <c r="E455" t="b">
        <f>COUNTIF(connections!A:A, A455) &gt; 0</f>
        <v>0</v>
      </c>
      <c r="G455" t="s">
        <v>1672</v>
      </c>
    </row>
    <row r="456" spans="1:10" ht="15" customHeight="1" x14ac:dyDescent="0.25">
      <c r="A456" t="s">
        <v>1673</v>
      </c>
      <c r="B456">
        <v>2021</v>
      </c>
      <c r="C456" t="s">
        <v>182</v>
      </c>
      <c r="D456" t="b">
        <f>TRUE()</f>
        <v>1</v>
      </c>
      <c r="E456" t="b">
        <f>COUNTIF(connections!A:A, A456) &gt; 0</f>
        <v>0</v>
      </c>
      <c r="G456" t="s">
        <v>1674</v>
      </c>
      <c r="H456" t="s">
        <v>187</v>
      </c>
      <c r="I456" t="s">
        <v>1675</v>
      </c>
      <c r="J456" s="1" t="s">
        <v>1676</v>
      </c>
    </row>
    <row r="457" spans="1:10" ht="15" customHeight="1" x14ac:dyDescent="0.25">
      <c r="A457" t="s">
        <v>1677</v>
      </c>
      <c r="B457">
        <v>2002</v>
      </c>
      <c r="C457" t="s">
        <v>179</v>
      </c>
      <c r="D457" t="b">
        <f>TRUE()</f>
        <v>1</v>
      </c>
      <c r="E457" t="b">
        <f>COUNTIF(connections!A:A, A457) &gt; 0</f>
        <v>1</v>
      </c>
      <c r="G457" t="s">
        <v>1678</v>
      </c>
      <c r="H457" t="s">
        <v>187</v>
      </c>
      <c r="I457" t="s">
        <v>1679</v>
      </c>
    </row>
    <row r="458" spans="1:10" ht="15" customHeight="1" x14ac:dyDescent="0.25">
      <c r="A458" t="s">
        <v>1680</v>
      </c>
      <c r="B458">
        <v>2003</v>
      </c>
      <c r="C458" t="s">
        <v>179</v>
      </c>
      <c r="D458" t="b">
        <f>TRUE()</f>
        <v>1</v>
      </c>
      <c r="E458" t="b">
        <f>COUNTIF(connections!A:A, A458) &gt; 0</f>
        <v>0</v>
      </c>
      <c r="G458" t="s">
        <v>1681</v>
      </c>
      <c r="H458" t="s">
        <v>187</v>
      </c>
      <c r="I458" t="s">
        <v>1682</v>
      </c>
    </row>
    <row r="459" spans="1:10" ht="15" customHeight="1" x14ac:dyDescent="0.25">
      <c r="A459" t="s">
        <v>1683</v>
      </c>
      <c r="B459">
        <v>2020</v>
      </c>
      <c r="C459" t="s">
        <v>179</v>
      </c>
      <c r="D459" t="b">
        <f>TRUE()</f>
        <v>1</v>
      </c>
      <c r="E459" t="b">
        <f>COUNTIF(connections!A:A, A459) &gt; 0</f>
        <v>1</v>
      </c>
      <c r="G459" t="s">
        <v>1684</v>
      </c>
    </row>
    <row r="460" spans="1:10" ht="15" customHeight="1" x14ac:dyDescent="0.25">
      <c r="A460" t="s">
        <v>1685</v>
      </c>
      <c r="B460">
        <v>2022</v>
      </c>
      <c r="C460" t="s">
        <v>179</v>
      </c>
      <c r="D460" t="b">
        <f>TRUE()</f>
        <v>1</v>
      </c>
      <c r="E460" t="b">
        <f>COUNTIF(connections!A:A, A460) &gt; 0</f>
        <v>0</v>
      </c>
      <c r="G460" t="s">
        <v>1686</v>
      </c>
    </row>
    <row r="461" spans="1:10" ht="15" customHeight="1" x14ac:dyDescent="0.25">
      <c r="A461" t="s">
        <v>1687</v>
      </c>
      <c r="B461">
        <v>2017</v>
      </c>
      <c r="C461" t="s">
        <v>182</v>
      </c>
      <c r="D461" t="b">
        <f>TRUE()</f>
        <v>1</v>
      </c>
      <c r="E461" t="b">
        <f>COUNTIF(connections!A:A, A461) &gt; 0</f>
        <v>1</v>
      </c>
      <c r="G461" t="s">
        <v>1688</v>
      </c>
      <c r="H461" t="s">
        <v>187</v>
      </c>
      <c r="I461" t="s">
        <v>1689</v>
      </c>
      <c r="J461" s="1" t="s">
        <v>1690</v>
      </c>
    </row>
    <row r="462" spans="1:10" ht="15" customHeight="1" x14ac:dyDescent="0.25">
      <c r="A462" t="s">
        <v>1691</v>
      </c>
      <c r="B462">
        <v>2020</v>
      </c>
      <c r="C462" t="s">
        <v>182</v>
      </c>
      <c r="D462" t="b">
        <f>TRUE()</f>
        <v>1</v>
      </c>
      <c r="E462" t="b">
        <f>COUNTIF(connections!A:A, A462) &gt; 0</f>
        <v>1</v>
      </c>
      <c r="G462" t="s">
        <v>1692</v>
      </c>
      <c r="H462" t="s">
        <v>187</v>
      </c>
      <c r="I462" t="s">
        <v>1693</v>
      </c>
      <c r="J462" s="1" t="s">
        <v>1694</v>
      </c>
    </row>
    <row r="463" spans="1:10" ht="15" customHeight="1" x14ac:dyDescent="0.25">
      <c r="A463" t="s">
        <v>1695</v>
      </c>
      <c r="B463">
        <v>2025</v>
      </c>
      <c r="C463" t="s">
        <v>182</v>
      </c>
      <c r="D463" t="b">
        <f>TRUE()</f>
        <v>1</v>
      </c>
      <c r="E463" t="b">
        <f>COUNTIF(connections!A:A, A463) &gt; 0</f>
        <v>0</v>
      </c>
      <c r="G463" t="s">
        <v>1696</v>
      </c>
    </row>
    <row r="464" spans="1:10" ht="15" customHeight="1" x14ac:dyDescent="0.25">
      <c r="A464" t="s">
        <v>1697</v>
      </c>
      <c r="B464">
        <v>2025</v>
      </c>
      <c r="C464" t="s">
        <v>176</v>
      </c>
      <c r="D464" t="b">
        <f>TRUE()</f>
        <v>1</v>
      </c>
      <c r="E464" t="b">
        <f>COUNTIF(connections!A:A, A464) &gt; 0</f>
        <v>0</v>
      </c>
      <c r="G464" t="s">
        <v>1698</v>
      </c>
      <c r="H464" t="s">
        <v>187</v>
      </c>
      <c r="I464" t="s">
        <v>1699</v>
      </c>
      <c r="J464" s="1" t="s">
        <v>1700</v>
      </c>
    </row>
    <row r="465" spans="1:10" ht="15" customHeight="1" x14ac:dyDescent="0.25">
      <c r="A465" t="s">
        <v>1701</v>
      </c>
      <c r="B465">
        <v>2015</v>
      </c>
      <c r="C465" t="s">
        <v>176</v>
      </c>
      <c r="D465" t="b">
        <f>TRUE()</f>
        <v>1</v>
      </c>
      <c r="E465" t="b">
        <f>COUNTIF(connections!A:A, A465) &gt; 0</f>
        <v>0</v>
      </c>
      <c r="G465" t="s">
        <v>1702</v>
      </c>
      <c r="H465" t="s">
        <v>187</v>
      </c>
      <c r="I465" t="s">
        <v>1703</v>
      </c>
      <c r="J465" s="1" t="s">
        <v>1704</v>
      </c>
    </row>
    <row r="466" spans="1:10" ht="15" customHeight="1" x14ac:dyDescent="0.25">
      <c r="A466" t="s">
        <v>1705</v>
      </c>
      <c r="B466">
        <v>2026</v>
      </c>
      <c r="C466" t="s">
        <v>182</v>
      </c>
      <c r="D466" t="b">
        <f>TRUE()</f>
        <v>1</v>
      </c>
      <c r="E466" t="b">
        <f>COUNTIF(connections!A:A, A466) &gt; 0</f>
        <v>0</v>
      </c>
      <c r="G466" t="s">
        <v>1706</v>
      </c>
      <c r="J466" s="10" t="s">
        <v>1707</v>
      </c>
    </row>
    <row r="467" spans="1:10" ht="15" customHeight="1" x14ac:dyDescent="0.25">
      <c r="A467" t="s">
        <v>1708</v>
      </c>
      <c r="B467">
        <v>2016</v>
      </c>
      <c r="C467" t="s">
        <v>176</v>
      </c>
      <c r="D467" t="b">
        <f>FALSE()</f>
        <v>0</v>
      </c>
      <c r="E467" t="b">
        <f>COUNTIF(connections!A:A, A467) &gt; 0</f>
        <v>1</v>
      </c>
      <c r="G467" t="s">
        <v>1709</v>
      </c>
      <c r="H467" t="s">
        <v>187</v>
      </c>
      <c r="I467" t="s">
        <v>1710</v>
      </c>
      <c r="J467" s="1" t="s">
        <v>1711</v>
      </c>
    </row>
    <row r="468" spans="1:10" ht="15" customHeight="1" x14ac:dyDescent="0.25">
      <c r="A468" t="s">
        <v>1712</v>
      </c>
      <c r="B468">
        <v>2024</v>
      </c>
      <c r="C468" t="s">
        <v>176</v>
      </c>
      <c r="D468" t="b">
        <f>TRUE()</f>
        <v>1</v>
      </c>
      <c r="E468" t="b">
        <f>COUNTIF(connections!A:A, A468) &gt; 0</f>
        <v>0</v>
      </c>
      <c r="G468" t="s">
        <v>1713</v>
      </c>
    </row>
    <row r="469" spans="1:10" ht="15" customHeight="1" x14ac:dyDescent="0.25">
      <c r="A469" t="s">
        <v>1714</v>
      </c>
      <c r="B469">
        <v>2018</v>
      </c>
      <c r="C469" t="s">
        <v>176</v>
      </c>
      <c r="D469" t="b">
        <f>TRUE()</f>
        <v>1</v>
      </c>
      <c r="E469" t="b">
        <f>COUNTIF(connections!A:A, A469) &gt; 0</f>
        <v>1</v>
      </c>
      <c r="G469" t="s">
        <v>1715</v>
      </c>
      <c r="H469" t="s">
        <v>187</v>
      </c>
      <c r="I469" t="s">
        <v>1716</v>
      </c>
      <c r="J469" s="1" t="s">
        <v>1717</v>
      </c>
    </row>
    <row r="470" spans="1:10" ht="15" customHeight="1" x14ac:dyDescent="0.25">
      <c r="A470" t="s">
        <v>1718</v>
      </c>
      <c r="B470">
        <v>2025</v>
      </c>
      <c r="C470" t="s">
        <v>176</v>
      </c>
      <c r="D470" t="b">
        <f>TRUE()</f>
        <v>1</v>
      </c>
      <c r="E470" t="b">
        <f>COUNTIF(connections!A:A, A470) &gt; 0</f>
        <v>0</v>
      </c>
      <c r="G470" t="s">
        <v>1719</v>
      </c>
    </row>
    <row r="471" spans="1:10" ht="15" customHeight="1" x14ac:dyDescent="0.25">
      <c r="A471" t="s">
        <v>1720</v>
      </c>
      <c r="B471">
        <v>2023</v>
      </c>
      <c r="C471" t="s">
        <v>179</v>
      </c>
      <c r="D471" t="b">
        <f>TRUE()</f>
        <v>1</v>
      </c>
      <c r="E471" t="b">
        <f>COUNTIF(connections!A:A, A471) &gt; 0</f>
        <v>0</v>
      </c>
      <c r="G471" t="s">
        <v>1721</v>
      </c>
      <c r="H471" t="s">
        <v>187</v>
      </c>
      <c r="I471" t="s">
        <v>1722</v>
      </c>
      <c r="J471" s="1" t="s">
        <v>1723</v>
      </c>
    </row>
    <row r="472" spans="1:10" ht="15" customHeight="1" x14ac:dyDescent="0.25">
      <c r="A472" t="s">
        <v>1724</v>
      </c>
      <c r="B472">
        <v>2026</v>
      </c>
      <c r="C472" t="s">
        <v>176</v>
      </c>
      <c r="D472" t="b">
        <f>TRUE()</f>
        <v>1</v>
      </c>
      <c r="E472" t="b">
        <f>COUNTIF(connections!A:A, A472) &gt; 0</f>
        <v>0</v>
      </c>
      <c r="G472" t="s">
        <v>1725</v>
      </c>
    </row>
    <row r="473" spans="1:10" ht="15" customHeight="1" x14ac:dyDescent="0.25">
      <c r="A473" t="s">
        <v>1726</v>
      </c>
      <c r="B473">
        <v>1983</v>
      </c>
      <c r="C473" t="s">
        <v>179</v>
      </c>
      <c r="D473" t="b">
        <f>TRUE()</f>
        <v>1</v>
      </c>
      <c r="E473" t="b">
        <f>COUNTIF(connections!A:A, A473) &gt; 0</f>
        <v>1</v>
      </c>
      <c r="G473" t="s">
        <v>1727</v>
      </c>
      <c r="H473" t="s">
        <v>187</v>
      </c>
      <c r="I473" t="s">
        <v>1728</v>
      </c>
    </row>
    <row r="474" spans="1:10" ht="15" customHeight="1" x14ac:dyDescent="0.25">
      <c r="A474" t="s">
        <v>1729</v>
      </c>
      <c r="B474">
        <v>2024</v>
      </c>
      <c r="C474" t="s">
        <v>182</v>
      </c>
      <c r="D474" t="b">
        <f>TRUE()</f>
        <v>1</v>
      </c>
      <c r="E474" t="b">
        <f>COUNTIF(connections!A:A, A474) &gt; 0</f>
        <v>0</v>
      </c>
      <c r="F474" t="s">
        <v>568</v>
      </c>
      <c r="G474" t="s">
        <v>1730</v>
      </c>
      <c r="H474" t="s">
        <v>187</v>
      </c>
      <c r="I474" t="s">
        <v>1731</v>
      </c>
      <c r="J474" s="1" t="s">
        <v>1732</v>
      </c>
    </row>
    <row r="475" spans="1:10" ht="15" customHeight="1" x14ac:dyDescent="0.25">
      <c r="A475" t="s">
        <v>1733</v>
      </c>
      <c r="B475">
        <v>2025</v>
      </c>
      <c r="C475" t="s">
        <v>176</v>
      </c>
      <c r="D475" t="b">
        <f>FALSE()</f>
        <v>0</v>
      </c>
      <c r="E475" t="b">
        <f>COUNTIF(connections!A:A, A475) &gt; 0</f>
        <v>0</v>
      </c>
      <c r="G475" t="s">
        <v>1734</v>
      </c>
    </row>
    <row r="476" spans="1:10" ht="15" customHeight="1" x14ac:dyDescent="0.25">
      <c r="A476" t="s">
        <v>1735</v>
      </c>
      <c r="B476">
        <v>2023</v>
      </c>
      <c r="C476" t="s">
        <v>176</v>
      </c>
      <c r="D476" t="b">
        <f>TRUE()</f>
        <v>1</v>
      </c>
      <c r="E476" t="b">
        <f>COUNTIF(connections!A:A, A476) &gt; 0</f>
        <v>0</v>
      </c>
      <c r="G476" t="s">
        <v>1736</v>
      </c>
      <c r="H476" t="s">
        <v>187</v>
      </c>
      <c r="I476" t="s">
        <v>1737</v>
      </c>
      <c r="J476" s="1" t="s">
        <v>1738</v>
      </c>
    </row>
    <row r="477" spans="1:10" ht="15" customHeight="1" x14ac:dyDescent="0.25">
      <c r="A477" t="s">
        <v>1739</v>
      </c>
      <c r="B477">
        <v>2018</v>
      </c>
      <c r="C477" t="s">
        <v>176</v>
      </c>
      <c r="D477" t="b">
        <f>TRUE()</f>
        <v>1</v>
      </c>
      <c r="E477" t="b">
        <f>COUNTIF(connections!A:A, A477) &gt; 0</f>
        <v>1</v>
      </c>
      <c r="F477" t="s">
        <v>277</v>
      </c>
      <c r="G477" t="s">
        <v>1740</v>
      </c>
      <c r="H477" t="s">
        <v>187</v>
      </c>
      <c r="I477" t="s">
        <v>1741</v>
      </c>
      <c r="J477" s="1" t="s">
        <v>1742</v>
      </c>
    </row>
    <row r="478" spans="1:10" ht="15" customHeight="1" x14ac:dyDescent="0.25">
      <c r="A478" t="s">
        <v>1743</v>
      </c>
      <c r="B478">
        <v>2022</v>
      </c>
      <c r="C478" t="s">
        <v>176</v>
      </c>
      <c r="D478" t="b">
        <f>TRUE()</f>
        <v>1</v>
      </c>
      <c r="E478" t="b">
        <f>COUNTIF(connections!A:A, A478) &gt; 0</f>
        <v>0</v>
      </c>
      <c r="F478" t="s">
        <v>277</v>
      </c>
      <c r="G478" t="s">
        <v>1744</v>
      </c>
      <c r="H478" t="s">
        <v>187</v>
      </c>
      <c r="I478" t="s">
        <v>1745</v>
      </c>
      <c r="J478" s="1" t="s">
        <v>1746</v>
      </c>
    </row>
    <row r="479" spans="1:10" ht="15" customHeight="1" x14ac:dyDescent="0.25">
      <c r="A479" t="s">
        <v>1747</v>
      </c>
      <c r="B479">
        <v>2011</v>
      </c>
      <c r="C479" t="s">
        <v>179</v>
      </c>
      <c r="D479" t="b">
        <f>TRUE()</f>
        <v>1</v>
      </c>
      <c r="E479" t="b">
        <f>COUNTIF(connections!A:A, A479) &gt; 0</f>
        <v>1</v>
      </c>
      <c r="F479" t="s">
        <v>328</v>
      </c>
      <c r="G479" t="s">
        <v>1748</v>
      </c>
    </row>
    <row r="480" spans="1:10" ht="15" customHeight="1" x14ac:dyDescent="0.25">
      <c r="A480" t="s">
        <v>1749</v>
      </c>
      <c r="B480">
        <v>2023</v>
      </c>
      <c r="C480" t="s">
        <v>176</v>
      </c>
      <c r="D480" t="b">
        <f>TRUE()</f>
        <v>1</v>
      </c>
      <c r="E480" t="b">
        <f>COUNTIF(connections!A:A, A480) &gt; 0</f>
        <v>0</v>
      </c>
      <c r="G480" t="s">
        <v>1750</v>
      </c>
      <c r="H480" t="s">
        <v>187</v>
      </c>
      <c r="I480" t="s">
        <v>1751</v>
      </c>
      <c r="J480" s="1" t="s">
        <v>1752</v>
      </c>
    </row>
    <row r="481" spans="1:10" ht="15" customHeight="1" x14ac:dyDescent="0.25">
      <c r="A481" t="s">
        <v>1753</v>
      </c>
      <c r="B481">
        <v>2021</v>
      </c>
      <c r="C481" t="s">
        <v>176</v>
      </c>
      <c r="D481" t="b">
        <f>TRUE()</f>
        <v>1</v>
      </c>
      <c r="E481" t="b">
        <f>COUNTIF(connections!A:A, A481) &gt; 0</f>
        <v>1</v>
      </c>
      <c r="G481" t="s">
        <v>1754</v>
      </c>
      <c r="H481" t="s">
        <v>187</v>
      </c>
      <c r="I481" t="s">
        <v>1755</v>
      </c>
      <c r="J481" s="1" t="s">
        <v>1756</v>
      </c>
    </row>
    <row r="482" spans="1:10" ht="15" customHeight="1" x14ac:dyDescent="0.25">
      <c r="A482" t="s">
        <v>1757</v>
      </c>
      <c r="B482">
        <v>2025</v>
      </c>
      <c r="C482" t="s">
        <v>182</v>
      </c>
      <c r="D482" t="b">
        <f>TRUE()</f>
        <v>1</v>
      </c>
      <c r="E482" t="b">
        <f>COUNTIF(connections!A:A, A482) &gt; 0</f>
        <v>0</v>
      </c>
      <c r="G482" t="s">
        <v>1758</v>
      </c>
    </row>
    <row r="483" spans="1:10" ht="15" customHeight="1" x14ac:dyDescent="0.25">
      <c r="A483" t="s">
        <v>1759</v>
      </c>
      <c r="B483">
        <v>2016</v>
      </c>
      <c r="C483" t="s">
        <v>179</v>
      </c>
      <c r="D483" t="b">
        <f>TRUE()</f>
        <v>1</v>
      </c>
      <c r="E483" t="b">
        <f>COUNTIF(connections!A:A, A483) &gt; 0</f>
        <v>0</v>
      </c>
      <c r="G483" t="s">
        <v>1760</v>
      </c>
      <c r="H483" t="s">
        <v>187</v>
      </c>
      <c r="I483" t="s">
        <v>7877</v>
      </c>
      <c r="J483" s="10" t="s">
        <v>1761</v>
      </c>
    </row>
    <row r="484" spans="1:10" ht="15" customHeight="1" x14ac:dyDescent="0.25">
      <c r="A484" t="s">
        <v>1762</v>
      </c>
      <c r="B484">
        <v>1995</v>
      </c>
      <c r="C484" t="s">
        <v>179</v>
      </c>
      <c r="D484" t="b">
        <f>TRUE()</f>
        <v>1</v>
      </c>
      <c r="E484" t="b">
        <f>COUNTIF(connections!A:A, A484) &gt; 0</f>
        <v>1</v>
      </c>
      <c r="G484" t="s">
        <v>1763</v>
      </c>
      <c r="H484" t="s">
        <v>187</v>
      </c>
      <c r="I484" t="s">
        <v>1764</v>
      </c>
    </row>
    <row r="485" spans="1:10" ht="15" customHeight="1" x14ac:dyDescent="0.25">
      <c r="A485" t="s">
        <v>1765</v>
      </c>
      <c r="B485">
        <v>2024</v>
      </c>
      <c r="C485" t="s">
        <v>176</v>
      </c>
      <c r="D485" t="b">
        <f>TRUE()</f>
        <v>1</v>
      </c>
      <c r="E485" t="b">
        <f>COUNTIF(connections!A:A, A485) &gt; 0</f>
        <v>0</v>
      </c>
      <c r="G485" t="s">
        <v>1766</v>
      </c>
      <c r="H485" t="s">
        <v>187</v>
      </c>
      <c r="I485" t="s">
        <v>1767</v>
      </c>
      <c r="J485" s="1" t="s">
        <v>1768</v>
      </c>
    </row>
    <row r="486" spans="1:10" ht="15" customHeight="1" x14ac:dyDescent="0.25">
      <c r="A486" t="s">
        <v>1769</v>
      </c>
      <c r="B486">
        <v>2022</v>
      </c>
      <c r="C486" t="s">
        <v>182</v>
      </c>
      <c r="D486" t="b">
        <f>TRUE()</f>
        <v>1</v>
      </c>
      <c r="E486" t="b">
        <f>COUNTIF(connections!A:A, A486) &gt; 0</f>
        <v>0</v>
      </c>
      <c r="G486" t="s">
        <v>1770</v>
      </c>
      <c r="J486" s="10" t="s">
        <v>1771</v>
      </c>
    </row>
    <row r="487" spans="1:10" ht="15" customHeight="1" x14ac:dyDescent="0.25">
      <c r="A487" t="s">
        <v>1772</v>
      </c>
      <c r="B487">
        <v>2022</v>
      </c>
      <c r="C487" t="s">
        <v>176</v>
      </c>
      <c r="D487" t="b">
        <f>TRUE()</f>
        <v>1</v>
      </c>
      <c r="E487" t="b">
        <f>COUNTIF(connections!A:A, A487) &gt; 0</f>
        <v>0</v>
      </c>
      <c r="F487" t="s">
        <v>458</v>
      </c>
      <c r="G487" t="s">
        <v>1773</v>
      </c>
      <c r="H487" t="s">
        <v>187</v>
      </c>
      <c r="I487" t="s">
        <v>1774</v>
      </c>
      <c r="J487" s="1" t="s">
        <v>1775</v>
      </c>
    </row>
    <row r="488" spans="1:10" ht="15" customHeight="1" x14ac:dyDescent="0.25">
      <c r="A488" t="s">
        <v>1776</v>
      </c>
      <c r="B488">
        <v>2024</v>
      </c>
      <c r="C488" t="s">
        <v>222</v>
      </c>
      <c r="D488" t="b">
        <f>FALSE()</f>
        <v>0</v>
      </c>
      <c r="E488" t="b">
        <f>COUNTIF(connections!A:A, A488) &gt; 0</f>
        <v>0</v>
      </c>
      <c r="F488" t="s">
        <v>458</v>
      </c>
      <c r="G488" t="s">
        <v>1777</v>
      </c>
      <c r="H488" t="s">
        <v>187</v>
      </c>
      <c r="I488" t="s">
        <v>1778</v>
      </c>
      <c r="J488" s="1" t="s">
        <v>1779</v>
      </c>
    </row>
    <row r="489" spans="1:10" ht="15" customHeight="1" x14ac:dyDescent="0.25">
      <c r="A489" t="s">
        <v>1780</v>
      </c>
      <c r="B489">
        <v>2022</v>
      </c>
      <c r="C489" t="s">
        <v>176</v>
      </c>
      <c r="D489" t="b">
        <f>TRUE()</f>
        <v>1</v>
      </c>
      <c r="E489" t="b">
        <f>COUNTIF(connections!A:A, A489) &gt; 0</f>
        <v>1</v>
      </c>
      <c r="F489" t="s">
        <v>458</v>
      </c>
      <c r="G489" t="s">
        <v>1781</v>
      </c>
      <c r="H489" t="s">
        <v>187</v>
      </c>
      <c r="I489" t="s">
        <v>1782</v>
      </c>
      <c r="J489" s="1" t="s">
        <v>1783</v>
      </c>
    </row>
    <row r="490" spans="1:10" ht="15" customHeight="1" x14ac:dyDescent="0.25">
      <c r="A490" t="s">
        <v>1784</v>
      </c>
      <c r="B490">
        <v>2024</v>
      </c>
      <c r="C490" t="s">
        <v>176</v>
      </c>
      <c r="D490" t="b">
        <f>TRUE()</f>
        <v>1</v>
      </c>
      <c r="E490" t="b">
        <f>COUNTIF(connections!A:A, A490) &gt; 0</f>
        <v>0</v>
      </c>
      <c r="F490" t="s">
        <v>458</v>
      </c>
      <c r="G490" t="s">
        <v>1785</v>
      </c>
      <c r="H490" t="s">
        <v>187</v>
      </c>
      <c r="I490" t="s">
        <v>1786</v>
      </c>
      <c r="J490" s="1" t="s">
        <v>1787</v>
      </c>
    </row>
    <row r="491" spans="1:10" ht="15" customHeight="1" x14ac:dyDescent="0.25">
      <c r="A491" t="s">
        <v>1788</v>
      </c>
      <c r="B491">
        <v>2019</v>
      </c>
      <c r="C491" t="s">
        <v>176</v>
      </c>
      <c r="D491" t="b">
        <f>TRUE()</f>
        <v>1</v>
      </c>
      <c r="E491" t="b">
        <f>COUNTIF(connections!A:A, A491) &gt; 0</f>
        <v>1</v>
      </c>
      <c r="G491" t="s">
        <v>1789</v>
      </c>
      <c r="H491" t="s">
        <v>187</v>
      </c>
      <c r="I491" t="s">
        <v>1790</v>
      </c>
      <c r="J491" s="1" t="s">
        <v>1791</v>
      </c>
    </row>
    <row r="492" spans="1:10" ht="16.5" customHeight="1" x14ac:dyDescent="0.25">
      <c r="A492" t="s">
        <v>1792</v>
      </c>
      <c r="B492">
        <v>2025</v>
      </c>
      <c r="C492" t="s">
        <v>176</v>
      </c>
      <c r="D492" t="b">
        <f>TRUE()</f>
        <v>1</v>
      </c>
      <c r="E492" t="b">
        <f>COUNTIF(connections!A:A, A492) &gt; 0</f>
        <v>0</v>
      </c>
      <c r="G492" t="s">
        <v>1793</v>
      </c>
    </row>
    <row r="493" spans="1:10" ht="15" customHeight="1" x14ac:dyDescent="0.25">
      <c r="A493" t="s">
        <v>1794</v>
      </c>
      <c r="B493">
        <v>2022</v>
      </c>
      <c r="C493" t="s">
        <v>176</v>
      </c>
      <c r="D493" t="b">
        <f>TRUE()</f>
        <v>1</v>
      </c>
      <c r="E493" t="b">
        <f>COUNTIF(connections!A:A, A493) &gt; 0</f>
        <v>0</v>
      </c>
      <c r="G493" t="s">
        <v>1795</v>
      </c>
    </row>
    <row r="494" spans="1:10" ht="15" customHeight="1" x14ac:dyDescent="0.25">
      <c r="A494" t="s">
        <v>1796</v>
      </c>
      <c r="B494">
        <v>1987</v>
      </c>
      <c r="C494" t="s">
        <v>179</v>
      </c>
      <c r="D494" t="b">
        <f>TRUE()</f>
        <v>1</v>
      </c>
      <c r="E494" t="b">
        <f>COUNTIF(connections!A:A, A494) &gt; 0</f>
        <v>1</v>
      </c>
      <c r="G494" t="s">
        <v>1797</v>
      </c>
      <c r="H494" t="s">
        <v>187</v>
      </c>
      <c r="I494" t="s">
        <v>1798</v>
      </c>
    </row>
    <row r="495" spans="1:10" ht="15" customHeight="1" x14ac:dyDescent="0.25">
      <c r="A495" t="s">
        <v>1799</v>
      </c>
      <c r="B495">
        <v>2025</v>
      </c>
      <c r="C495" t="s">
        <v>176</v>
      </c>
      <c r="D495" t="b">
        <f>TRUE()</f>
        <v>1</v>
      </c>
      <c r="E495" t="b">
        <f>COUNTIF(connections!A:A, A495) &gt; 0</f>
        <v>0</v>
      </c>
      <c r="G495" t="s">
        <v>1800</v>
      </c>
      <c r="J495" s="10" t="s">
        <v>1801</v>
      </c>
    </row>
    <row r="496" spans="1:10" ht="15" customHeight="1" x14ac:dyDescent="0.25">
      <c r="A496" t="s">
        <v>1802</v>
      </c>
      <c r="B496">
        <v>2021</v>
      </c>
      <c r="C496" t="s">
        <v>176</v>
      </c>
      <c r="D496" t="b">
        <f>TRUE()</f>
        <v>1</v>
      </c>
      <c r="E496" t="b">
        <f>COUNTIF(connections!A:A, A496) &gt; 0</f>
        <v>0</v>
      </c>
      <c r="G496" t="s">
        <v>1803</v>
      </c>
      <c r="J496" s="10" t="s">
        <v>1804</v>
      </c>
    </row>
    <row r="497" spans="1:10" ht="15" customHeight="1" x14ac:dyDescent="0.25">
      <c r="A497" t="s">
        <v>1805</v>
      </c>
      <c r="B497">
        <v>2025</v>
      </c>
      <c r="C497" t="s">
        <v>176</v>
      </c>
      <c r="D497" t="b">
        <f>TRUE()</f>
        <v>1</v>
      </c>
      <c r="E497" t="b">
        <f>COUNTIF(connections!A:A, A497) &gt; 0</f>
        <v>0</v>
      </c>
      <c r="F497" t="s">
        <v>1806</v>
      </c>
      <c r="G497" t="s">
        <v>1807</v>
      </c>
      <c r="H497" t="s">
        <v>187</v>
      </c>
      <c r="I497" t="s">
        <v>1808</v>
      </c>
      <c r="J497" s="1" t="s">
        <v>1809</v>
      </c>
    </row>
    <row r="498" spans="1:10" ht="15" customHeight="1" x14ac:dyDescent="0.25">
      <c r="A498" t="s">
        <v>1810</v>
      </c>
      <c r="B498">
        <v>2024</v>
      </c>
      <c r="C498" t="s">
        <v>176</v>
      </c>
      <c r="D498" t="b">
        <f>TRUE()</f>
        <v>1</v>
      </c>
      <c r="E498" t="b">
        <f>COUNTIF(connections!A:A, A498) &gt; 0</f>
        <v>0</v>
      </c>
      <c r="G498" t="s">
        <v>1811</v>
      </c>
    </row>
    <row r="499" spans="1:10" ht="15" customHeight="1" x14ac:dyDescent="0.25">
      <c r="A499" t="s">
        <v>1812</v>
      </c>
      <c r="B499">
        <v>2026</v>
      </c>
      <c r="C499" t="s">
        <v>182</v>
      </c>
      <c r="D499" t="b">
        <f>TRUE()</f>
        <v>1</v>
      </c>
      <c r="E499" t="b">
        <f>COUNTIF(connections!A:A, A499) &gt; 0</f>
        <v>0</v>
      </c>
      <c r="G499" t="s">
        <v>1813</v>
      </c>
    </row>
    <row r="500" spans="1:10" ht="15" customHeight="1" x14ac:dyDescent="0.25">
      <c r="A500" t="s">
        <v>1814</v>
      </c>
      <c r="B500">
        <v>2024</v>
      </c>
      <c r="C500" t="s">
        <v>222</v>
      </c>
      <c r="D500" t="b">
        <f>TRUE()</f>
        <v>1</v>
      </c>
      <c r="E500" t="b">
        <f>COUNTIF(connections!A:A, A500) &gt; 0</f>
        <v>1</v>
      </c>
      <c r="G500" t="s">
        <v>1815</v>
      </c>
      <c r="H500" t="s">
        <v>187</v>
      </c>
      <c r="I500" t="s">
        <v>1816</v>
      </c>
      <c r="J500" s="10" t="s">
        <v>1817</v>
      </c>
    </row>
    <row r="501" spans="1:10" ht="15" customHeight="1" x14ac:dyDescent="0.25">
      <c r="A501" t="s">
        <v>1818</v>
      </c>
      <c r="B501">
        <v>2019</v>
      </c>
      <c r="C501" t="s">
        <v>176</v>
      </c>
      <c r="D501" t="b">
        <f>TRUE()</f>
        <v>1</v>
      </c>
      <c r="E501" t="b">
        <f>COUNTIF(connections!A:A, A501) &gt; 0</f>
        <v>1</v>
      </c>
      <c r="G501" t="s">
        <v>1819</v>
      </c>
      <c r="H501" t="s">
        <v>187</v>
      </c>
      <c r="I501" t="s">
        <v>1820</v>
      </c>
      <c r="J501" s="1" t="s">
        <v>1821</v>
      </c>
    </row>
    <row r="502" spans="1:10" ht="15" customHeight="1" x14ac:dyDescent="0.25">
      <c r="A502" t="s">
        <v>1822</v>
      </c>
      <c r="B502">
        <v>2022</v>
      </c>
      <c r="C502" t="s">
        <v>176</v>
      </c>
      <c r="D502" t="b">
        <f>TRUE()</f>
        <v>1</v>
      </c>
      <c r="E502" t="b">
        <f>COUNTIF(connections!A:A, A502) &gt; 0</f>
        <v>0</v>
      </c>
      <c r="G502" t="s">
        <v>1823</v>
      </c>
      <c r="H502" t="s">
        <v>187</v>
      </c>
      <c r="I502" t="s">
        <v>1824</v>
      </c>
      <c r="J502" s="1" t="s">
        <v>1825</v>
      </c>
    </row>
    <row r="503" spans="1:10" ht="15" customHeight="1" x14ac:dyDescent="0.25">
      <c r="A503" t="s">
        <v>1826</v>
      </c>
      <c r="B503">
        <v>2025</v>
      </c>
      <c r="C503" t="s">
        <v>176</v>
      </c>
      <c r="D503" t="b">
        <f>TRUE()</f>
        <v>1</v>
      </c>
      <c r="E503" t="b">
        <f>COUNTIF(connections!A:A, A503) &gt; 0</f>
        <v>0</v>
      </c>
      <c r="G503" t="s">
        <v>1827</v>
      </c>
      <c r="H503" t="s">
        <v>187</v>
      </c>
      <c r="I503" t="s">
        <v>1828</v>
      </c>
      <c r="J503" s="1" t="s">
        <v>1829</v>
      </c>
    </row>
    <row r="504" spans="1:10" ht="15" customHeight="1" x14ac:dyDescent="0.25">
      <c r="A504" t="s">
        <v>1830</v>
      </c>
      <c r="B504">
        <v>2023</v>
      </c>
      <c r="C504" t="s">
        <v>176</v>
      </c>
      <c r="D504" t="b">
        <f>TRUE()</f>
        <v>1</v>
      </c>
      <c r="E504" t="b">
        <f>COUNTIF(connections!A:A, A504) &gt; 0</f>
        <v>0</v>
      </c>
      <c r="G504" t="s">
        <v>1831</v>
      </c>
      <c r="H504" t="s">
        <v>187</v>
      </c>
      <c r="I504" t="s">
        <v>1832</v>
      </c>
      <c r="J504" s="1" t="s">
        <v>1833</v>
      </c>
    </row>
    <row r="505" spans="1:10" ht="15" customHeight="1" x14ac:dyDescent="0.25">
      <c r="A505" t="s">
        <v>1834</v>
      </c>
      <c r="B505">
        <v>2025</v>
      </c>
      <c r="C505" t="s">
        <v>222</v>
      </c>
      <c r="D505" t="b">
        <f>TRUE()</f>
        <v>1</v>
      </c>
      <c r="E505" t="b">
        <f>COUNTIF(connections!A:A, A505) &gt; 0</f>
        <v>0</v>
      </c>
      <c r="G505" t="s">
        <v>1835</v>
      </c>
      <c r="H505" t="s">
        <v>187</v>
      </c>
      <c r="I505" t="s">
        <v>1836</v>
      </c>
      <c r="J505" s="1" t="s">
        <v>1837</v>
      </c>
    </row>
    <row r="506" spans="1:10" ht="15" customHeight="1" x14ac:dyDescent="0.25">
      <c r="A506" t="s">
        <v>1838</v>
      </c>
      <c r="B506">
        <v>2022</v>
      </c>
      <c r="C506" t="s">
        <v>176</v>
      </c>
      <c r="D506" t="b">
        <f>TRUE()</f>
        <v>1</v>
      </c>
      <c r="E506" t="b">
        <f>COUNTIF(connections!A:A, A506) &gt; 0</f>
        <v>0</v>
      </c>
      <c r="G506" t="s">
        <v>1839</v>
      </c>
      <c r="H506" t="s">
        <v>187</v>
      </c>
      <c r="I506" t="s">
        <v>1840</v>
      </c>
      <c r="J506" s="1" t="s">
        <v>1841</v>
      </c>
    </row>
    <row r="507" spans="1:10" ht="15" customHeight="1" x14ac:dyDescent="0.25">
      <c r="A507" t="s">
        <v>1842</v>
      </c>
      <c r="B507">
        <v>2025</v>
      </c>
      <c r="C507" t="s">
        <v>222</v>
      </c>
      <c r="D507" t="b">
        <f>FALSE()</f>
        <v>0</v>
      </c>
      <c r="E507" t="b">
        <f>COUNTIF(connections!A:A, A507) &gt; 0</f>
        <v>0</v>
      </c>
      <c r="F507" t="s">
        <v>506</v>
      </c>
      <c r="G507" t="s">
        <v>1843</v>
      </c>
    </row>
    <row r="508" spans="1:10" ht="15" customHeight="1" x14ac:dyDescent="0.25">
      <c r="A508" t="s">
        <v>1844</v>
      </c>
      <c r="B508">
        <v>2019</v>
      </c>
      <c r="C508" t="s">
        <v>176</v>
      </c>
      <c r="D508" t="b">
        <f>TRUE()</f>
        <v>1</v>
      </c>
      <c r="E508" t="b">
        <f>COUNTIF(connections!A:A, A508) &gt; 0</f>
        <v>0</v>
      </c>
      <c r="F508" t="s">
        <v>274</v>
      </c>
      <c r="G508" t="s">
        <v>1845</v>
      </c>
      <c r="H508" t="s">
        <v>187</v>
      </c>
      <c r="I508" t="s">
        <v>1846</v>
      </c>
      <c r="J508" s="1" t="s">
        <v>1847</v>
      </c>
    </row>
    <row r="509" spans="1:10" ht="15" customHeight="1" x14ac:dyDescent="0.25">
      <c r="A509" t="s">
        <v>1848</v>
      </c>
      <c r="B509">
        <v>2019</v>
      </c>
      <c r="C509" t="s">
        <v>182</v>
      </c>
      <c r="D509" t="b">
        <f>TRUE()</f>
        <v>1</v>
      </c>
      <c r="E509" t="b">
        <f>COUNTIF(connections!A:A, A509) &gt; 0</f>
        <v>0</v>
      </c>
      <c r="G509" t="s">
        <v>1849</v>
      </c>
      <c r="H509" t="s">
        <v>187</v>
      </c>
      <c r="I509" t="s">
        <v>1850</v>
      </c>
      <c r="J509" s="1" t="s">
        <v>1851</v>
      </c>
    </row>
    <row r="510" spans="1:10" ht="15" customHeight="1" x14ac:dyDescent="0.25">
      <c r="A510" t="s">
        <v>1852</v>
      </c>
      <c r="B510">
        <v>2024</v>
      </c>
      <c r="C510" t="s">
        <v>222</v>
      </c>
      <c r="D510" t="b">
        <f>TRUE()</f>
        <v>1</v>
      </c>
      <c r="E510" t="b">
        <f>COUNTIF(connections!A:A, A510) &gt; 0</f>
        <v>1</v>
      </c>
      <c r="G510" t="s">
        <v>1853</v>
      </c>
      <c r="H510" t="s">
        <v>187</v>
      </c>
      <c r="I510" t="s">
        <v>1854</v>
      </c>
      <c r="J510" s="1" t="s">
        <v>1855</v>
      </c>
    </row>
    <row r="511" spans="1:10" ht="15" customHeight="1" x14ac:dyDescent="0.25">
      <c r="A511" t="s">
        <v>1856</v>
      </c>
      <c r="B511">
        <v>2015</v>
      </c>
      <c r="C511" t="s">
        <v>176</v>
      </c>
      <c r="D511" t="b">
        <f>TRUE()</f>
        <v>1</v>
      </c>
      <c r="E511" t="b">
        <f>COUNTIF(connections!A:A, A511) &gt; 0</f>
        <v>1</v>
      </c>
      <c r="G511" t="s">
        <v>1857</v>
      </c>
      <c r="H511" t="s">
        <v>187</v>
      </c>
      <c r="I511" t="s">
        <v>1858</v>
      </c>
      <c r="J511" s="1" t="s">
        <v>1859</v>
      </c>
    </row>
    <row r="512" spans="1:10" ht="15" customHeight="1" x14ac:dyDescent="0.25">
      <c r="A512" t="s">
        <v>1860</v>
      </c>
      <c r="B512">
        <v>2025</v>
      </c>
      <c r="C512" t="s">
        <v>176</v>
      </c>
      <c r="D512" t="b">
        <f>TRUE()</f>
        <v>1</v>
      </c>
      <c r="E512" t="b">
        <f>COUNTIF(connections!A:A, A512) &gt; 0</f>
        <v>0</v>
      </c>
      <c r="G512" t="s">
        <v>1861</v>
      </c>
      <c r="H512" t="s">
        <v>187</v>
      </c>
      <c r="I512" t="s">
        <v>1862</v>
      </c>
      <c r="J512" s="1" t="s">
        <v>1863</v>
      </c>
    </row>
    <row r="513" spans="1:10" ht="15" customHeight="1" x14ac:dyDescent="0.25">
      <c r="A513" t="s">
        <v>1864</v>
      </c>
      <c r="B513">
        <v>2026</v>
      </c>
      <c r="C513" t="s">
        <v>222</v>
      </c>
      <c r="D513" t="b">
        <f>TRUE()</f>
        <v>1</v>
      </c>
      <c r="E513" t="b">
        <f>COUNTIF(connections!A:A, A513) &gt; 0</f>
        <v>0</v>
      </c>
      <c r="G513" t="s">
        <v>1865</v>
      </c>
    </row>
    <row r="514" spans="1:10" ht="15" customHeight="1" x14ac:dyDescent="0.25">
      <c r="A514" t="s">
        <v>1866</v>
      </c>
      <c r="B514">
        <v>2023</v>
      </c>
      <c r="C514" t="s">
        <v>176</v>
      </c>
      <c r="D514" t="b">
        <f>TRUE()</f>
        <v>1</v>
      </c>
      <c r="E514" t="b">
        <f>COUNTIF(connections!A:A, A514) &gt; 0</f>
        <v>0</v>
      </c>
      <c r="G514" t="s">
        <v>1867</v>
      </c>
    </row>
    <row r="515" spans="1:10" ht="15" customHeight="1" x14ac:dyDescent="0.25">
      <c r="A515" t="s">
        <v>1868</v>
      </c>
      <c r="B515">
        <v>2021</v>
      </c>
      <c r="C515" t="s">
        <v>182</v>
      </c>
      <c r="D515" t="b">
        <v>1</v>
      </c>
      <c r="E515" t="b">
        <f>COUNTIF(connections!A:A, A515) &gt; 0</f>
        <v>0</v>
      </c>
      <c r="G515" t="s">
        <v>1869</v>
      </c>
      <c r="H515" t="s">
        <v>187</v>
      </c>
      <c r="I515" t="s">
        <v>1870</v>
      </c>
      <c r="J515" s="10" t="s">
        <v>1871</v>
      </c>
    </row>
    <row r="516" spans="1:10" ht="15" customHeight="1" x14ac:dyDescent="0.25">
      <c r="A516" t="s">
        <v>1872</v>
      </c>
      <c r="B516">
        <v>2018</v>
      </c>
      <c r="C516" t="s">
        <v>176</v>
      </c>
      <c r="D516" t="b">
        <f>FALSE()</f>
        <v>0</v>
      </c>
      <c r="E516" t="b">
        <f>COUNTIF(connections!A:A, A516) &gt; 0</f>
        <v>0</v>
      </c>
      <c r="G516" t="s">
        <v>1873</v>
      </c>
      <c r="H516" t="s">
        <v>187</v>
      </c>
      <c r="I516" t="s">
        <v>1874</v>
      </c>
      <c r="J516" s="1" t="s">
        <v>1875</v>
      </c>
    </row>
    <row r="517" spans="1:10" ht="15" customHeight="1" x14ac:dyDescent="0.25">
      <c r="A517" t="s">
        <v>1876</v>
      </c>
      <c r="B517">
        <v>2026</v>
      </c>
      <c r="C517" t="s">
        <v>176</v>
      </c>
      <c r="D517" t="b">
        <f>TRUE()</f>
        <v>1</v>
      </c>
      <c r="E517" t="b">
        <f>COUNTIF(connections!A:A, A517) &gt; 0</f>
        <v>0</v>
      </c>
      <c r="G517" t="s">
        <v>1877</v>
      </c>
    </row>
    <row r="518" spans="1:10" ht="15" customHeight="1" x14ac:dyDescent="0.25">
      <c r="A518" t="s">
        <v>1878</v>
      </c>
      <c r="B518">
        <v>2025</v>
      </c>
      <c r="C518" t="s">
        <v>176</v>
      </c>
      <c r="D518" t="b">
        <f>TRUE()</f>
        <v>1</v>
      </c>
      <c r="E518" t="b">
        <f>COUNTIF(connections!A:A, A518) &gt; 0</f>
        <v>0</v>
      </c>
      <c r="G518" t="s">
        <v>1879</v>
      </c>
    </row>
    <row r="519" spans="1:10" ht="15" customHeight="1" x14ac:dyDescent="0.25">
      <c r="A519" t="s">
        <v>1880</v>
      </c>
      <c r="B519">
        <v>2026</v>
      </c>
      <c r="C519" t="s">
        <v>176</v>
      </c>
      <c r="D519" t="b">
        <f>TRUE()</f>
        <v>1</v>
      </c>
      <c r="E519" t="b">
        <f>COUNTIF(connections!A:A, A519) &gt; 0</f>
        <v>0</v>
      </c>
      <c r="G519" t="s">
        <v>1881</v>
      </c>
      <c r="J519" s="10" t="s">
        <v>1882</v>
      </c>
    </row>
    <row r="520" spans="1:10" ht="15" customHeight="1" x14ac:dyDescent="0.25">
      <c r="A520" t="s">
        <v>1883</v>
      </c>
      <c r="B520">
        <v>1987</v>
      </c>
      <c r="C520" t="s">
        <v>179</v>
      </c>
      <c r="D520" t="b">
        <f>TRUE()</f>
        <v>1</v>
      </c>
      <c r="E520" t="b">
        <f>COUNTIF(connections!A:A, A520) &gt; 0</f>
        <v>1</v>
      </c>
      <c r="G520" t="s">
        <v>1884</v>
      </c>
      <c r="H520" t="s">
        <v>187</v>
      </c>
      <c r="I520" t="s">
        <v>1885</v>
      </c>
    </row>
    <row r="521" spans="1:10" ht="15" customHeight="1" x14ac:dyDescent="0.25">
      <c r="A521" t="s">
        <v>1886</v>
      </c>
      <c r="B521">
        <v>2015</v>
      </c>
      <c r="C521" t="s">
        <v>179</v>
      </c>
      <c r="D521" t="b">
        <f>TRUE()</f>
        <v>1</v>
      </c>
      <c r="E521" t="b">
        <f>COUNTIF(connections!A:A, A521) &gt; 0</f>
        <v>1</v>
      </c>
      <c r="G521" t="s">
        <v>1887</v>
      </c>
    </row>
    <row r="522" spans="1:10" ht="15" customHeight="1" x14ac:dyDescent="0.25">
      <c r="A522" t="s">
        <v>1888</v>
      </c>
      <c r="B522">
        <v>2019</v>
      </c>
      <c r="C522" t="s">
        <v>179</v>
      </c>
      <c r="D522" t="b">
        <f>TRUE()</f>
        <v>1</v>
      </c>
      <c r="E522" t="b">
        <f>COUNTIF(connections!A:A, A522) &gt; 0</f>
        <v>0</v>
      </c>
      <c r="G522" t="s">
        <v>1889</v>
      </c>
      <c r="H522" t="s">
        <v>187</v>
      </c>
      <c r="I522" t="s">
        <v>1890</v>
      </c>
      <c r="J522" s="10" t="s">
        <v>1891</v>
      </c>
    </row>
    <row r="523" spans="1:10" ht="15" customHeight="1" x14ac:dyDescent="0.25">
      <c r="A523" t="s">
        <v>1892</v>
      </c>
      <c r="B523">
        <v>2017</v>
      </c>
      <c r="C523" t="s">
        <v>179</v>
      </c>
      <c r="D523" t="b">
        <f>TRUE()</f>
        <v>1</v>
      </c>
      <c r="E523" t="b">
        <f>COUNTIF(connections!A:A, A523) &gt; 0</f>
        <v>1</v>
      </c>
      <c r="G523" t="s">
        <v>1893</v>
      </c>
    </row>
    <row r="524" spans="1:10" ht="15" customHeight="1" x14ac:dyDescent="0.25">
      <c r="A524" t="s">
        <v>1894</v>
      </c>
      <c r="B524">
        <v>2025</v>
      </c>
      <c r="C524" t="s">
        <v>182</v>
      </c>
      <c r="D524" t="b">
        <f>TRUE()</f>
        <v>1</v>
      </c>
      <c r="E524" t="b">
        <f>COUNTIF(connections!A:A, A524) &gt; 0</f>
        <v>0</v>
      </c>
      <c r="F524" t="s">
        <v>264</v>
      </c>
      <c r="G524" t="s">
        <v>1895</v>
      </c>
    </row>
    <row r="525" spans="1:10" ht="15" customHeight="1" x14ac:dyDescent="0.25">
      <c r="A525" t="s">
        <v>1896</v>
      </c>
      <c r="B525">
        <v>2020</v>
      </c>
      <c r="C525" t="s">
        <v>176</v>
      </c>
      <c r="D525" t="b">
        <f>TRUE()</f>
        <v>1</v>
      </c>
      <c r="E525" t="b">
        <f>COUNTIF(connections!A:A, A525) &gt; 0</f>
        <v>0</v>
      </c>
      <c r="G525" t="s">
        <v>1897</v>
      </c>
      <c r="H525" t="s">
        <v>187</v>
      </c>
      <c r="I525" t="s">
        <v>1898</v>
      </c>
      <c r="J525" s="1" t="s">
        <v>1899</v>
      </c>
    </row>
    <row r="526" spans="1:10" ht="15" customHeight="1" x14ac:dyDescent="0.25">
      <c r="A526" t="s">
        <v>1900</v>
      </c>
      <c r="B526">
        <v>2014</v>
      </c>
      <c r="C526" t="s">
        <v>179</v>
      </c>
      <c r="D526" t="b">
        <f>TRUE()</f>
        <v>1</v>
      </c>
      <c r="E526" t="b">
        <f>COUNTIF(connections!A:A, A526) &gt; 0</f>
        <v>1</v>
      </c>
      <c r="G526" t="s">
        <v>1901</v>
      </c>
      <c r="H526" t="s">
        <v>187</v>
      </c>
      <c r="I526" t="s">
        <v>1902</v>
      </c>
      <c r="J526" s="10" t="s">
        <v>1903</v>
      </c>
    </row>
    <row r="527" spans="1:10" ht="15" customHeight="1" x14ac:dyDescent="0.25">
      <c r="A527" t="s">
        <v>1904</v>
      </c>
      <c r="B527">
        <v>2019</v>
      </c>
      <c r="C527" t="s">
        <v>179</v>
      </c>
      <c r="D527" t="b">
        <f>TRUE()</f>
        <v>1</v>
      </c>
      <c r="E527" t="b">
        <f>COUNTIF(connections!A:A, A527) &gt; 0</f>
        <v>0</v>
      </c>
      <c r="G527" t="s">
        <v>1905</v>
      </c>
      <c r="H527" t="s">
        <v>187</v>
      </c>
      <c r="I527" t="s">
        <v>1906</v>
      </c>
      <c r="J527" s="1" t="s">
        <v>1907</v>
      </c>
    </row>
    <row r="528" spans="1:10" ht="15" customHeight="1" x14ac:dyDescent="0.25">
      <c r="A528" t="s">
        <v>7891</v>
      </c>
      <c r="B528">
        <v>2026</v>
      </c>
      <c r="C528" t="s">
        <v>182</v>
      </c>
      <c r="D528" t="b">
        <f>TRUE()</f>
        <v>1</v>
      </c>
      <c r="E528" t="b">
        <f>COUNTIF(connections!A:A, A528) &gt; 0</f>
        <v>0</v>
      </c>
      <c r="G528" t="s">
        <v>7874</v>
      </c>
      <c r="J528" s="10" t="s">
        <v>7875</v>
      </c>
    </row>
    <row r="529" spans="1:10" ht="15" customHeight="1" x14ac:dyDescent="0.25">
      <c r="A529" t="s">
        <v>1908</v>
      </c>
      <c r="B529">
        <v>2023</v>
      </c>
      <c r="C529" t="s">
        <v>176</v>
      </c>
      <c r="D529" t="b">
        <f>FALSE()</f>
        <v>0</v>
      </c>
      <c r="E529" t="b">
        <f>COUNTIF(connections!A:A, A529) &gt; 0</f>
        <v>0</v>
      </c>
      <c r="G529" t="s">
        <v>1909</v>
      </c>
      <c r="H529" t="s">
        <v>187</v>
      </c>
      <c r="I529" t="s">
        <v>1910</v>
      </c>
      <c r="J529" s="1" t="s">
        <v>1911</v>
      </c>
    </row>
    <row r="530" spans="1:10" ht="15" customHeight="1" x14ac:dyDescent="0.25">
      <c r="A530" t="s">
        <v>1912</v>
      </c>
      <c r="B530">
        <v>2014</v>
      </c>
      <c r="C530" t="s">
        <v>176</v>
      </c>
      <c r="D530" t="b">
        <v>1</v>
      </c>
      <c r="E530" t="b">
        <f>COUNTIF(connections!A:A, A530) &gt; 0</f>
        <v>0</v>
      </c>
      <c r="G530" t="s">
        <v>1913</v>
      </c>
      <c r="J530" s="10" t="s">
        <v>1914</v>
      </c>
    </row>
    <row r="531" spans="1:10" ht="15" customHeight="1" x14ac:dyDescent="0.25">
      <c r="A531" t="s">
        <v>1915</v>
      </c>
      <c r="B531">
        <v>2025</v>
      </c>
      <c r="C531" t="s">
        <v>222</v>
      </c>
      <c r="D531" t="b">
        <f>FALSE()</f>
        <v>0</v>
      </c>
      <c r="E531" t="b">
        <f>COUNTIF(connections!A:A, A531) &gt; 0</f>
        <v>0</v>
      </c>
      <c r="G531" t="s">
        <v>1916</v>
      </c>
      <c r="H531" t="s">
        <v>187</v>
      </c>
      <c r="I531" t="s">
        <v>1917</v>
      </c>
      <c r="J531" s="1" t="s">
        <v>1918</v>
      </c>
    </row>
    <row r="532" spans="1:10" ht="15" customHeight="1" x14ac:dyDescent="0.25">
      <c r="A532" t="s">
        <v>1919</v>
      </c>
      <c r="B532">
        <v>2022</v>
      </c>
      <c r="C532" t="s">
        <v>179</v>
      </c>
      <c r="D532" t="b">
        <f>TRUE()</f>
        <v>1</v>
      </c>
      <c r="E532" t="b">
        <f>COUNTIF(connections!A:A, A532) &gt; 0</f>
        <v>0</v>
      </c>
      <c r="G532" t="s">
        <v>1920</v>
      </c>
      <c r="H532" t="s">
        <v>187</v>
      </c>
      <c r="I532" t="s">
        <v>1921</v>
      </c>
    </row>
    <row r="533" spans="1:10" ht="15" customHeight="1" x14ac:dyDescent="0.25">
      <c r="A533" t="s">
        <v>1922</v>
      </c>
      <c r="B533">
        <v>2025</v>
      </c>
      <c r="C533" t="s">
        <v>182</v>
      </c>
      <c r="D533" t="b">
        <f>TRUE()</f>
        <v>1</v>
      </c>
      <c r="E533" t="b">
        <f>COUNTIF(connections!A:A, A533) &gt; 0</f>
        <v>0</v>
      </c>
      <c r="G533" t="s">
        <v>1923</v>
      </c>
      <c r="H533" t="s">
        <v>187</v>
      </c>
      <c r="I533" t="s">
        <v>1924</v>
      </c>
      <c r="J533" s="1" t="s">
        <v>1925</v>
      </c>
    </row>
    <row r="534" spans="1:10" ht="15" customHeight="1" x14ac:dyDescent="0.25">
      <c r="A534" t="s">
        <v>1926</v>
      </c>
      <c r="B534">
        <v>2025</v>
      </c>
      <c r="C534" t="s">
        <v>179</v>
      </c>
      <c r="D534" t="b">
        <f>TRUE()</f>
        <v>1</v>
      </c>
      <c r="E534" t="b">
        <f>COUNTIF(connections!A:A, A534) &gt; 0</f>
        <v>0</v>
      </c>
      <c r="G534" t="s">
        <v>1927</v>
      </c>
    </row>
    <row r="535" spans="1:10" ht="15" customHeight="1" x14ac:dyDescent="0.25">
      <c r="A535" t="s">
        <v>1928</v>
      </c>
      <c r="B535">
        <v>2023</v>
      </c>
      <c r="C535" t="s">
        <v>176</v>
      </c>
      <c r="D535" t="b">
        <f>TRUE()</f>
        <v>1</v>
      </c>
      <c r="E535" t="b">
        <f>COUNTIF(connections!A:A, A535) &gt; 0</f>
        <v>0</v>
      </c>
      <c r="G535" t="s">
        <v>1929</v>
      </c>
      <c r="H535" t="s">
        <v>187</v>
      </c>
      <c r="I535" t="s">
        <v>1930</v>
      </c>
      <c r="J535" s="1" t="s">
        <v>1931</v>
      </c>
    </row>
    <row r="536" spans="1:10" ht="15" customHeight="1" x14ac:dyDescent="0.25">
      <c r="A536" t="s">
        <v>1932</v>
      </c>
      <c r="B536">
        <v>2025</v>
      </c>
      <c r="C536" t="s">
        <v>222</v>
      </c>
      <c r="D536" t="b">
        <f>TRUE()</f>
        <v>1</v>
      </c>
      <c r="E536" t="b">
        <f>COUNTIF(connections!A:A, A536) &gt; 0</f>
        <v>0</v>
      </c>
      <c r="F536" t="s">
        <v>1165</v>
      </c>
      <c r="G536" t="s">
        <v>1933</v>
      </c>
    </row>
    <row r="537" spans="1:10" ht="15" customHeight="1" x14ac:dyDescent="0.25">
      <c r="A537" t="s">
        <v>1934</v>
      </c>
      <c r="B537">
        <v>2021</v>
      </c>
      <c r="C537" t="s">
        <v>176</v>
      </c>
      <c r="D537" t="b">
        <f>TRUE()</f>
        <v>1</v>
      </c>
      <c r="E537" t="b">
        <f>COUNTIF(connections!A:A, A537) &gt; 0</f>
        <v>1</v>
      </c>
      <c r="G537" t="s">
        <v>1935</v>
      </c>
      <c r="H537" t="s">
        <v>187</v>
      </c>
      <c r="I537" t="s">
        <v>1936</v>
      </c>
      <c r="J537" s="1" t="s">
        <v>1937</v>
      </c>
    </row>
    <row r="538" spans="1:10" ht="15" customHeight="1" x14ac:dyDescent="0.25">
      <c r="A538" t="s">
        <v>1938</v>
      </c>
      <c r="B538">
        <v>2023</v>
      </c>
      <c r="C538" t="s">
        <v>179</v>
      </c>
      <c r="D538" t="b">
        <f>TRUE()</f>
        <v>1</v>
      </c>
      <c r="E538" t="b">
        <f>COUNTIF(connections!A:A, A538) &gt; 0</f>
        <v>0</v>
      </c>
      <c r="G538" t="s">
        <v>1939</v>
      </c>
      <c r="H538" t="s">
        <v>187</v>
      </c>
      <c r="I538" t="s">
        <v>1940</v>
      </c>
      <c r="J538" s="1" t="s">
        <v>1941</v>
      </c>
    </row>
    <row r="539" spans="1:10" ht="15" customHeight="1" x14ac:dyDescent="0.25">
      <c r="A539" t="s">
        <v>1942</v>
      </c>
      <c r="B539">
        <v>2026</v>
      </c>
      <c r="C539" t="s">
        <v>176</v>
      </c>
      <c r="D539" t="b">
        <v>1</v>
      </c>
      <c r="E539" t="b">
        <f>COUNTIF(connections!A:A, A539) &gt; 0</f>
        <v>0</v>
      </c>
      <c r="G539" t="s">
        <v>1943</v>
      </c>
      <c r="J539" s="10" t="s">
        <v>1944</v>
      </c>
    </row>
    <row r="540" spans="1:10" ht="15" customHeight="1" x14ac:dyDescent="0.25">
      <c r="A540" t="s">
        <v>1945</v>
      </c>
      <c r="B540">
        <v>2015</v>
      </c>
      <c r="C540" t="s">
        <v>179</v>
      </c>
      <c r="D540" t="b">
        <f>TRUE()</f>
        <v>1</v>
      </c>
      <c r="E540" t="b">
        <f>COUNTIF(connections!A:A, A540) &gt; 0</f>
        <v>0</v>
      </c>
      <c r="G540" t="s">
        <v>1946</v>
      </c>
      <c r="H540" t="s">
        <v>187</v>
      </c>
      <c r="I540" t="s">
        <v>1947</v>
      </c>
    </row>
    <row r="541" spans="1:10" ht="15" customHeight="1" x14ac:dyDescent="0.25">
      <c r="A541" t="s">
        <v>1948</v>
      </c>
      <c r="B541">
        <v>2021</v>
      </c>
      <c r="C541" t="s">
        <v>222</v>
      </c>
      <c r="D541" t="b">
        <f>TRUE()</f>
        <v>1</v>
      </c>
      <c r="E541" t="b">
        <f>COUNTIF(connections!A:A, A541) &gt; 0</f>
        <v>1</v>
      </c>
      <c r="F541" t="s">
        <v>1165</v>
      </c>
      <c r="G541" t="s">
        <v>1949</v>
      </c>
      <c r="H541" t="s">
        <v>187</v>
      </c>
      <c r="I541" t="s">
        <v>1950</v>
      </c>
      <c r="J541" s="1" t="s">
        <v>1951</v>
      </c>
    </row>
    <row r="542" spans="1:10" ht="15" customHeight="1" x14ac:dyDescent="0.25">
      <c r="A542" t="s">
        <v>1952</v>
      </c>
      <c r="B542">
        <v>2022</v>
      </c>
      <c r="C542" t="s">
        <v>182</v>
      </c>
      <c r="D542" t="b">
        <f>TRUE()</f>
        <v>1</v>
      </c>
      <c r="E542" t="b">
        <f>COUNTIF(connections!A:A, A542) &gt; 0</f>
        <v>1</v>
      </c>
      <c r="F542" t="s">
        <v>354</v>
      </c>
      <c r="G542" t="s">
        <v>1953</v>
      </c>
      <c r="H542" t="s">
        <v>187</v>
      </c>
      <c r="I542" t="s">
        <v>1954</v>
      </c>
      <c r="J542" s="1" t="s">
        <v>1955</v>
      </c>
    </row>
    <row r="543" spans="1:10" ht="15" customHeight="1" x14ac:dyDescent="0.25">
      <c r="A543" t="s">
        <v>1956</v>
      </c>
      <c r="B543">
        <v>2026</v>
      </c>
      <c r="C543" t="s">
        <v>182</v>
      </c>
      <c r="D543" t="b">
        <f>TRUE()</f>
        <v>1</v>
      </c>
      <c r="E543" t="b">
        <f>COUNTIF(connections!A:A, A543) &gt; 0</f>
        <v>0</v>
      </c>
      <c r="G543" t="s">
        <v>1957</v>
      </c>
      <c r="J543" s="10" t="s">
        <v>1958</v>
      </c>
    </row>
    <row r="544" spans="1:10" ht="15" customHeight="1" x14ac:dyDescent="0.25">
      <c r="A544" t="s">
        <v>7695</v>
      </c>
      <c r="B544">
        <v>2026</v>
      </c>
      <c r="C544" t="s">
        <v>176</v>
      </c>
      <c r="D544" t="b">
        <f>TRUE()</f>
        <v>1</v>
      </c>
      <c r="E544" t="b">
        <f>COUNTIF(connections!A:A, A544) &gt; 0</f>
        <v>0</v>
      </c>
      <c r="G544" t="s">
        <v>7696</v>
      </c>
      <c r="J544" s="10" t="s">
        <v>7697</v>
      </c>
    </row>
    <row r="545" spans="1:10" ht="15" customHeight="1" x14ac:dyDescent="0.25">
      <c r="A545" t="s">
        <v>1959</v>
      </c>
      <c r="B545">
        <v>2024</v>
      </c>
      <c r="C545" t="s">
        <v>176</v>
      </c>
      <c r="D545" t="b">
        <f>TRUE()</f>
        <v>1</v>
      </c>
      <c r="E545" t="b">
        <f>COUNTIF(connections!A:A, A545) &gt; 0</f>
        <v>0</v>
      </c>
      <c r="G545" t="s">
        <v>1960</v>
      </c>
      <c r="H545" t="s">
        <v>187</v>
      </c>
      <c r="I545" t="s">
        <v>1961</v>
      </c>
      <c r="J545" s="1" t="s">
        <v>1962</v>
      </c>
    </row>
    <row r="546" spans="1:10" ht="15" customHeight="1" x14ac:dyDescent="0.25">
      <c r="A546" t="s">
        <v>1963</v>
      </c>
      <c r="B546">
        <v>2023</v>
      </c>
      <c r="C546" t="s">
        <v>176</v>
      </c>
      <c r="D546" t="b">
        <f>TRUE()</f>
        <v>1</v>
      </c>
      <c r="E546" t="b">
        <f>COUNTIF(connections!A:A, A546) &gt; 0</f>
        <v>0</v>
      </c>
      <c r="G546" t="s">
        <v>1964</v>
      </c>
      <c r="H546" t="s">
        <v>187</v>
      </c>
      <c r="I546" t="s">
        <v>1965</v>
      </c>
      <c r="J546" s="1" t="s">
        <v>1966</v>
      </c>
    </row>
    <row r="547" spans="1:10" ht="15" customHeight="1" x14ac:dyDescent="0.25">
      <c r="A547" t="s">
        <v>1967</v>
      </c>
      <c r="B547">
        <v>2025</v>
      </c>
      <c r="C547" t="s">
        <v>182</v>
      </c>
      <c r="D547" t="b">
        <f>TRUE()</f>
        <v>1</v>
      </c>
      <c r="E547" t="b">
        <f>COUNTIF(connections!A:A, A547) &gt; 0</f>
        <v>0</v>
      </c>
      <c r="F547" t="s">
        <v>315</v>
      </c>
      <c r="G547" t="s">
        <v>1968</v>
      </c>
      <c r="H547" t="s">
        <v>187</v>
      </c>
      <c r="I547" t="s">
        <v>1969</v>
      </c>
      <c r="J547" s="1" t="s">
        <v>1970</v>
      </c>
    </row>
    <row r="548" spans="1:10" ht="15" customHeight="1" x14ac:dyDescent="0.25">
      <c r="A548" t="s">
        <v>1971</v>
      </c>
      <c r="B548">
        <v>2012</v>
      </c>
      <c r="C548" t="s">
        <v>179</v>
      </c>
      <c r="D548" t="b">
        <f>TRUE()</f>
        <v>1</v>
      </c>
      <c r="E548" t="b">
        <f>COUNTIF(connections!A:A, A548) &gt; 0</f>
        <v>1</v>
      </c>
      <c r="G548" t="s">
        <v>1972</v>
      </c>
      <c r="J548" s="10" t="s">
        <v>1973</v>
      </c>
    </row>
    <row r="549" spans="1:10" ht="15" customHeight="1" x14ac:dyDescent="0.25">
      <c r="A549" t="s">
        <v>1974</v>
      </c>
      <c r="B549">
        <v>2022</v>
      </c>
      <c r="C549" t="s">
        <v>222</v>
      </c>
      <c r="D549" t="b">
        <f>FALSE()</f>
        <v>0</v>
      </c>
      <c r="E549" t="b">
        <f>COUNTIF(connections!A:A, A549) &gt; 0</f>
        <v>0</v>
      </c>
      <c r="F549" t="s">
        <v>264</v>
      </c>
      <c r="G549" t="s">
        <v>1975</v>
      </c>
      <c r="H549" t="s">
        <v>187</v>
      </c>
      <c r="I549" t="s">
        <v>1976</v>
      </c>
      <c r="J549" s="1" t="s">
        <v>1977</v>
      </c>
    </row>
    <row r="550" spans="1:10" ht="15" customHeight="1" x14ac:dyDescent="0.25">
      <c r="A550" t="s">
        <v>1978</v>
      </c>
      <c r="B550">
        <v>2026</v>
      </c>
      <c r="C550" t="s">
        <v>182</v>
      </c>
      <c r="D550" t="b">
        <f>TRUE()</f>
        <v>1</v>
      </c>
      <c r="E550" t="b">
        <f>COUNTIF(connections!A:A, A550) &gt; 0</f>
        <v>0</v>
      </c>
      <c r="G550" t="s">
        <v>1979</v>
      </c>
      <c r="J550" s="1" t="s">
        <v>1980</v>
      </c>
    </row>
    <row r="551" spans="1:10" ht="15" customHeight="1" x14ac:dyDescent="0.25">
      <c r="A551" t="s">
        <v>1981</v>
      </c>
      <c r="B551">
        <v>2021</v>
      </c>
      <c r="C551" t="s">
        <v>182</v>
      </c>
      <c r="D551" t="b">
        <f>TRUE()</f>
        <v>1</v>
      </c>
      <c r="E551" t="b">
        <f>COUNTIF(connections!A:A, A551) &gt; 0</f>
        <v>0</v>
      </c>
      <c r="F551" t="s">
        <v>354</v>
      </c>
      <c r="G551" t="s">
        <v>1982</v>
      </c>
    </row>
    <row r="552" spans="1:10" ht="15" customHeight="1" x14ac:dyDescent="0.25">
      <c r="A552" t="s">
        <v>1983</v>
      </c>
      <c r="B552">
        <v>2026</v>
      </c>
      <c r="C552" t="s">
        <v>182</v>
      </c>
      <c r="D552" t="b">
        <f>TRUE()</f>
        <v>1</v>
      </c>
      <c r="E552" t="b">
        <f>COUNTIF(connections!A:A, A552) &gt; 0</f>
        <v>0</v>
      </c>
      <c r="G552" t="s">
        <v>1984</v>
      </c>
    </row>
    <row r="553" spans="1:10" ht="15" customHeight="1" x14ac:dyDescent="0.25">
      <c r="A553" t="s">
        <v>1985</v>
      </c>
      <c r="B553">
        <v>2022</v>
      </c>
      <c r="C553" t="s">
        <v>182</v>
      </c>
      <c r="D553" t="b">
        <f>TRUE()</f>
        <v>1</v>
      </c>
      <c r="E553" t="b">
        <f>COUNTIF(connections!A:A, A553) &gt; 0</f>
        <v>0</v>
      </c>
      <c r="F553" t="s">
        <v>1986</v>
      </c>
      <c r="G553" t="s">
        <v>1987</v>
      </c>
      <c r="H553" t="s">
        <v>187</v>
      </c>
      <c r="I553" t="s">
        <v>1988</v>
      </c>
    </row>
    <row r="554" spans="1:10" ht="15" customHeight="1" x14ac:dyDescent="0.25">
      <c r="A554" t="s">
        <v>1989</v>
      </c>
      <c r="B554">
        <v>2024</v>
      </c>
      <c r="C554" t="s">
        <v>176</v>
      </c>
      <c r="D554" t="b">
        <f>FALSE()</f>
        <v>0</v>
      </c>
      <c r="E554" t="b">
        <f>COUNTIF(connections!A:A, A554) &gt; 0</f>
        <v>0</v>
      </c>
      <c r="G554" t="s">
        <v>1990</v>
      </c>
      <c r="H554" t="s">
        <v>187</v>
      </c>
      <c r="I554" t="s">
        <v>1991</v>
      </c>
      <c r="J554" s="1" t="s">
        <v>1992</v>
      </c>
    </row>
    <row r="555" spans="1:10" ht="15" customHeight="1" x14ac:dyDescent="0.25">
      <c r="A555" t="s">
        <v>1993</v>
      </c>
      <c r="B555">
        <v>2026</v>
      </c>
      <c r="C555" t="s">
        <v>222</v>
      </c>
      <c r="D555" t="b">
        <f>TRUE()</f>
        <v>1</v>
      </c>
      <c r="E555" t="b">
        <f>COUNTIF(connections!A:A, A555) &gt; 0</f>
        <v>0</v>
      </c>
      <c r="F555" t="s">
        <v>1986</v>
      </c>
      <c r="G555" t="s">
        <v>1994</v>
      </c>
      <c r="H555" t="s">
        <v>187</v>
      </c>
      <c r="I555" t="s">
        <v>1995</v>
      </c>
    </row>
    <row r="556" spans="1:10" ht="15" customHeight="1" x14ac:dyDescent="0.25">
      <c r="A556" t="s">
        <v>1996</v>
      </c>
      <c r="B556">
        <v>2021</v>
      </c>
      <c r="C556" t="s">
        <v>222</v>
      </c>
      <c r="D556" t="b">
        <f>TRUE()</f>
        <v>1</v>
      </c>
      <c r="E556" t="b">
        <f>COUNTIF(connections!A:A, A556) &gt; 0</f>
        <v>1</v>
      </c>
      <c r="F556" t="s">
        <v>1986</v>
      </c>
      <c r="G556" t="s">
        <v>1997</v>
      </c>
      <c r="H556" t="s">
        <v>187</v>
      </c>
      <c r="I556" t="s">
        <v>1998</v>
      </c>
    </row>
    <row r="557" spans="1:10" ht="15" customHeight="1" x14ac:dyDescent="0.25">
      <c r="A557" t="s">
        <v>1999</v>
      </c>
      <c r="B557">
        <v>2026</v>
      </c>
      <c r="C557" t="s">
        <v>222</v>
      </c>
      <c r="D557" t="b">
        <f>TRUE()</f>
        <v>1</v>
      </c>
      <c r="E557" t="b">
        <f>COUNTIF(connections!A:A, A557) &gt; 0</f>
        <v>0</v>
      </c>
      <c r="F557" t="s">
        <v>1986</v>
      </c>
      <c r="G557" t="s">
        <v>2000</v>
      </c>
      <c r="H557" t="s">
        <v>187</v>
      </c>
      <c r="I557" t="s">
        <v>2001</v>
      </c>
    </row>
    <row r="558" spans="1:10" ht="15" customHeight="1" x14ac:dyDescent="0.25">
      <c r="A558" t="s">
        <v>2002</v>
      </c>
      <c r="B558">
        <v>2009</v>
      </c>
      <c r="C558" t="s">
        <v>179</v>
      </c>
      <c r="D558" t="b">
        <f>TRUE()</f>
        <v>1</v>
      </c>
      <c r="E558" t="b">
        <f>COUNTIF(connections!A:A, A558) &gt; 0</f>
        <v>0</v>
      </c>
      <c r="F558" t="s">
        <v>1986</v>
      </c>
      <c r="G558" t="s">
        <v>2003</v>
      </c>
      <c r="H558" t="s">
        <v>187</v>
      </c>
      <c r="I558" t="s">
        <v>2004</v>
      </c>
    </row>
    <row r="559" spans="1:10" ht="15" customHeight="1" x14ac:dyDescent="0.25">
      <c r="A559" t="s">
        <v>2005</v>
      </c>
      <c r="B559">
        <v>2007</v>
      </c>
      <c r="C559" t="s">
        <v>179</v>
      </c>
      <c r="D559" t="b">
        <f>TRUE()</f>
        <v>1</v>
      </c>
      <c r="E559" t="b">
        <f>COUNTIF(connections!A:A, A559) &gt; 0</f>
        <v>1</v>
      </c>
      <c r="F559" t="s">
        <v>1986</v>
      </c>
      <c r="G559" t="s">
        <v>2006</v>
      </c>
      <c r="H559" t="s">
        <v>187</v>
      </c>
      <c r="I559" t="s">
        <v>2007</v>
      </c>
    </row>
    <row r="560" spans="1:10" ht="15" customHeight="1" x14ac:dyDescent="0.25">
      <c r="A560" t="s">
        <v>2008</v>
      </c>
      <c r="B560">
        <v>2012</v>
      </c>
      <c r="C560" t="s">
        <v>179</v>
      </c>
      <c r="D560" t="b">
        <f>TRUE()</f>
        <v>1</v>
      </c>
      <c r="E560" t="b">
        <f>COUNTIF(connections!A:A, A560) &gt; 0</f>
        <v>0</v>
      </c>
      <c r="F560" t="s">
        <v>1986</v>
      </c>
      <c r="G560" t="s">
        <v>2009</v>
      </c>
    </row>
    <row r="561" spans="1:10" ht="15" customHeight="1" x14ac:dyDescent="0.25">
      <c r="A561" t="s">
        <v>2010</v>
      </c>
      <c r="B561">
        <v>2005</v>
      </c>
      <c r="C561" t="s">
        <v>179</v>
      </c>
      <c r="D561" t="b">
        <f>TRUE()</f>
        <v>1</v>
      </c>
      <c r="E561" t="b">
        <f>COUNTIF(connections!A:A, A561) &gt; 0</f>
        <v>1</v>
      </c>
      <c r="F561" t="s">
        <v>1986</v>
      </c>
      <c r="G561" t="s">
        <v>2011</v>
      </c>
      <c r="H561" t="s">
        <v>187</v>
      </c>
      <c r="I561" t="s">
        <v>2012</v>
      </c>
    </row>
    <row r="562" spans="1:10" ht="15" customHeight="1" x14ac:dyDescent="0.25">
      <c r="A562" t="s">
        <v>2013</v>
      </c>
      <c r="B562">
        <v>2020</v>
      </c>
      <c r="C562" t="s">
        <v>179</v>
      </c>
      <c r="D562" t="b">
        <f>TRUE()</f>
        <v>1</v>
      </c>
      <c r="E562" t="b">
        <f>COUNTIF(connections!A:A, A562) &gt; 0</f>
        <v>0</v>
      </c>
      <c r="F562" t="s">
        <v>1986</v>
      </c>
      <c r="G562" t="s">
        <v>2014</v>
      </c>
    </row>
    <row r="563" spans="1:10" ht="15" customHeight="1" x14ac:dyDescent="0.25">
      <c r="A563" t="s">
        <v>2015</v>
      </c>
      <c r="B563">
        <v>2015</v>
      </c>
      <c r="C563" t="s">
        <v>179</v>
      </c>
      <c r="D563" t="b">
        <f>TRUE()</f>
        <v>1</v>
      </c>
      <c r="E563" t="b">
        <f>COUNTIF(connections!A:A, A563) &gt; 0</f>
        <v>0</v>
      </c>
      <c r="F563" t="s">
        <v>1986</v>
      </c>
      <c r="G563" t="s">
        <v>2016</v>
      </c>
    </row>
    <row r="564" spans="1:10" ht="15" customHeight="1" x14ac:dyDescent="0.25">
      <c r="A564" t="s">
        <v>2017</v>
      </c>
      <c r="B564">
        <v>2024</v>
      </c>
      <c r="C564" t="s">
        <v>222</v>
      </c>
      <c r="D564" t="b">
        <f>TRUE()</f>
        <v>1</v>
      </c>
      <c r="E564" t="b">
        <f>COUNTIF(connections!A:A, A564) &gt; 0</f>
        <v>1</v>
      </c>
      <c r="F564" t="s">
        <v>1986</v>
      </c>
      <c r="G564" t="s">
        <v>2018</v>
      </c>
    </row>
    <row r="565" spans="1:10" ht="15" customHeight="1" x14ac:dyDescent="0.25">
      <c r="A565" t="s">
        <v>2019</v>
      </c>
      <c r="B565">
        <v>2025</v>
      </c>
      <c r="C565" t="s">
        <v>222</v>
      </c>
      <c r="D565" t="b">
        <f>TRUE()</f>
        <v>1</v>
      </c>
      <c r="E565" t="b">
        <f>COUNTIF(connections!A:A, A565) &gt; 0</f>
        <v>0</v>
      </c>
      <c r="F565" t="s">
        <v>1986</v>
      </c>
      <c r="G565" t="s">
        <v>2020</v>
      </c>
      <c r="H565" t="s">
        <v>187</v>
      </c>
      <c r="I565" t="s">
        <v>2021</v>
      </c>
    </row>
    <row r="566" spans="1:10" ht="15" customHeight="1" x14ac:dyDescent="0.25">
      <c r="A566" t="s">
        <v>2022</v>
      </c>
      <c r="B566">
        <v>2020</v>
      </c>
      <c r="C566" t="s">
        <v>222</v>
      </c>
      <c r="D566" t="b">
        <f>TRUE()</f>
        <v>1</v>
      </c>
      <c r="E566" t="b">
        <f>COUNTIF(connections!A:A, A566) &gt; 0</f>
        <v>1</v>
      </c>
      <c r="G566" t="s">
        <v>2023</v>
      </c>
    </row>
    <row r="567" spans="1:10" ht="15" customHeight="1" x14ac:dyDescent="0.25">
      <c r="A567" t="s">
        <v>2024</v>
      </c>
      <c r="B567">
        <v>2003</v>
      </c>
      <c r="C567" t="s">
        <v>179</v>
      </c>
      <c r="D567" t="b">
        <f>TRUE()</f>
        <v>1</v>
      </c>
      <c r="E567" t="b">
        <f>COUNTIF(connections!A:A, A567) &gt; 0</f>
        <v>1</v>
      </c>
      <c r="G567" t="s">
        <v>2025</v>
      </c>
      <c r="H567" t="s">
        <v>187</v>
      </c>
      <c r="I567" t="s">
        <v>2026</v>
      </c>
    </row>
    <row r="568" spans="1:10" ht="15" customHeight="1" x14ac:dyDescent="0.25">
      <c r="A568" t="s">
        <v>2027</v>
      </c>
      <c r="B568">
        <v>2024</v>
      </c>
      <c r="C568" t="s">
        <v>176</v>
      </c>
      <c r="D568" t="b">
        <f>TRUE()</f>
        <v>1</v>
      </c>
      <c r="E568" t="b">
        <f>COUNTIF(connections!A:A, A568) &gt; 0</f>
        <v>0</v>
      </c>
      <c r="G568" t="s">
        <v>2028</v>
      </c>
    </row>
    <row r="569" spans="1:10" ht="15" customHeight="1" x14ac:dyDescent="0.25">
      <c r="A569" t="s">
        <v>2029</v>
      </c>
      <c r="B569">
        <v>2026</v>
      </c>
      <c r="C569" t="s">
        <v>222</v>
      </c>
      <c r="D569" t="b">
        <f>TRUE()</f>
        <v>1</v>
      </c>
      <c r="E569" t="b">
        <f>COUNTIF(connections!A:A, A569) &gt; 0</f>
        <v>0</v>
      </c>
      <c r="F569" t="s">
        <v>731</v>
      </c>
      <c r="G569" t="s">
        <v>2030</v>
      </c>
      <c r="J569" s="1" t="s">
        <v>2031</v>
      </c>
    </row>
    <row r="570" spans="1:10" ht="15" customHeight="1" x14ac:dyDescent="0.25">
      <c r="A570" t="s">
        <v>2032</v>
      </c>
      <c r="B570">
        <v>2022</v>
      </c>
      <c r="C570" t="s">
        <v>176</v>
      </c>
      <c r="D570" t="b">
        <f>TRUE()</f>
        <v>1</v>
      </c>
      <c r="E570" t="b">
        <f>COUNTIF(connections!A:A, A570) &gt; 0</f>
        <v>0</v>
      </c>
      <c r="G570" t="s">
        <v>2033</v>
      </c>
      <c r="H570" t="s">
        <v>187</v>
      </c>
      <c r="I570" t="s">
        <v>2034</v>
      </c>
      <c r="J570" s="1" t="s">
        <v>2035</v>
      </c>
    </row>
    <row r="571" spans="1:10" ht="15" customHeight="1" x14ac:dyDescent="0.25">
      <c r="A571" t="s">
        <v>2036</v>
      </c>
      <c r="B571">
        <v>2023</v>
      </c>
      <c r="C571" t="s">
        <v>179</v>
      </c>
      <c r="D571" t="b">
        <f>TRUE()</f>
        <v>1</v>
      </c>
      <c r="E571" t="b">
        <f>COUNTIF(connections!A:A, A571) &gt; 0</f>
        <v>0</v>
      </c>
      <c r="G571" t="s">
        <v>2037</v>
      </c>
      <c r="H571" t="s">
        <v>187</v>
      </c>
      <c r="I571" t="s">
        <v>2038</v>
      </c>
      <c r="J571" s="1" t="s">
        <v>2039</v>
      </c>
    </row>
    <row r="572" spans="1:10" ht="15" customHeight="1" x14ac:dyDescent="0.25">
      <c r="A572" t="s">
        <v>2040</v>
      </c>
      <c r="B572">
        <v>2014</v>
      </c>
      <c r="C572" t="s">
        <v>179</v>
      </c>
      <c r="D572" t="b">
        <f>TRUE()</f>
        <v>1</v>
      </c>
      <c r="E572" t="b">
        <f>COUNTIF(connections!A:A, A572) &gt; 0</f>
        <v>0</v>
      </c>
      <c r="G572" t="s">
        <v>2041</v>
      </c>
      <c r="H572" t="s">
        <v>187</v>
      </c>
      <c r="I572" t="s">
        <v>2042</v>
      </c>
      <c r="J572" s="1" t="s">
        <v>2043</v>
      </c>
    </row>
    <row r="573" spans="1:10" ht="15" customHeight="1" x14ac:dyDescent="0.25">
      <c r="A573" t="s">
        <v>2044</v>
      </c>
      <c r="B573">
        <v>2024</v>
      </c>
      <c r="C573" t="s">
        <v>176</v>
      </c>
      <c r="D573" t="b">
        <f>FALSE()</f>
        <v>0</v>
      </c>
      <c r="E573" t="b">
        <f>COUNTIF(connections!A:A, A573) &gt; 0</f>
        <v>0</v>
      </c>
      <c r="G573" t="s">
        <v>2045</v>
      </c>
    </row>
    <row r="574" spans="1:10" ht="15" customHeight="1" x14ac:dyDescent="0.25">
      <c r="A574" t="s">
        <v>2046</v>
      </c>
      <c r="B574">
        <v>2026</v>
      </c>
      <c r="C574" t="s">
        <v>182</v>
      </c>
      <c r="D574" t="b">
        <f>TRUE()</f>
        <v>1</v>
      </c>
      <c r="E574" t="b">
        <f>COUNTIF(connections!A:A, A574) &gt; 0</f>
        <v>0</v>
      </c>
      <c r="F574" t="s">
        <v>354</v>
      </c>
      <c r="G574" t="s">
        <v>2047</v>
      </c>
      <c r="H574" t="s">
        <v>187</v>
      </c>
      <c r="I574" t="s">
        <v>2048</v>
      </c>
      <c r="J574" s="1" t="s">
        <v>2049</v>
      </c>
    </row>
    <row r="575" spans="1:10" ht="15" customHeight="1" x14ac:dyDescent="0.25">
      <c r="A575" t="s">
        <v>2050</v>
      </c>
      <c r="B575">
        <v>2024</v>
      </c>
      <c r="C575" t="s">
        <v>222</v>
      </c>
      <c r="D575" t="b">
        <f>TRUE()</f>
        <v>1</v>
      </c>
      <c r="E575" t="b">
        <f>COUNTIF(connections!A:A, A575) &gt; 0</f>
        <v>0</v>
      </c>
      <c r="G575" t="s">
        <v>2051</v>
      </c>
      <c r="H575" t="s">
        <v>187</v>
      </c>
      <c r="I575" t="s">
        <v>2052</v>
      </c>
      <c r="J575" s="1" t="s">
        <v>2053</v>
      </c>
    </row>
    <row r="576" spans="1:10" ht="15" customHeight="1" x14ac:dyDescent="0.25">
      <c r="A576" t="s">
        <v>2054</v>
      </c>
      <c r="B576">
        <v>1992</v>
      </c>
      <c r="C576" t="s">
        <v>179</v>
      </c>
      <c r="D576" t="b">
        <f>TRUE()</f>
        <v>1</v>
      </c>
      <c r="E576" t="b">
        <f>COUNTIF(connections!A:A, A576) &gt; 0</f>
        <v>1</v>
      </c>
      <c r="G576" t="s">
        <v>2055</v>
      </c>
      <c r="H576" t="s">
        <v>187</v>
      </c>
      <c r="I576" t="s">
        <v>2056</v>
      </c>
    </row>
    <row r="577" spans="1:10" ht="15" customHeight="1" x14ac:dyDescent="0.25">
      <c r="A577" t="s">
        <v>2057</v>
      </c>
      <c r="B577">
        <v>2024</v>
      </c>
      <c r="C577" t="s">
        <v>176</v>
      </c>
      <c r="D577" t="b">
        <f>TRUE()</f>
        <v>1</v>
      </c>
      <c r="E577" t="b">
        <f>COUNTIF(connections!A:A, A577) &gt; 0</f>
        <v>0</v>
      </c>
      <c r="G577" t="s">
        <v>2058</v>
      </c>
    </row>
    <row r="578" spans="1:10" ht="15" customHeight="1" x14ac:dyDescent="0.25">
      <c r="A578" t="s">
        <v>2059</v>
      </c>
      <c r="B578">
        <v>2015</v>
      </c>
      <c r="C578" t="s">
        <v>176</v>
      </c>
      <c r="D578" t="b">
        <f>TRUE()</f>
        <v>1</v>
      </c>
      <c r="E578" t="b">
        <f>COUNTIF(connections!A:A, A578) &gt; 0</f>
        <v>0</v>
      </c>
      <c r="G578" t="s">
        <v>2060</v>
      </c>
      <c r="J578" s="10" t="s">
        <v>2061</v>
      </c>
    </row>
    <row r="579" spans="1:10" ht="15" customHeight="1" x14ac:dyDescent="0.25">
      <c r="A579" t="s">
        <v>2062</v>
      </c>
      <c r="B579">
        <v>2019</v>
      </c>
      <c r="C579" t="s">
        <v>182</v>
      </c>
      <c r="D579" t="b">
        <f>TRUE()</f>
        <v>1</v>
      </c>
      <c r="E579" t="b">
        <f>COUNTIF(connections!A:A, A579) &gt; 0</f>
        <v>0</v>
      </c>
      <c r="G579" t="s">
        <v>2063</v>
      </c>
      <c r="H579" t="s">
        <v>187</v>
      </c>
      <c r="I579" t="s">
        <v>2064</v>
      </c>
      <c r="J579" s="1" t="s">
        <v>2065</v>
      </c>
    </row>
    <row r="580" spans="1:10" ht="15" customHeight="1" x14ac:dyDescent="0.25">
      <c r="A580" t="s">
        <v>2066</v>
      </c>
      <c r="B580">
        <v>2023</v>
      </c>
      <c r="C580" t="s">
        <v>176</v>
      </c>
      <c r="D580" t="b">
        <f>TRUE()</f>
        <v>1</v>
      </c>
      <c r="E580" t="b">
        <f>COUNTIF(connections!A:A, A580) &gt; 0</f>
        <v>1</v>
      </c>
      <c r="G580" t="s">
        <v>2067</v>
      </c>
      <c r="H580" t="s">
        <v>187</v>
      </c>
      <c r="I580" t="s">
        <v>2068</v>
      </c>
      <c r="J580" s="1" t="s">
        <v>2069</v>
      </c>
    </row>
    <row r="581" spans="1:10" ht="15" customHeight="1" x14ac:dyDescent="0.25">
      <c r="A581" t="s">
        <v>2070</v>
      </c>
      <c r="B581">
        <v>2025</v>
      </c>
      <c r="C581" t="s">
        <v>176</v>
      </c>
      <c r="D581" t="b">
        <f>TRUE()</f>
        <v>1</v>
      </c>
      <c r="E581" t="b">
        <f>COUNTIF(connections!A:A, A581) &gt; 0</f>
        <v>0</v>
      </c>
      <c r="F581" t="s">
        <v>274</v>
      </c>
      <c r="G581" t="s">
        <v>2071</v>
      </c>
    </row>
    <row r="582" spans="1:10" ht="15" customHeight="1" x14ac:dyDescent="0.25">
      <c r="A582" t="s">
        <v>2072</v>
      </c>
      <c r="B582">
        <v>2024</v>
      </c>
      <c r="C582" t="s">
        <v>176</v>
      </c>
      <c r="D582" t="b">
        <f>TRUE()</f>
        <v>1</v>
      </c>
      <c r="E582" t="b">
        <f>COUNTIF(connections!A:A, A582) &gt; 0</f>
        <v>0</v>
      </c>
      <c r="G582" t="s">
        <v>2073</v>
      </c>
    </row>
    <row r="583" spans="1:10" ht="15" customHeight="1" x14ac:dyDescent="0.25">
      <c r="A583" t="s">
        <v>2074</v>
      </c>
      <c r="B583">
        <v>2010</v>
      </c>
      <c r="C583" t="s">
        <v>176</v>
      </c>
      <c r="D583" t="b">
        <f>TRUE()</f>
        <v>1</v>
      </c>
      <c r="E583" t="b">
        <f>COUNTIF(connections!A:A, A583) &gt; 0</f>
        <v>1</v>
      </c>
      <c r="G583" t="s">
        <v>2075</v>
      </c>
      <c r="H583" t="s">
        <v>187</v>
      </c>
      <c r="I583" t="s">
        <v>2076</v>
      </c>
      <c r="J583" s="1" t="s">
        <v>2077</v>
      </c>
    </row>
    <row r="584" spans="1:10" ht="15" customHeight="1" x14ac:dyDescent="0.25">
      <c r="A584" t="s">
        <v>2078</v>
      </c>
      <c r="B584">
        <v>2012</v>
      </c>
      <c r="C584" t="s">
        <v>176</v>
      </c>
      <c r="D584" t="b">
        <f>TRUE()</f>
        <v>1</v>
      </c>
      <c r="E584" t="b">
        <f>COUNTIF(connections!A:A, A584) &gt; 0</f>
        <v>0</v>
      </c>
      <c r="G584" t="s">
        <v>2079</v>
      </c>
      <c r="H584" t="s">
        <v>187</v>
      </c>
      <c r="I584" t="s">
        <v>2080</v>
      </c>
    </row>
    <row r="585" spans="1:10" ht="15" customHeight="1" x14ac:dyDescent="0.25">
      <c r="A585" t="s">
        <v>2081</v>
      </c>
      <c r="B585">
        <v>2015</v>
      </c>
      <c r="C585" t="s">
        <v>222</v>
      </c>
      <c r="D585" t="b">
        <f>TRUE()</f>
        <v>1</v>
      </c>
      <c r="E585" t="b">
        <f>COUNTIF(connections!A:A, A585) &gt; 0</f>
        <v>1</v>
      </c>
      <c r="G585" t="s">
        <v>2082</v>
      </c>
      <c r="H585" t="s">
        <v>187</v>
      </c>
      <c r="I585" t="s">
        <v>2083</v>
      </c>
      <c r="J585" s="10" t="s">
        <v>2084</v>
      </c>
    </row>
    <row r="586" spans="1:10" ht="15" customHeight="1" x14ac:dyDescent="0.25">
      <c r="A586" t="s">
        <v>2085</v>
      </c>
      <c r="B586">
        <v>2022</v>
      </c>
      <c r="C586" t="s">
        <v>176</v>
      </c>
      <c r="D586" t="b">
        <f>TRUE()</f>
        <v>1</v>
      </c>
      <c r="E586" t="b">
        <f>COUNTIF(connections!A:A, A586) &gt; 0</f>
        <v>0</v>
      </c>
      <c r="G586" t="s">
        <v>2086</v>
      </c>
      <c r="H586" t="s">
        <v>187</v>
      </c>
      <c r="I586" t="s">
        <v>2087</v>
      </c>
      <c r="J586" s="1" t="s">
        <v>2088</v>
      </c>
    </row>
    <row r="587" spans="1:10" ht="15" customHeight="1" x14ac:dyDescent="0.25">
      <c r="A587" t="s">
        <v>2089</v>
      </c>
      <c r="B587">
        <v>2025</v>
      </c>
      <c r="C587" t="s">
        <v>182</v>
      </c>
      <c r="D587" t="b">
        <f>TRUE()</f>
        <v>1</v>
      </c>
      <c r="E587" t="b">
        <f>COUNTIF(connections!A:A, A587) &gt; 0</f>
        <v>0</v>
      </c>
      <c r="G587" t="s">
        <v>2090</v>
      </c>
      <c r="J587" s="10" t="s">
        <v>2091</v>
      </c>
    </row>
    <row r="588" spans="1:10" ht="15" customHeight="1" x14ac:dyDescent="0.25">
      <c r="A588" t="s">
        <v>2092</v>
      </c>
      <c r="B588">
        <v>2023</v>
      </c>
      <c r="C588" t="s">
        <v>176</v>
      </c>
      <c r="D588" t="b">
        <f>TRUE()</f>
        <v>1</v>
      </c>
      <c r="E588" t="b">
        <f>COUNTIF(connections!A:A, A588) &gt; 0</f>
        <v>0</v>
      </c>
      <c r="G588" t="s">
        <v>2093</v>
      </c>
      <c r="H588" t="s">
        <v>187</v>
      </c>
      <c r="I588" t="s">
        <v>2094</v>
      </c>
      <c r="J588" s="1" t="s">
        <v>2095</v>
      </c>
    </row>
    <row r="589" spans="1:10" ht="15" customHeight="1" x14ac:dyDescent="0.25">
      <c r="A589" t="s">
        <v>2096</v>
      </c>
      <c r="B589">
        <v>2023</v>
      </c>
      <c r="C589" t="s">
        <v>176</v>
      </c>
      <c r="D589" t="b">
        <f>TRUE()</f>
        <v>1</v>
      </c>
      <c r="E589" t="b">
        <f>COUNTIF(connections!A:A, A589) &gt; 0</f>
        <v>1</v>
      </c>
      <c r="G589" t="s">
        <v>2097</v>
      </c>
      <c r="H589" t="s">
        <v>187</v>
      </c>
      <c r="I589" t="s">
        <v>2098</v>
      </c>
      <c r="J589" s="1" t="s">
        <v>2099</v>
      </c>
    </row>
    <row r="590" spans="1:10" ht="15" customHeight="1" x14ac:dyDescent="0.25">
      <c r="A590" t="s">
        <v>2100</v>
      </c>
      <c r="B590">
        <v>2021</v>
      </c>
      <c r="C590" t="s">
        <v>176</v>
      </c>
      <c r="D590" t="b">
        <f>TRUE()</f>
        <v>1</v>
      </c>
      <c r="E590" t="b">
        <f>COUNTIF(connections!A:A, A590) &gt; 0</f>
        <v>0</v>
      </c>
      <c r="G590" t="s">
        <v>2101</v>
      </c>
      <c r="H590" t="s">
        <v>187</v>
      </c>
      <c r="I590" t="s">
        <v>2102</v>
      </c>
      <c r="J590" s="1" t="s">
        <v>2103</v>
      </c>
    </row>
    <row r="591" spans="1:10" ht="15" customHeight="1" x14ac:dyDescent="0.25">
      <c r="A591" t="s">
        <v>2104</v>
      </c>
      <c r="B591">
        <v>2025</v>
      </c>
      <c r="C591" t="s">
        <v>176</v>
      </c>
      <c r="D591" t="b">
        <f>TRUE()</f>
        <v>1</v>
      </c>
      <c r="E591" t="b">
        <f>COUNTIF(connections!A:A, A591) &gt; 0</f>
        <v>0</v>
      </c>
      <c r="F591" t="s">
        <v>399</v>
      </c>
      <c r="G591" t="s">
        <v>2105</v>
      </c>
      <c r="H591" t="s">
        <v>187</v>
      </c>
      <c r="I591" t="s">
        <v>2106</v>
      </c>
      <c r="J591" s="1" t="s">
        <v>2107</v>
      </c>
    </row>
    <row r="592" spans="1:10" ht="15" customHeight="1" x14ac:dyDescent="0.25">
      <c r="A592" t="s">
        <v>2108</v>
      </c>
      <c r="B592">
        <v>2020</v>
      </c>
      <c r="C592" t="s">
        <v>179</v>
      </c>
      <c r="D592" t="b">
        <f>TRUE()</f>
        <v>1</v>
      </c>
      <c r="E592" t="b">
        <f>COUNTIF(connections!A:A, A592) &gt; 0</f>
        <v>1</v>
      </c>
      <c r="G592" t="s">
        <v>2109</v>
      </c>
      <c r="H592" t="s">
        <v>187</v>
      </c>
      <c r="I592" t="s">
        <v>2110</v>
      </c>
      <c r="J592" s="1" t="s">
        <v>2111</v>
      </c>
    </row>
    <row r="593" spans="1:10" ht="15" customHeight="1" x14ac:dyDescent="0.25">
      <c r="A593" t="s">
        <v>2112</v>
      </c>
      <c r="B593">
        <v>2024</v>
      </c>
      <c r="C593" t="s">
        <v>179</v>
      </c>
      <c r="D593" t="b">
        <f>TRUE()</f>
        <v>1</v>
      </c>
      <c r="E593" t="b">
        <f>COUNTIF(connections!A:A, A593) &gt; 0</f>
        <v>1</v>
      </c>
      <c r="G593" t="s">
        <v>2113</v>
      </c>
      <c r="H593" t="s">
        <v>187</v>
      </c>
      <c r="I593" t="s">
        <v>2114</v>
      </c>
      <c r="J593" s="1" t="s">
        <v>2115</v>
      </c>
    </row>
    <row r="594" spans="1:10" ht="15" customHeight="1" x14ac:dyDescent="0.25">
      <c r="A594" t="s">
        <v>2116</v>
      </c>
      <c r="B594">
        <v>2026</v>
      </c>
      <c r="C594" t="s">
        <v>179</v>
      </c>
      <c r="D594" t="b">
        <f>TRUE()</f>
        <v>1</v>
      </c>
      <c r="E594" t="b">
        <f>COUNTIF(connections!A:A, A594) &gt; 0</f>
        <v>0</v>
      </c>
      <c r="G594" t="s">
        <v>2117</v>
      </c>
      <c r="J594" s="1" t="s">
        <v>2118</v>
      </c>
    </row>
    <row r="595" spans="1:10" ht="15" customHeight="1" x14ac:dyDescent="0.25">
      <c r="A595" t="s">
        <v>2119</v>
      </c>
      <c r="B595">
        <v>2022</v>
      </c>
      <c r="C595" t="s">
        <v>182</v>
      </c>
      <c r="D595" t="b">
        <f>TRUE()</f>
        <v>1</v>
      </c>
      <c r="E595" t="b">
        <f>COUNTIF(connections!A:A, A595) &gt; 0</f>
        <v>0</v>
      </c>
      <c r="G595" t="s">
        <v>2120</v>
      </c>
      <c r="H595" t="s">
        <v>187</v>
      </c>
      <c r="I595" t="s">
        <v>2121</v>
      </c>
      <c r="J595" s="1" t="s">
        <v>2122</v>
      </c>
    </row>
    <row r="596" spans="1:10" ht="15" customHeight="1" x14ac:dyDescent="0.25">
      <c r="A596" t="s">
        <v>2123</v>
      </c>
      <c r="B596">
        <v>2020</v>
      </c>
      <c r="C596" t="s">
        <v>222</v>
      </c>
      <c r="D596" t="b">
        <f>TRUE()</f>
        <v>1</v>
      </c>
      <c r="E596" t="b">
        <f>COUNTIF(connections!A:A, A596) &gt; 0</f>
        <v>1</v>
      </c>
      <c r="G596" t="s">
        <v>2124</v>
      </c>
      <c r="H596" t="s">
        <v>187</v>
      </c>
      <c r="I596" t="s">
        <v>2125</v>
      </c>
      <c r="J596" s="1" t="s">
        <v>2126</v>
      </c>
    </row>
    <row r="597" spans="1:10" ht="15" customHeight="1" x14ac:dyDescent="0.25">
      <c r="A597" t="s">
        <v>2127</v>
      </c>
      <c r="B597">
        <v>2025</v>
      </c>
      <c r="C597" t="s">
        <v>182</v>
      </c>
      <c r="D597" t="b">
        <f>FALSE()</f>
        <v>0</v>
      </c>
      <c r="E597" t="b">
        <f>COUNTIF(connections!A:A, A597) &gt; 0</f>
        <v>0</v>
      </c>
      <c r="G597" t="s">
        <v>2128</v>
      </c>
      <c r="H597" t="s">
        <v>187</v>
      </c>
      <c r="I597" t="s">
        <v>2129</v>
      </c>
      <c r="J597" s="1" t="s">
        <v>2130</v>
      </c>
    </row>
    <row r="598" spans="1:10" ht="15" customHeight="1" x14ac:dyDescent="0.25">
      <c r="A598" t="s">
        <v>2131</v>
      </c>
      <c r="B598">
        <v>2017</v>
      </c>
      <c r="C598" t="s">
        <v>176</v>
      </c>
      <c r="D598" t="b">
        <f>TRUE()</f>
        <v>1</v>
      </c>
      <c r="E598" t="b">
        <f>COUNTIF(connections!A:A, A598) &gt; 0</f>
        <v>1</v>
      </c>
      <c r="G598" t="s">
        <v>2132</v>
      </c>
    </row>
    <row r="599" spans="1:10" ht="15" customHeight="1" x14ac:dyDescent="0.25">
      <c r="A599" t="s">
        <v>2133</v>
      </c>
      <c r="B599">
        <v>2013</v>
      </c>
      <c r="C599" t="s">
        <v>176</v>
      </c>
      <c r="D599" t="b">
        <f>TRUE()</f>
        <v>1</v>
      </c>
      <c r="E599" t="b">
        <f>COUNTIF(connections!A:A, A599) &gt; 0</f>
        <v>1</v>
      </c>
      <c r="F599" t="s">
        <v>274</v>
      </c>
      <c r="G599" t="s">
        <v>2134</v>
      </c>
      <c r="H599" t="s">
        <v>187</v>
      </c>
      <c r="I599" t="s">
        <v>2135</v>
      </c>
      <c r="J599" s="1" t="s">
        <v>2136</v>
      </c>
    </row>
    <row r="600" spans="1:10" ht="15" customHeight="1" x14ac:dyDescent="0.25">
      <c r="A600" t="s">
        <v>2137</v>
      </c>
      <c r="B600">
        <v>2020</v>
      </c>
      <c r="C600" t="s">
        <v>176</v>
      </c>
      <c r="D600" t="b">
        <f>TRUE()</f>
        <v>1</v>
      </c>
      <c r="E600" t="b">
        <f>COUNTIF(connections!A:A, A600) &gt; 0</f>
        <v>1</v>
      </c>
      <c r="F600" t="s">
        <v>274</v>
      </c>
      <c r="G600" t="s">
        <v>2138</v>
      </c>
      <c r="H600" t="s">
        <v>187</v>
      </c>
      <c r="I600" t="s">
        <v>2139</v>
      </c>
      <c r="J600" s="1" t="s">
        <v>2140</v>
      </c>
    </row>
    <row r="601" spans="1:10" ht="15" customHeight="1" x14ac:dyDescent="0.25">
      <c r="A601" t="s">
        <v>2141</v>
      </c>
      <c r="B601">
        <v>2023</v>
      </c>
      <c r="C601" t="s">
        <v>176</v>
      </c>
      <c r="D601" t="b">
        <f>TRUE()</f>
        <v>1</v>
      </c>
      <c r="E601" t="b">
        <f>COUNTIF(connections!A:A, A601) &gt; 0</f>
        <v>0</v>
      </c>
      <c r="F601" t="s">
        <v>274</v>
      </c>
      <c r="G601" t="s">
        <v>2142</v>
      </c>
      <c r="H601" t="s">
        <v>187</v>
      </c>
      <c r="I601" t="s">
        <v>2143</v>
      </c>
      <c r="J601" s="1" t="s">
        <v>2144</v>
      </c>
    </row>
    <row r="602" spans="1:10" ht="15" customHeight="1" x14ac:dyDescent="0.25">
      <c r="A602" t="s">
        <v>2145</v>
      </c>
      <c r="B602">
        <v>2014</v>
      </c>
      <c r="C602" t="s">
        <v>222</v>
      </c>
      <c r="D602" t="b">
        <f>TRUE()</f>
        <v>1</v>
      </c>
      <c r="E602" t="b">
        <f>COUNTIF(connections!A:A, A602) &gt; 0</f>
        <v>0</v>
      </c>
      <c r="G602" t="s">
        <v>2146</v>
      </c>
    </row>
    <row r="603" spans="1:10" ht="15" customHeight="1" x14ac:dyDescent="0.25">
      <c r="A603" t="s">
        <v>2147</v>
      </c>
      <c r="B603">
        <v>2020</v>
      </c>
      <c r="C603" t="s">
        <v>176</v>
      </c>
      <c r="D603" t="b">
        <f>TRUE()</f>
        <v>1</v>
      </c>
      <c r="E603" t="b">
        <f>COUNTIF(connections!A:A, A603) &gt; 0</f>
        <v>1</v>
      </c>
      <c r="G603" t="s">
        <v>2148</v>
      </c>
      <c r="H603" t="s">
        <v>187</v>
      </c>
      <c r="I603" t="s">
        <v>2149</v>
      </c>
      <c r="J603" s="1" t="s">
        <v>2150</v>
      </c>
    </row>
    <row r="604" spans="1:10" ht="15" customHeight="1" x14ac:dyDescent="0.25">
      <c r="A604" t="s">
        <v>2151</v>
      </c>
      <c r="B604">
        <v>2024</v>
      </c>
      <c r="C604" t="s">
        <v>176</v>
      </c>
      <c r="D604" t="b">
        <f>TRUE()</f>
        <v>1</v>
      </c>
      <c r="E604" t="b">
        <f>COUNTIF(connections!A:A, A604) &gt; 0</f>
        <v>0</v>
      </c>
      <c r="F604" t="s">
        <v>274</v>
      </c>
      <c r="G604" t="s">
        <v>2152</v>
      </c>
      <c r="H604" t="s">
        <v>187</v>
      </c>
      <c r="I604" t="s">
        <v>2153</v>
      </c>
      <c r="J604" s="1" t="s">
        <v>2154</v>
      </c>
    </row>
    <row r="605" spans="1:10" ht="15" customHeight="1" x14ac:dyDescent="0.25">
      <c r="A605" t="s">
        <v>2155</v>
      </c>
      <c r="B605">
        <v>1980</v>
      </c>
      <c r="C605" t="s">
        <v>179</v>
      </c>
      <c r="D605" t="b">
        <f>TRUE()</f>
        <v>1</v>
      </c>
      <c r="E605" t="b">
        <f>COUNTIF(connections!A:A, A605) &gt; 0</f>
        <v>1</v>
      </c>
      <c r="G605" t="s">
        <v>2156</v>
      </c>
      <c r="H605" t="s">
        <v>187</v>
      </c>
      <c r="I605" t="s">
        <v>2157</v>
      </c>
      <c r="J605" s="1" t="s">
        <v>2158</v>
      </c>
    </row>
    <row r="606" spans="1:10" ht="15" customHeight="1" x14ac:dyDescent="0.25">
      <c r="A606" t="s">
        <v>2159</v>
      </c>
      <c r="B606">
        <v>2024</v>
      </c>
      <c r="C606" t="s">
        <v>222</v>
      </c>
      <c r="D606" t="b">
        <f>TRUE()</f>
        <v>1</v>
      </c>
      <c r="E606" t="b">
        <f>COUNTIF(connections!A:A, A606) &gt; 0</f>
        <v>0</v>
      </c>
      <c r="G606" t="s">
        <v>2160</v>
      </c>
    </row>
    <row r="607" spans="1:10" ht="15" customHeight="1" x14ac:dyDescent="0.25">
      <c r="A607" t="s">
        <v>2161</v>
      </c>
      <c r="B607">
        <v>2019</v>
      </c>
      <c r="C607" t="s">
        <v>179</v>
      </c>
      <c r="D607" t="b">
        <f>TRUE()</f>
        <v>1</v>
      </c>
      <c r="E607" t="b">
        <f>COUNTIF(connections!A:A, A607) &gt; 0</f>
        <v>0</v>
      </c>
      <c r="G607" t="s">
        <v>2162</v>
      </c>
    </row>
    <row r="608" spans="1:10" ht="15" customHeight="1" x14ac:dyDescent="0.25">
      <c r="A608" t="s">
        <v>2163</v>
      </c>
      <c r="B608">
        <v>2026</v>
      </c>
      <c r="C608" t="s">
        <v>176</v>
      </c>
      <c r="D608" t="b">
        <f>TRUE()</f>
        <v>1</v>
      </c>
      <c r="E608" t="b">
        <f>COUNTIF(connections!A:A, A608) &gt; 0</f>
        <v>0</v>
      </c>
      <c r="G608" t="s">
        <v>2164</v>
      </c>
    </row>
    <row r="609" spans="1:10" ht="15" customHeight="1" x14ac:dyDescent="0.25">
      <c r="A609" t="s">
        <v>2165</v>
      </c>
      <c r="B609">
        <v>2024</v>
      </c>
      <c r="C609" t="s">
        <v>176</v>
      </c>
      <c r="D609" t="b">
        <f>FALSE()</f>
        <v>0</v>
      </c>
      <c r="E609" t="b">
        <f>COUNTIF(connections!A:A, A609) &gt; 0</f>
        <v>0</v>
      </c>
      <c r="F609" t="s">
        <v>274</v>
      </c>
      <c r="G609" t="s">
        <v>2166</v>
      </c>
    </row>
    <row r="610" spans="1:10" ht="15" customHeight="1" x14ac:dyDescent="0.25">
      <c r="A610" t="s">
        <v>2167</v>
      </c>
      <c r="B610">
        <v>2007</v>
      </c>
      <c r="C610" t="s">
        <v>179</v>
      </c>
      <c r="D610" t="b">
        <f>TRUE()</f>
        <v>1</v>
      </c>
      <c r="E610" t="b">
        <f>COUNTIF(connections!A:A, A610) &gt; 0</f>
        <v>0</v>
      </c>
      <c r="G610" t="s">
        <v>2168</v>
      </c>
      <c r="H610" t="s">
        <v>187</v>
      </c>
      <c r="I610" t="s">
        <v>2169</v>
      </c>
    </row>
    <row r="611" spans="1:10" ht="15" customHeight="1" x14ac:dyDescent="0.25">
      <c r="A611" t="s">
        <v>2170</v>
      </c>
      <c r="B611">
        <v>2021</v>
      </c>
      <c r="C611" t="s">
        <v>176</v>
      </c>
      <c r="D611" t="b">
        <f>TRUE()</f>
        <v>1</v>
      </c>
      <c r="E611" t="b">
        <f>COUNTIF(connections!A:A, A611) &gt; 0</f>
        <v>0</v>
      </c>
      <c r="G611" t="s">
        <v>2171</v>
      </c>
      <c r="H611" t="s">
        <v>187</v>
      </c>
      <c r="I611" t="s">
        <v>2172</v>
      </c>
      <c r="J611" s="1" t="s">
        <v>2173</v>
      </c>
    </row>
    <row r="612" spans="1:10" ht="15" customHeight="1" x14ac:dyDescent="0.25">
      <c r="A612" t="s">
        <v>2174</v>
      </c>
      <c r="B612">
        <v>2013</v>
      </c>
      <c r="C612" t="s">
        <v>176</v>
      </c>
      <c r="D612" t="b">
        <f>TRUE()</f>
        <v>1</v>
      </c>
      <c r="E612" t="b">
        <f>COUNTIF(connections!A:A, A612) &gt; 0</f>
        <v>1</v>
      </c>
      <c r="G612" t="s">
        <v>2175</v>
      </c>
      <c r="H612" t="s">
        <v>187</v>
      </c>
      <c r="I612" t="s">
        <v>2176</v>
      </c>
      <c r="J612" s="1" t="s">
        <v>2177</v>
      </c>
    </row>
    <row r="613" spans="1:10" ht="15" customHeight="1" x14ac:dyDescent="0.25">
      <c r="A613" t="s">
        <v>2178</v>
      </c>
      <c r="B613">
        <v>2020</v>
      </c>
      <c r="C613" t="s">
        <v>176</v>
      </c>
      <c r="D613" t="b">
        <f>TRUE()</f>
        <v>1</v>
      </c>
      <c r="E613" t="b">
        <f>COUNTIF(connections!A:A, A613) &gt; 0</f>
        <v>0</v>
      </c>
      <c r="G613" t="s">
        <v>2179</v>
      </c>
      <c r="H613" t="s">
        <v>187</v>
      </c>
      <c r="I613" t="s">
        <v>2180</v>
      </c>
      <c r="J613" s="1" t="s">
        <v>2181</v>
      </c>
    </row>
    <row r="614" spans="1:10" ht="15" customHeight="1" x14ac:dyDescent="0.25">
      <c r="A614" t="s">
        <v>2182</v>
      </c>
      <c r="B614">
        <v>2021</v>
      </c>
      <c r="C614" t="s">
        <v>222</v>
      </c>
      <c r="D614" t="b">
        <f>TRUE()</f>
        <v>1</v>
      </c>
      <c r="E614" t="b">
        <f>COUNTIF(connections!A:A, A614) &gt; 0</f>
        <v>0</v>
      </c>
      <c r="F614" t="s">
        <v>1806</v>
      </c>
      <c r="G614" t="s">
        <v>2183</v>
      </c>
      <c r="H614" t="s">
        <v>187</v>
      </c>
      <c r="I614" t="s">
        <v>2184</v>
      </c>
      <c r="J614" s="1" t="s">
        <v>2185</v>
      </c>
    </row>
    <row r="615" spans="1:10" ht="15" customHeight="1" x14ac:dyDescent="0.25">
      <c r="A615" t="s">
        <v>2186</v>
      </c>
      <c r="B615">
        <v>2022</v>
      </c>
      <c r="C615" t="s">
        <v>222</v>
      </c>
      <c r="D615" t="b">
        <f>TRUE()</f>
        <v>1</v>
      </c>
      <c r="E615" t="b">
        <f>COUNTIF(connections!A:A, A615) &gt; 0</f>
        <v>1</v>
      </c>
      <c r="F615" t="s">
        <v>404</v>
      </c>
      <c r="G615" t="s">
        <v>2187</v>
      </c>
    </row>
    <row r="616" spans="1:10" ht="15" customHeight="1" x14ac:dyDescent="0.25">
      <c r="A616" t="s">
        <v>2188</v>
      </c>
      <c r="B616">
        <v>2024</v>
      </c>
      <c r="C616" t="s">
        <v>182</v>
      </c>
      <c r="D616" t="b">
        <v>1</v>
      </c>
      <c r="E616" t="b">
        <f>COUNTIF(connections!A:A, A616) &gt; 0</f>
        <v>0</v>
      </c>
      <c r="G616" t="s">
        <v>2189</v>
      </c>
      <c r="J616" s="10" t="s">
        <v>2190</v>
      </c>
    </row>
    <row r="617" spans="1:10" ht="15" customHeight="1" x14ac:dyDescent="0.25">
      <c r="A617" t="s">
        <v>2191</v>
      </c>
      <c r="B617">
        <v>2016</v>
      </c>
      <c r="C617" t="s">
        <v>222</v>
      </c>
      <c r="D617" t="b">
        <v>1</v>
      </c>
      <c r="E617" t="b">
        <f>COUNTIF(connections!A:A, A617) &gt; 0</f>
        <v>0</v>
      </c>
      <c r="G617" t="s">
        <v>2192</v>
      </c>
    </row>
    <row r="618" spans="1:10" ht="15" customHeight="1" x14ac:dyDescent="0.25">
      <c r="A618" t="s">
        <v>2193</v>
      </c>
      <c r="B618">
        <v>2022</v>
      </c>
      <c r="C618" t="s">
        <v>176</v>
      </c>
      <c r="D618" t="b">
        <f>TRUE()</f>
        <v>1</v>
      </c>
      <c r="E618" t="b">
        <f>COUNTIF(connections!A:A, A618) &gt; 0</f>
        <v>0</v>
      </c>
      <c r="G618" t="s">
        <v>2194</v>
      </c>
      <c r="H618" t="s">
        <v>187</v>
      </c>
      <c r="I618" t="s">
        <v>2195</v>
      </c>
      <c r="J618" s="1" t="s">
        <v>2196</v>
      </c>
    </row>
    <row r="619" spans="1:10" ht="15" customHeight="1" x14ac:dyDescent="0.25">
      <c r="A619" t="s">
        <v>2197</v>
      </c>
      <c r="B619">
        <v>2021</v>
      </c>
      <c r="C619" t="s">
        <v>182</v>
      </c>
      <c r="D619" t="b">
        <f>TRUE()</f>
        <v>1</v>
      </c>
      <c r="E619" t="b">
        <f>COUNTIF(connections!A:A, A619) &gt; 0</f>
        <v>1</v>
      </c>
      <c r="G619" t="s">
        <v>2198</v>
      </c>
      <c r="H619" t="s">
        <v>187</v>
      </c>
      <c r="I619" t="s">
        <v>2199</v>
      </c>
      <c r="J619" s="1" t="s">
        <v>2200</v>
      </c>
    </row>
    <row r="620" spans="1:10" ht="15" customHeight="1" x14ac:dyDescent="0.25">
      <c r="A620" t="s">
        <v>2201</v>
      </c>
      <c r="B620">
        <v>2023</v>
      </c>
      <c r="C620" t="s">
        <v>179</v>
      </c>
      <c r="D620" t="b">
        <f>TRUE()</f>
        <v>1</v>
      </c>
      <c r="E620" t="b">
        <f>COUNTIF(connections!A:A, A620) &gt; 0</f>
        <v>0</v>
      </c>
      <c r="G620" t="s">
        <v>2202</v>
      </c>
    </row>
    <row r="621" spans="1:10" ht="15" customHeight="1" x14ac:dyDescent="0.25">
      <c r="A621" t="s">
        <v>2203</v>
      </c>
      <c r="B621">
        <v>2026</v>
      </c>
      <c r="C621" t="s">
        <v>182</v>
      </c>
      <c r="D621" t="b">
        <f>TRUE()</f>
        <v>1</v>
      </c>
      <c r="E621" t="b">
        <f>COUNTIF(connections!A:A, A621) &gt; 0</f>
        <v>0</v>
      </c>
      <c r="F621" t="s">
        <v>354</v>
      </c>
      <c r="G621" t="s">
        <v>2204</v>
      </c>
    </row>
    <row r="622" spans="1:10" ht="15" customHeight="1" x14ac:dyDescent="0.25">
      <c r="A622" t="s">
        <v>2205</v>
      </c>
      <c r="B622">
        <v>2014</v>
      </c>
      <c r="C622" t="s">
        <v>179</v>
      </c>
      <c r="D622" t="b">
        <f>TRUE()</f>
        <v>1</v>
      </c>
      <c r="E622" t="b">
        <f>COUNTIF(connections!A:A, A622) &gt; 0</f>
        <v>0</v>
      </c>
      <c r="G622" t="s">
        <v>2206</v>
      </c>
      <c r="J622" s="1" t="s">
        <v>2207</v>
      </c>
    </row>
    <row r="623" spans="1:10" ht="15" customHeight="1" x14ac:dyDescent="0.25">
      <c r="A623" t="s">
        <v>2208</v>
      </c>
      <c r="B623">
        <v>2022</v>
      </c>
      <c r="C623" t="s">
        <v>222</v>
      </c>
      <c r="D623" t="b">
        <f>FALSE()</f>
        <v>0</v>
      </c>
      <c r="E623" t="b">
        <f>COUNTIF(connections!A:A, A623) &gt; 0</f>
        <v>0</v>
      </c>
      <c r="G623" t="s">
        <v>2209</v>
      </c>
      <c r="H623" t="s">
        <v>187</v>
      </c>
      <c r="I623" t="s">
        <v>2210</v>
      </c>
      <c r="J623" s="1" t="s">
        <v>2211</v>
      </c>
    </row>
    <row r="624" spans="1:10" ht="15" customHeight="1" x14ac:dyDescent="0.25">
      <c r="A624" t="s">
        <v>2212</v>
      </c>
      <c r="B624">
        <v>2021</v>
      </c>
      <c r="C624" t="s">
        <v>222</v>
      </c>
      <c r="D624" t="b">
        <f>TRUE()</f>
        <v>1</v>
      </c>
      <c r="E624" t="b">
        <f>COUNTIF(connections!A:A, A624) &gt; 0</f>
        <v>1</v>
      </c>
      <c r="F624" t="s">
        <v>315</v>
      </c>
      <c r="G624" t="s">
        <v>2213</v>
      </c>
      <c r="H624" t="s">
        <v>187</v>
      </c>
      <c r="I624" t="s">
        <v>2214</v>
      </c>
      <c r="J624" s="1" t="s">
        <v>2215</v>
      </c>
    </row>
    <row r="625" spans="1:10" ht="15" customHeight="1" x14ac:dyDescent="0.25">
      <c r="A625" t="s">
        <v>2216</v>
      </c>
      <c r="B625">
        <v>2024</v>
      </c>
      <c r="C625" t="s">
        <v>222</v>
      </c>
      <c r="D625" t="b">
        <f>TRUE()</f>
        <v>1</v>
      </c>
      <c r="E625" t="b">
        <f>COUNTIF(connections!A:A, A625) &gt; 0</f>
        <v>0</v>
      </c>
      <c r="F625" t="s">
        <v>315</v>
      </c>
      <c r="G625" t="s">
        <v>2217</v>
      </c>
      <c r="H625" t="s">
        <v>187</v>
      </c>
      <c r="I625" t="s">
        <v>2218</v>
      </c>
      <c r="J625" s="1" t="s">
        <v>2219</v>
      </c>
    </row>
    <row r="626" spans="1:10" ht="15" customHeight="1" x14ac:dyDescent="0.25">
      <c r="A626" t="s">
        <v>2220</v>
      </c>
      <c r="B626">
        <v>2026</v>
      </c>
      <c r="C626" t="s">
        <v>182</v>
      </c>
      <c r="D626" t="b">
        <v>1</v>
      </c>
      <c r="E626" t="b">
        <f>COUNTIF(connections!A:A, A626) &gt; 0</f>
        <v>0</v>
      </c>
      <c r="G626" t="s">
        <v>2221</v>
      </c>
      <c r="J626" s="10" t="s">
        <v>2222</v>
      </c>
    </row>
    <row r="627" spans="1:10" ht="15" customHeight="1" x14ac:dyDescent="0.25">
      <c r="A627" t="s">
        <v>2223</v>
      </c>
      <c r="B627">
        <v>2025</v>
      </c>
      <c r="C627" t="s">
        <v>182</v>
      </c>
      <c r="D627" t="b">
        <f>TRUE()</f>
        <v>1</v>
      </c>
      <c r="E627" t="b">
        <f>COUNTIF(connections!A:A, A627) &gt; 0</f>
        <v>0</v>
      </c>
      <c r="F627" t="s">
        <v>354</v>
      </c>
      <c r="G627" t="s">
        <v>2224</v>
      </c>
      <c r="J627" s="10" t="s">
        <v>2225</v>
      </c>
    </row>
    <row r="628" spans="1:10" ht="15" customHeight="1" x14ac:dyDescent="0.25">
      <c r="A628" t="s">
        <v>2226</v>
      </c>
      <c r="B628">
        <v>2021</v>
      </c>
      <c r="C628" t="s">
        <v>176</v>
      </c>
      <c r="D628" t="b">
        <f>FALSE()</f>
        <v>0</v>
      </c>
      <c r="E628" t="b">
        <f>COUNTIF(connections!A:A, A628) &gt; 0</f>
        <v>0</v>
      </c>
      <c r="G628" t="s">
        <v>2227</v>
      </c>
      <c r="H628" t="s">
        <v>187</v>
      </c>
      <c r="I628" t="s">
        <v>2228</v>
      </c>
      <c r="J628" s="1" t="s">
        <v>2229</v>
      </c>
    </row>
    <row r="629" spans="1:10" ht="15" customHeight="1" x14ac:dyDescent="0.25">
      <c r="A629" t="s">
        <v>2230</v>
      </c>
      <c r="B629">
        <v>2026</v>
      </c>
      <c r="C629" t="s">
        <v>182</v>
      </c>
      <c r="D629" t="b">
        <f>TRUE()</f>
        <v>1</v>
      </c>
      <c r="E629" t="b">
        <f>COUNTIF(connections!A:A, A629) &gt; 0</f>
        <v>0</v>
      </c>
      <c r="F629" t="s">
        <v>315</v>
      </c>
      <c r="G629" t="s">
        <v>2231</v>
      </c>
      <c r="J629" s="10" t="s">
        <v>2232</v>
      </c>
    </row>
    <row r="630" spans="1:10" ht="15" customHeight="1" x14ac:dyDescent="0.25">
      <c r="A630" t="s">
        <v>2233</v>
      </c>
      <c r="B630">
        <v>2025</v>
      </c>
      <c r="C630" t="s">
        <v>182</v>
      </c>
      <c r="D630" t="b">
        <f>TRUE()</f>
        <v>1</v>
      </c>
      <c r="E630" t="b">
        <f>COUNTIF(connections!A:A, A630) &gt; 0</f>
        <v>0</v>
      </c>
      <c r="G630" t="s">
        <v>2234</v>
      </c>
      <c r="H630" t="s">
        <v>187</v>
      </c>
      <c r="I630" t="s">
        <v>2235</v>
      </c>
      <c r="J630" s="1" t="s">
        <v>2236</v>
      </c>
    </row>
    <row r="631" spans="1:10" ht="15" customHeight="1" x14ac:dyDescent="0.25">
      <c r="A631" t="s">
        <v>2237</v>
      </c>
      <c r="B631">
        <v>2026</v>
      </c>
      <c r="C631" t="s">
        <v>182</v>
      </c>
      <c r="D631" t="b">
        <f>TRUE()</f>
        <v>1</v>
      </c>
      <c r="E631" t="b">
        <f>COUNTIF(connections!A:A, A631) &gt; 0</f>
        <v>0</v>
      </c>
      <c r="G631" t="s">
        <v>2238</v>
      </c>
      <c r="J631" s="10" t="s">
        <v>2239</v>
      </c>
    </row>
    <row r="632" spans="1:10" ht="15" customHeight="1" x14ac:dyDescent="0.25">
      <c r="A632" t="s">
        <v>2240</v>
      </c>
      <c r="B632">
        <v>2023</v>
      </c>
      <c r="C632" t="s">
        <v>182</v>
      </c>
      <c r="D632" t="b">
        <f>TRUE()</f>
        <v>1</v>
      </c>
      <c r="E632" t="b">
        <f>COUNTIF(connections!A:A, A632) &gt; 0</f>
        <v>0</v>
      </c>
      <c r="G632" t="s">
        <v>2241</v>
      </c>
      <c r="J632" s="10" t="s">
        <v>2242</v>
      </c>
    </row>
    <row r="633" spans="1:10" ht="15" customHeight="1" x14ac:dyDescent="0.25">
      <c r="A633" t="s">
        <v>2243</v>
      </c>
      <c r="B633">
        <v>2010</v>
      </c>
      <c r="C633" t="s">
        <v>179</v>
      </c>
      <c r="D633" t="b">
        <f>TRUE()</f>
        <v>1</v>
      </c>
      <c r="E633" t="b">
        <f>COUNTIF(connections!A:A, A633) &gt; 0</f>
        <v>0</v>
      </c>
      <c r="F633" t="s">
        <v>328</v>
      </c>
      <c r="G633" t="s">
        <v>2244</v>
      </c>
    </row>
    <row r="634" spans="1:10" ht="15" customHeight="1" x14ac:dyDescent="0.25">
      <c r="A634" t="s">
        <v>2245</v>
      </c>
      <c r="B634">
        <v>2024</v>
      </c>
      <c r="C634" t="s">
        <v>176</v>
      </c>
      <c r="D634" t="b">
        <f>TRUE()</f>
        <v>1</v>
      </c>
      <c r="E634" t="b">
        <f>COUNTIF(connections!A:A, A634) &gt; 0</f>
        <v>0</v>
      </c>
      <c r="G634" t="s">
        <v>2246</v>
      </c>
      <c r="J634" s="10" t="s">
        <v>2247</v>
      </c>
    </row>
    <row r="635" spans="1:10" ht="15" customHeight="1" x14ac:dyDescent="0.25">
      <c r="A635" t="s">
        <v>2248</v>
      </c>
      <c r="B635">
        <v>2022</v>
      </c>
      <c r="C635" t="s">
        <v>176</v>
      </c>
      <c r="D635" t="b">
        <f>TRUE()</f>
        <v>1</v>
      </c>
      <c r="E635" t="b">
        <f>COUNTIF(connections!A:A, A635) &gt; 0</f>
        <v>0</v>
      </c>
      <c r="G635" t="s">
        <v>2249</v>
      </c>
      <c r="H635" t="s">
        <v>187</v>
      </c>
      <c r="I635" t="s">
        <v>2250</v>
      </c>
      <c r="J635" s="1" t="s">
        <v>2251</v>
      </c>
    </row>
    <row r="636" spans="1:10" ht="15" customHeight="1" x14ac:dyDescent="0.25">
      <c r="A636" t="s">
        <v>2252</v>
      </c>
      <c r="B636">
        <v>2023</v>
      </c>
      <c r="C636" t="s">
        <v>176</v>
      </c>
      <c r="D636" t="b">
        <v>1</v>
      </c>
      <c r="E636" t="b">
        <f>COUNTIF(connections!A:A, A636) &gt; 0</f>
        <v>0</v>
      </c>
      <c r="G636" t="s">
        <v>2253</v>
      </c>
      <c r="J636" s="10" t="s">
        <v>2254</v>
      </c>
    </row>
    <row r="637" spans="1:10" ht="15" customHeight="1" x14ac:dyDescent="0.25">
      <c r="A637" t="s">
        <v>2255</v>
      </c>
      <c r="B637">
        <v>2020</v>
      </c>
      <c r="C637" t="s">
        <v>176</v>
      </c>
      <c r="D637" t="b">
        <f>TRUE()</f>
        <v>1</v>
      </c>
      <c r="E637" t="b">
        <f>COUNTIF(connections!A:A, A637) &gt; 0</f>
        <v>1</v>
      </c>
      <c r="G637" t="s">
        <v>2256</v>
      </c>
      <c r="H637" t="s">
        <v>187</v>
      </c>
      <c r="I637" t="s">
        <v>2257</v>
      </c>
      <c r="J637" s="1" t="s">
        <v>2258</v>
      </c>
    </row>
    <row r="638" spans="1:10" ht="15" customHeight="1" x14ac:dyDescent="0.25">
      <c r="A638" t="s">
        <v>2259</v>
      </c>
      <c r="B638">
        <v>2023</v>
      </c>
      <c r="C638" t="s">
        <v>176</v>
      </c>
      <c r="D638" t="b">
        <f>TRUE()</f>
        <v>1</v>
      </c>
      <c r="E638" t="b">
        <f>COUNTIF(connections!A:A, A638) &gt; 0</f>
        <v>0</v>
      </c>
      <c r="F638" t="s">
        <v>652</v>
      </c>
      <c r="G638" t="s">
        <v>2260</v>
      </c>
    </row>
    <row r="639" spans="1:10" ht="15" customHeight="1" x14ac:dyDescent="0.25">
      <c r="A639" t="s">
        <v>2261</v>
      </c>
      <c r="B639">
        <v>2023</v>
      </c>
      <c r="C639" t="s">
        <v>176</v>
      </c>
      <c r="D639" t="b">
        <f>FALSE()</f>
        <v>0</v>
      </c>
      <c r="E639" t="b">
        <f>COUNTIF(connections!A:A, A639) &gt; 0</f>
        <v>0</v>
      </c>
      <c r="G639" t="s">
        <v>2262</v>
      </c>
      <c r="H639" t="s">
        <v>187</v>
      </c>
      <c r="I639" t="s">
        <v>2263</v>
      </c>
      <c r="J639" s="1" t="s">
        <v>2264</v>
      </c>
    </row>
    <row r="640" spans="1:10" ht="15" customHeight="1" x14ac:dyDescent="0.25">
      <c r="A640" t="s">
        <v>2265</v>
      </c>
      <c r="B640">
        <v>2025</v>
      </c>
      <c r="C640" t="s">
        <v>222</v>
      </c>
      <c r="D640" t="b">
        <f>TRUE()</f>
        <v>1</v>
      </c>
      <c r="E640" t="b">
        <f>COUNTIF(connections!A:A, A640) &gt; 0</f>
        <v>0</v>
      </c>
      <c r="G640" t="s">
        <v>2266</v>
      </c>
      <c r="J640" s="1" t="s">
        <v>2267</v>
      </c>
    </row>
    <row r="641" spans="1:10" ht="15" customHeight="1" x14ac:dyDescent="0.25">
      <c r="A641" t="s">
        <v>2268</v>
      </c>
      <c r="B641">
        <v>2025</v>
      </c>
      <c r="C641" t="s">
        <v>176</v>
      </c>
      <c r="D641" t="b">
        <f>TRUE()</f>
        <v>1</v>
      </c>
      <c r="E641" t="b">
        <f>COUNTIF(connections!A:A, A641) &gt; 0</f>
        <v>0</v>
      </c>
      <c r="G641" t="s">
        <v>2269</v>
      </c>
    </row>
    <row r="642" spans="1:10" ht="15" customHeight="1" x14ac:dyDescent="0.25">
      <c r="A642" t="s">
        <v>2270</v>
      </c>
      <c r="B642">
        <v>2022</v>
      </c>
      <c r="C642" t="s">
        <v>176</v>
      </c>
      <c r="D642" t="b">
        <f>TRUE()</f>
        <v>1</v>
      </c>
      <c r="E642" t="b">
        <f>COUNTIF(connections!A:A, A642) &gt; 0</f>
        <v>1</v>
      </c>
      <c r="G642" t="s">
        <v>2271</v>
      </c>
      <c r="H642" t="s">
        <v>187</v>
      </c>
      <c r="I642" t="s">
        <v>2272</v>
      </c>
      <c r="J642" s="1" t="s">
        <v>2273</v>
      </c>
    </row>
    <row r="643" spans="1:10" ht="15" customHeight="1" x14ac:dyDescent="0.25">
      <c r="A643" t="s">
        <v>2274</v>
      </c>
      <c r="B643">
        <v>2026</v>
      </c>
      <c r="C643" t="s">
        <v>176</v>
      </c>
      <c r="D643" t="b">
        <f>TRUE()</f>
        <v>1</v>
      </c>
      <c r="E643" t="b">
        <f>COUNTIF(connections!A:A, A643) &gt; 0</f>
        <v>0</v>
      </c>
      <c r="G643" t="s">
        <v>2275</v>
      </c>
      <c r="J643" s="10" t="s">
        <v>2276</v>
      </c>
    </row>
    <row r="644" spans="1:10" ht="15" customHeight="1" x14ac:dyDescent="0.25">
      <c r="A644" t="s">
        <v>2277</v>
      </c>
      <c r="B644">
        <v>2015</v>
      </c>
      <c r="C644" t="s">
        <v>179</v>
      </c>
      <c r="D644" t="b">
        <f>TRUE()</f>
        <v>1</v>
      </c>
      <c r="E644" t="b">
        <f>COUNTIF(connections!A:A, A644) &gt; 0</f>
        <v>0</v>
      </c>
      <c r="G644" t="s">
        <v>2278</v>
      </c>
      <c r="H644" t="s">
        <v>187</v>
      </c>
      <c r="I644" t="s">
        <v>2279</v>
      </c>
    </row>
    <row r="645" spans="1:10" ht="15" customHeight="1" x14ac:dyDescent="0.25">
      <c r="A645" t="s">
        <v>2280</v>
      </c>
      <c r="B645">
        <v>2025</v>
      </c>
      <c r="C645" t="s">
        <v>222</v>
      </c>
      <c r="D645" t="b">
        <f>TRUE()</f>
        <v>1</v>
      </c>
      <c r="E645" t="b">
        <f>COUNTIF(connections!A:A, A645) &gt; 0</f>
        <v>0</v>
      </c>
      <c r="G645" t="s">
        <v>2281</v>
      </c>
    </row>
    <row r="646" spans="1:10" ht="15" customHeight="1" x14ac:dyDescent="0.25">
      <c r="A646" t="s">
        <v>2282</v>
      </c>
      <c r="B646">
        <v>2025</v>
      </c>
      <c r="C646" t="s">
        <v>176</v>
      </c>
      <c r="D646" t="b">
        <f>TRUE()</f>
        <v>1</v>
      </c>
      <c r="E646" t="b">
        <f>COUNTIF(connections!A:A, A646) &gt; 0</f>
        <v>0</v>
      </c>
      <c r="G646" t="s">
        <v>2283</v>
      </c>
    </row>
    <row r="647" spans="1:10" ht="15" customHeight="1" x14ac:dyDescent="0.25">
      <c r="A647" t="s">
        <v>2284</v>
      </c>
      <c r="B647">
        <v>2023</v>
      </c>
      <c r="C647" t="s">
        <v>176</v>
      </c>
      <c r="D647" t="b">
        <f>TRUE()</f>
        <v>1</v>
      </c>
      <c r="E647" t="b">
        <f>COUNTIF(connections!A:A, A647) &gt; 0</f>
        <v>0</v>
      </c>
      <c r="G647" t="s">
        <v>2285</v>
      </c>
      <c r="J647" s="10" t="s">
        <v>2286</v>
      </c>
    </row>
    <row r="648" spans="1:10" ht="15" customHeight="1" x14ac:dyDescent="0.25">
      <c r="A648" t="s">
        <v>2287</v>
      </c>
      <c r="B648">
        <v>2014</v>
      </c>
      <c r="C648" t="s">
        <v>179</v>
      </c>
      <c r="D648" t="b">
        <f>TRUE()</f>
        <v>1</v>
      </c>
      <c r="E648" t="b">
        <f>COUNTIF(connections!A:A, A648) &gt; 0</f>
        <v>1</v>
      </c>
      <c r="G648" t="s">
        <v>2288</v>
      </c>
    </row>
    <row r="649" spans="1:10" ht="15" customHeight="1" x14ac:dyDescent="0.25">
      <c r="A649" t="s">
        <v>2289</v>
      </c>
      <c r="B649">
        <v>2022</v>
      </c>
      <c r="C649" t="s">
        <v>176</v>
      </c>
      <c r="D649" t="b">
        <f>TRUE()</f>
        <v>1</v>
      </c>
      <c r="E649" t="b">
        <f>COUNTIF(connections!A:A, A649) &gt; 0</f>
        <v>0</v>
      </c>
      <c r="F649" t="s">
        <v>652</v>
      </c>
      <c r="G649" t="s">
        <v>2290</v>
      </c>
      <c r="H649" t="s">
        <v>187</v>
      </c>
      <c r="I649" t="s">
        <v>2291</v>
      </c>
      <c r="J649" s="1" t="s">
        <v>2292</v>
      </c>
    </row>
    <row r="650" spans="1:10" ht="15" customHeight="1" x14ac:dyDescent="0.25">
      <c r="A650" t="s">
        <v>2293</v>
      </c>
      <c r="B650">
        <v>2008</v>
      </c>
      <c r="C650" t="s">
        <v>179</v>
      </c>
      <c r="D650" t="b">
        <f>TRUE()</f>
        <v>1</v>
      </c>
      <c r="E650" t="b">
        <f>COUNTIF(connections!A:A, A650) &gt; 0</f>
        <v>1</v>
      </c>
      <c r="G650" t="s">
        <v>2294</v>
      </c>
      <c r="H650" t="s">
        <v>187</v>
      </c>
      <c r="I650" t="s">
        <v>2295</v>
      </c>
    </row>
    <row r="651" spans="1:10" ht="15" customHeight="1" x14ac:dyDescent="0.25">
      <c r="A651" t="s">
        <v>2296</v>
      </c>
      <c r="B651">
        <v>2000</v>
      </c>
      <c r="C651" t="s">
        <v>179</v>
      </c>
      <c r="D651" t="b">
        <f>TRUE()</f>
        <v>1</v>
      </c>
      <c r="E651" t="b">
        <f>COUNTIF(connections!A:A, A651) &gt; 0</f>
        <v>1</v>
      </c>
      <c r="G651" t="s">
        <v>2297</v>
      </c>
      <c r="H651" t="s">
        <v>187</v>
      </c>
      <c r="I651" t="s">
        <v>2298</v>
      </c>
    </row>
    <row r="652" spans="1:10" ht="15" customHeight="1" x14ac:dyDescent="0.25">
      <c r="A652" t="s">
        <v>2299</v>
      </c>
      <c r="B652">
        <v>2010</v>
      </c>
      <c r="C652" t="s">
        <v>179</v>
      </c>
      <c r="D652" t="b">
        <f>TRUE()</f>
        <v>1</v>
      </c>
      <c r="E652" t="b">
        <f>COUNTIF(connections!A:A, A652) &gt; 0</f>
        <v>1</v>
      </c>
      <c r="G652" t="s">
        <v>2300</v>
      </c>
      <c r="H652" t="s">
        <v>187</v>
      </c>
      <c r="I652" t="s">
        <v>2301</v>
      </c>
    </row>
    <row r="653" spans="1:10" ht="15" customHeight="1" x14ac:dyDescent="0.25">
      <c r="A653" t="s">
        <v>2302</v>
      </c>
      <c r="B653">
        <v>2002</v>
      </c>
      <c r="C653" t="s">
        <v>179</v>
      </c>
      <c r="D653" t="b">
        <f>TRUE()</f>
        <v>1</v>
      </c>
      <c r="E653" t="b">
        <f>COUNTIF(connections!A:A, A653) &gt; 0</f>
        <v>0</v>
      </c>
      <c r="G653" t="s">
        <v>2303</v>
      </c>
      <c r="H653" t="s">
        <v>187</v>
      </c>
      <c r="I653" t="s">
        <v>2304</v>
      </c>
    </row>
    <row r="654" spans="1:10" ht="15" customHeight="1" x14ac:dyDescent="0.25">
      <c r="A654" t="s">
        <v>2305</v>
      </c>
      <c r="B654">
        <v>1996</v>
      </c>
      <c r="C654" t="s">
        <v>179</v>
      </c>
      <c r="D654" t="b">
        <f>TRUE()</f>
        <v>1</v>
      </c>
      <c r="E654" t="b">
        <f>COUNTIF(connections!A:A, A654) &gt; 0</f>
        <v>1</v>
      </c>
      <c r="G654" t="s">
        <v>2306</v>
      </c>
      <c r="H654" t="s">
        <v>187</v>
      </c>
      <c r="I654" t="s">
        <v>2307</v>
      </c>
    </row>
    <row r="655" spans="1:10" ht="15" customHeight="1" x14ac:dyDescent="0.25">
      <c r="A655" t="s">
        <v>2308</v>
      </c>
      <c r="B655">
        <v>2001</v>
      </c>
      <c r="C655" t="s">
        <v>179</v>
      </c>
      <c r="D655" t="b">
        <f>TRUE()</f>
        <v>1</v>
      </c>
      <c r="E655" t="b">
        <f>COUNTIF(connections!A:A, A655) &gt; 0</f>
        <v>0</v>
      </c>
      <c r="G655" t="s">
        <v>2309</v>
      </c>
      <c r="H655" t="s">
        <v>187</v>
      </c>
      <c r="I655" t="s">
        <v>2310</v>
      </c>
    </row>
    <row r="656" spans="1:10" ht="15" customHeight="1" x14ac:dyDescent="0.25">
      <c r="A656" t="s">
        <v>2311</v>
      </c>
      <c r="B656">
        <v>2024</v>
      </c>
      <c r="C656" t="s">
        <v>179</v>
      </c>
      <c r="D656" t="b">
        <f>TRUE()</f>
        <v>1</v>
      </c>
      <c r="E656" t="b">
        <f>COUNTIF(connections!A:A, A656) &gt; 0</f>
        <v>0</v>
      </c>
      <c r="G656" t="s">
        <v>2312</v>
      </c>
      <c r="H656" t="s">
        <v>187</v>
      </c>
      <c r="I656" t="s">
        <v>2313</v>
      </c>
      <c r="J656" s="1" t="s">
        <v>2314</v>
      </c>
    </row>
    <row r="657" spans="1:10" ht="15" customHeight="1" x14ac:dyDescent="0.25">
      <c r="A657" t="s">
        <v>2315</v>
      </c>
      <c r="B657">
        <v>2010</v>
      </c>
      <c r="C657" t="s">
        <v>179</v>
      </c>
      <c r="D657" t="b">
        <f>TRUE()</f>
        <v>1</v>
      </c>
      <c r="E657" t="b">
        <f>COUNTIF(connections!A:A, A657) &gt; 0</f>
        <v>1</v>
      </c>
      <c r="G657" t="s">
        <v>2316</v>
      </c>
      <c r="H657" t="s">
        <v>187</v>
      </c>
      <c r="I657" t="s">
        <v>2317</v>
      </c>
      <c r="J657" s="1" t="s">
        <v>2318</v>
      </c>
    </row>
    <row r="658" spans="1:10" ht="15" customHeight="1" x14ac:dyDescent="0.25">
      <c r="A658" t="s">
        <v>2319</v>
      </c>
      <c r="B658">
        <v>2023</v>
      </c>
      <c r="C658" t="s">
        <v>222</v>
      </c>
      <c r="D658" t="b">
        <f>TRUE()</f>
        <v>1</v>
      </c>
      <c r="E658" t="b">
        <f>COUNTIF(connections!A:A, A658) &gt; 0</f>
        <v>1</v>
      </c>
      <c r="G658" t="s">
        <v>2320</v>
      </c>
      <c r="H658" t="s">
        <v>187</v>
      </c>
      <c r="I658" t="s">
        <v>2321</v>
      </c>
      <c r="J658" s="1" t="s">
        <v>2322</v>
      </c>
    </row>
    <row r="659" spans="1:10" ht="15" customHeight="1" x14ac:dyDescent="0.25">
      <c r="A659" t="s">
        <v>2323</v>
      </c>
      <c r="B659">
        <v>2010</v>
      </c>
      <c r="C659" t="s">
        <v>176</v>
      </c>
      <c r="D659" t="b">
        <f>TRUE()</f>
        <v>1</v>
      </c>
      <c r="E659" t="b">
        <f>COUNTIF(connections!A:A, A659) &gt; 0</f>
        <v>1</v>
      </c>
      <c r="G659" t="s">
        <v>2324</v>
      </c>
    </row>
    <row r="660" spans="1:10" ht="15" customHeight="1" x14ac:dyDescent="0.25">
      <c r="A660" t="s">
        <v>2325</v>
      </c>
      <c r="B660">
        <v>2022</v>
      </c>
      <c r="C660" t="s">
        <v>222</v>
      </c>
      <c r="D660" t="b">
        <f>TRUE()</f>
        <v>1</v>
      </c>
      <c r="E660" t="b">
        <f>COUNTIF(connections!A:A, A660) &gt; 0</f>
        <v>1</v>
      </c>
      <c r="F660" t="s">
        <v>1165</v>
      </c>
      <c r="G660" t="s">
        <v>2326</v>
      </c>
      <c r="H660" t="s">
        <v>187</v>
      </c>
      <c r="I660" t="s">
        <v>2327</v>
      </c>
      <c r="J660" s="1" t="s">
        <v>2328</v>
      </c>
    </row>
    <row r="661" spans="1:10" ht="15" customHeight="1" x14ac:dyDescent="0.25">
      <c r="A661" t="s">
        <v>2329</v>
      </c>
      <c r="B661">
        <v>2022</v>
      </c>
      <c r="C661" t="s">
        <v>176</v>
      </c>
      <c r="D661" t="b">
        <f>TRUE()</f>
        <v>1</v>
      </c>
      <c r="E661" t="b">
        <f>COUNTIF(connections!A:A, A661) &gt; 0</f>
        <v>0</v>
      </c>
      <c r="F661" t="s">
        <v>1031</v>
      </c>
      <c r="G661" t="s">
        <v>2330</v>
      </c>
    </row>
    <row r="662" spans="1:10" ht="15" customHeight="1" x14ac:dyDescent="0.25">
      <c r="A662" t="s">
        <v>2331</v>
      </c>
      <c r="B662">
        <v>2012</v>
      </c>
      <c r="C662" t="s">
        <v>179</v>
      </c>
      <c r="D662" t="b">
        <f>TRUE()</f>
        <v>1</v>
      </c>
      <c r="E662" t="b">
        <f>COUNTIF(connections!A:A, A662) &gt; 0</f>
        <v>0</v>
      </c>
      <c r="G662" t="s">
        <v>2332</v>
      </c>
    </row>
    <row r="663" spans="1:10" ht="15" customHeight="1" x14ac:dyDescent="0.25">
      <c r="A663" t="s">
        <v>2333</v>
      </c>
      <c r="B663">
        <v>2026</v>
      </c>
      <c r="C663" t="s">
        <v>222</v>
      </c>
      <c r="D663" t="b">
        <f>TRUE()</f>
        <v>1</v>
      </c>
      <c r="E663" t="b">
        <f>COUNTIF(connections!A:A, A663) &gt; 0</f>
        <v>0</v>
      </c>
      <c r="G663" t="s">
        <v>2334</v>
      </c>
      <c r="J663" s="10" t="s">
        <v>2335</v>
      </c>
    </row>
    <row r="664" spans="1:10" ht="15" customHeight="1" x14ac:dyDescent="0.25">
      <c r="A664" t="s">
        <v>2336</v>
      </c>
      <c r="B664">
        <v>2020</v>
      </c>
      <c r="C664" t="s">
        <v>176</v>
      </c>
      <c r="D664" t="b">
        <f>TRUE()</f>
        <v>1</v>
      </c>
      <c r="E664" t="b">
        <f>COUNTIF(connections!A:A, A664) &gt; 0</f>
        <v>1</v>
      </c>
      <c r="G664" t="s">
        <v>2337</v>
      </c>
      <c r="H664" t="s">
        <v>187</v>
      </c>
      <c r="I664" t="s">
        <v>2338</v>
      </c>
      <c r="J664" s="1" t="s">
        <v>2339</v>
      </c>
    </row>
    <row r="665" spans="1:10" ht="15" customHeight="1" x14ac:dyDescent="0.25">
      <c r="A665" t="s">
        <v>2340</v>
      </c>
      <c r="B665">
        <v>2026</v>
      </c>
      <c r="C665" t="s">
        <v>176</v>
      </c>
      <c r="D665" t="b">
        <f>TRUE()</f>
        <v>1</v>
      </c>
      <c r="E665" t="b">
        <f>COUNTIF(connections!A:A, A665) &gt; 0</f>
        <v>0</v>
      </c>
      <c r="G665" t="s">
        <v>2341</v>
      </c>
    </row>
    <row r="666" spans="1:10" ht="15" customHeight="1" x14ac:dyDescent="0.25">
      <c r="A666" t="s">
        <v>2342</v>
      </c>
      <c r="B666">
        <v>2014</v>
      </c>
      <c r="C666" t="s">
        <v>176</v>
      </c>
      <c r="D666" t="b">
        <f>TRUE()</f>
        <v>1</v>
      </c>
      <c r="E666" t="b">
        <f>COUNTIF(connections!A:A, A666) &gt; 0</f>
        <v>0</v>
      </c>
      <c r="G666" t="s">
        <v>2343</v>
      </c>
      <c r="J666" s="10" t="s">
        <v>2344</v>
      </c>
    </row>
    <row r="667" spans="1:10" ht="15" customHeight="1" x14ac:dyDescent="0.25">
      <c r="A667" t="s">
        <v>2345</v>
      </c>
      <c r="B667">
        <v>2024</v>
      </c>
      <c r="C667" t="s">
        <v>182</v>
      </c>
      <c r="D667" t="b">
        <f>TRUE()</f>
        <v>1</v>
      </c>
      <c r="E667" t="b">
        <f>COUNTIF(connections!A:A, A667) &gt; 0</f>
        <v>0</v>
      </c>
      <c r="F667" t="s">
        <v>271</v>
      </c>
      <c r="G667" t="s">
        <v>2346</v>
      </c>
      <c r="H667" t="s">
        <v>187</v>
      </c>
      <c r="I667" t="s">
        <v>2347</v>
      </c>
      <c r="J667" s="1" t="s">
        <v>2348</v>
      </c>
    </row>
    <row r="668" spans="1:10" ht="15" customHeight="1" x14ac:dyDescent="0.25">
      <c r="A668" t="s">
        <v>2349</v>
      </c>
      <c r="B668">
        <v>2006</v>
      </c>
      <c r="C668" t="s">
        <v>179</v>
      </c>
      <c r="D668" t="b">
        <f>TRUE()</f>
        <v>1</v>
      </c>
      <c r="E668" t="b">
        <f>COUNTIF(connections!A:A, A668) &gt; 0</f>
        <v>1</v>
      </c>
      <c r="G668" t="s">
        <v>2350</v>
      </c>
      <c r="H668" t="s">
        <v>187</v>
      </c>
      <c r="I668" t="s">
        <v>2351</v>
      </c>
    </row>
    <row r="669" spans="1:10" ht="15" customHeight="1" x14ac:dyDescent="0.25">
      <c r="A669" t="s">
        <v>2352</v>
      </c>
      <c r="B669">
        <v>2018</v>
      </c>
      <c r="C669" t="s">
        <v>176</v>
      </c>
      <c r="D669" t="b">
        <f>FALSE()</f>
        <v>0</v>
      </c>
      <c r="E669" t="b">
        <f>COUNTIF(connections!A:A, A669) &gt; 0</f>
        <v>0</v>
      </c>
      <c r="G669" t="s">
        <v>2353</v>
      </c>
      <c r="H669" t="s">
        <v>187</v>
      </c>
      <c r="I669" t="s">
        <v>2354</v>
      </c>
      <c r="J669" s="1" t="s">
        <v>2355</v>
      </c>
    </row>
    <row r="670" spans="1:10" ht="15" customHeight="1" x14ac:dyDescent="0.25">
      <c r="A670" t="s">
        <v>90</v>
      </c>
      <c r="B670">
        <v>2017</v>
      </c>
      <c r="C670" t="s">
        <v>182</v>
      </c>
      <c r="D670" t="b">
        <f>TRUE()</f>
        <v>1</v>
      </c>
      <c r="E670" t="b">
        <f>COUNTIF(connections!A:A, A670) &gt; 0</f>
        <v>1</v>
      </c>
      <c r="G670" t="s">
        <v>2356</v>
      </c>
      <c r="H670" t="s">
        <v>187</v>
      </c>
      <c r="I670" t="s">
        <v>2357</v>
      </c>
      <c r="J670" s="1" t="s">
        <v>2358</v>
      </c>
    </row>
    <row r="671" spans="1:10" ht="15" customHeight="1" x14ac:dyDescent="0.25">
      <c r="A671" t="s">
        <v>38</v>
      </c>
      <c r="B671">
        <v>2026</v>
      </c>
      <c r="C671" t="s">
        <v>182</v>
      </c>
      <c r="D671" t="b">
        <f>TRUE()</f>
        <v>1</v>
      </c>
      <c r="E671" t="b">
        <f>COUNTIF(connections!A:A, A671) &gt; 0</f>
        <v>0</v>
      </c>
      <c r="G671" t="s">
        <v>2359</v>
      </c>
      <c r="H671" t="s">
        <v>187</v>
      </c>
      <c r="I671" t="s">
        <v>2360</v>
      </c>
      <c r="J671" s="1" t="s">
        <v>2361</v>
      </c>
    </row>
    <row r="672" spans="1:10" ht="15" customHeight="1" x14ac:dyDescent="0.25">
      <c r="A672" t="s">
        <v>2362</v>
      </c>
      <c r="B672">
        <v>2018</v>
      </c>
      <c r="C672" t="s">
        <v>222</v>
      </c>
      <c r="D672" t="b">
        <f>TRUE()</f>
        <v>1</v>
      </c>
      <c r="E672" t="b">
        <f>COUNTIF(connections!A:A, A672) &gt; 0</f>
        <v>1</v>
      </c>
      <c r="F672" t="s">
        <v>315</v>
      </c>
      <c r="G672" t="s">
        <v>2363</v>
      </c>
      <c r="H672" t="s">
        <v>187</v>
      </c>
      <c r="I672" t="s">
        <v>2364</v>
      </c>
      <c r="J672" s="1" t="s">
        <v>2365</v>
      </c>
    </row>
    <row r="673" spans="1:10" ht="15" customHeight="1" x14ac:dyDescent="0.25">
      <c r="A673" t="s">
        <v>2366</v>
      </c>
      <c r="B673">
        <v>2023</v>
      </c>
      <c r="C673" t="s">
        <v>176</v>
      </c>
      <c r="D673" t="b">
        <f>TRUE()</f>
        <v>1</v>
      </c>
      <c r="E673" t="b">
        <f>COUNTIF(connections!A:A, A673) &gt; 0</f>
        <v>1</v>
      </c>
      <c r="G673" t="s">
        <v>2367</v>
      </c>
      <c r="H673" t="s">
        <v>187</v>
      </c>
      <c r="I673" t="s">
        <v>2368</v>
      </c>
      <c r="J673" s="1" t="s">
        <v>2369</v>
      </c>
    </row>
    <row r="674" spans="1:10" ht="15" customHeight="1" x14ac:dyDescent="0.25">
      <c r="A674" t="s">
        <v>2370</v>
      </c>
      <c r="B674">
        <v>2025</v>
      </c>
      <c r="C674" t="s">
        <v>182</v>
      </c>
      <c r="D674" t="b">
        <f>TRUE()</f>
        <v>1</v>
      </c>
      <c r="E674" t="b">
        <f>COUNTIF(connections!A:A, A674) &gt; 0</f>
        <v>0</v>
      </c>
      <c r="F674" t="s">
        <v>354</v>
      </c>
      <c r="G674" t="s">
        <v>2371</v>
      </c>
    </row>
    <row r="675" spans="1:10" ht="15" customHeight="1" x14ac:dyDescent="0.25">
      <c r="A675" t="s">
        <v>2372</v>
      </c>
      <c r="B675">
        <v>2026</v>
      </c>
      <c r="C675" t="s">
        <v>182</v>
      </c>
      <c r="D675" t="b">
        <f>TRUE()</f>
        <v>1</v>
      </c>
      <c r="E675" t="b">
        <f>COUNTIF(connections!A:A, A675) &gt; 0</f>
        <v>0</v>
      </c>
      <c r="F675" t="s">
        <v>354</v>
      </c>
      <c r="G675" t="s">
        <v>2373</v>
      </c>
    </row>
    <row r="676" spans="1:10" ht="15" customHeight="1" x14ac:dyDescent="0.25">
      <c r="A676" t="s">
        <v>2374</v>
      </c>
      <c r="B676">
        <v>2025</v>
      </c>
      <c r="C676" t="s">
        <v>182</v>
      </c>
      <c r="D676" t="b">
        <f>FALSE()</f>
        <v>0</v>
      </c>
      <c r="E676" t="b">
        <f>COUNTIF(connections!A:A, A676) &gt; 0</f>
        <v>0</v>
      </c>
      <c r="F676" t="s">
        <v>354</v>
      </c>
      <c r="G676" t="s">
        <v>2375</v>
      </c>
      <c r="H676" t="s">
        <v>187</v>
      </c>
      <c r="I676" t="s">
        <v>2376</v>
      </c>
      <c r="J676" s="1" t="s">
        <v>2377</v>
      </c>
    </row>
    <row r="677" spans="1:10" ht="15" customHeight="1" x14ac:dyDescent="0.25">
      <c r="A677" t="s">
        <v>2378</v>
      </c>
      <c r="B677">
        <v>2021</v>
      </c>
      <c r="C677" t="s">
        <v>176</v>
      </c>
      <c r="D677" t="b">
        <f>TRUE()</f>
        <v>1</v>
      </c>
      <c r="E677" t="b">
        <f>COUNTIF(connections!A:A, A677) &gt; 0</f>
        <v>1</v>
      </c>
      <c r="G677" t="s">
        <v>2379</v>
      </c>
      <c r="H677" t="s">
        <v>187</v>
      </c>
      <c r="I677" t="s">
        <v>2380</v>
      </c>
      <c r="J677" s="1" t="s">
        <v>2381</v>
      </c>
    </row>
    <row r="678" spans="1:10" ht="15" customHeight="1" x14ac:dyDescent="0.25">
      <c r="A678" t="s">
        <v>2382</v>
      </c>
      <c r="B678">
        <v>2025</v>
      </c>
      <c r="C678" t="s">
        <v>176</v>
      </c>
      <c r="D678" t="b">
        <f>TRUE()</f>
        <v>1</v>
      </c>
      <c r="E678" t="b">
        <f>COUNTIF(connections!A:A, A678) &gt; 0</f>
        <v>0</v>
      </c>
      <c r="G678" t="s">
        <v>2383</v>
      </c>
      <c r="H678" t="s">
        <v>187</v>
      </c>
      <c r="I678" t="s">
        <v>2384</v>
      </c>
      <c r="J678" s="1" t="s">
        <v>2385</v>
      </c>
    </row>
    <row r="679" spans="1:10" ht="15" customHeight="1" x14ac:dyDescent="0.25">
      <c r="A679" t="s">
        <v>2386</v>
      </c>
      <c r="B679">
        <v>2025</v>
      </c>
      <c r="C679" t="s">
        <v>222</v>
      </c>
      <c r="D679" t="b">
        <v>1</v>
      </c>
      <c r="E679" t="b">
        <f>COUNTIF(connections!A:A, A679) &gt; 0</f>
        <v>0</v>
      </c>
      <c r="G679" t="s">
        <v>2387</v>
      </c>
      <c r="H679" t="s">
        <v>187</v>
      </c>
      <c r="I679" t="s">
        <v>2388</v>
      </c>
      <c r="J679" s="1" t="s">
        <v>2389</v>
      </c>
    </row>
    <row r="680" spans="1:10" ht="15" customHeight="1" x14ac:dyDescent="0.25">
      <c r="A680" t="s">
        <v>2390</v>
      </c>
      <c r="B680">
        <v>2016</v>
      </c>
      <c r="C680" t="s">
        <v>182</v>
      </c>
      <c r="D680" t="b">
        <f>FALSE()</f>
        <v>0</v>
      </c>
      <c r="E680" t="b">
        <f>COUNTIF(connections!A:A, A680) &gt; 0</f>
        <v>0</v>
      </c>
      <c r="G680" t="s">
        <v>2391</v>
      </c>
      <c r="H680" t="s">
        <v>187</v>
      </c>
      <c r="I680" t="s">
        <v>2392</v>
      </c>
      <c r="J680" s="1" t="s">
        <v>2393</v>
      </c>
    </row>
    <row r="681" spans="1:10" ht="15" customHeight="1" x14ac:dyDescent="0.25">
      <c r="A681" t="s">
        <v>2394</v>
      </c>
      <c r="B681">
        <v>2022</v>
      </c>
      <c r="C681" t="s">
        <v>179</v>
      </c>
      <c r="D681" t="b">
        <f>TRUE()</f>
        <v>1</v>
      </c>
      <c r="E681" t="b">
        <f>COUNTIF(connections!A:A, A681) &gt; 0</f>
        <v>1</v>
      </c>
      <c r="G681" t="s">
        <v>2395</v>
      </c>
    </row>
    <row r="682" spans="1:10" ht="15" customHeight="1" x14ac:dyDescent="0.25">
      <c r="A682" t="s">
        <v>2396</v>
      </c>
      <c r="B682">
        <v>2023</v>
      </c>
      <c r="C682" t="s">
        <v>179</v>
      </c>
      <c r="D682" t="b">
        <f>TRUE()</f>
        <v>1</v>
      </c>
      <c r="E682" t="b">
        <f>COUNTIF(connections!A:A, A682) &gt; 0</f>
        <v>0</v>
      </c>
      <c r="G682" t="s">
        <v>2397</v>
      </c>
    </row>
    <row r="683" spans="1:10" ht="15" customHeight="1" x14ac:dyDescent="0.25">
      <c r="A683" t="s">
        <v>2398</v>
      </c>
      <c r="B683">
        <v>2022</v>
      </c>
      <c r="C683" t="s">
        <v>176</v>
      </c>
      <c r="D683" t="b">
        <f>TRUE()</f>
        <v>1</v>
      </c>
      <c r="E683" t="b">
        <f>COUNTIF(connections!A:A, A683) &gt; 0</f>
        <v>0</v>
      </c>
      <c r="G683" t="s">
        <v>2399</v>
      </c>
      <c r="H683" t="s">
        <v>187</v>
      </c>
      <c r="I683" t="s">
        <v>2400</v>
      </c>
      <c r="J683" s="1" t="s">
        <v>2401</v>
      </c>
    </row>
    <row r="684" spans="1:10" ht="15" customHeight="1" x14ac:dyDescent="0.25">
      <c r="A684" t="s">
        <v>2402</v>
      </c>
      <c r="B684">
        <v>2015</v>
      </c>
      <c r="C684" t="s">
        <v>176</v>
      </c>
      <c r="D684" t="b">
        <f>FALSE()</f>
        <v>0</v>
      </c>
      <c r="E684" t="b">
        <f>COUNTIF(connections!A:A, A684) &gt; 0</f>
        <v>0</v>
      </c>
      <c r="F684" t="s">
        <v>274</v>
      </c>
      <c r="G684" t="s">
        <v>2403</v>
      </c>
    </row>
    <row r="685" spans="1:10" ht="15" customHeight="1" x14ac:dyDescent="0.25">
      <c r="A685" t="s">
        <v>2404</v>
      </c>
      <c r="B685">
        <v>2019</v>
      </c>
      <c r="C685" t="s">
        <v>176</v>
      </c>
      <c r="D685" t="b">
        <f>TRUE()</f>
        <v>1</v>
      </c>
      <c r="E685" t="b">
        <f>COUNTIF(connections!A:A, A685) &gt; 0</f>
        <v>1</v>
      </c>
      <c r="G685" t="s">
        <v>2405</v>
      </c>
      <c r="J685" s="1" t="s">
        <v>2406</v>
      </c>
    </row>
    <row r="686" spans="1:10" ht="15" customHeight="1" x14ac:dyDescent="0.25">
      <c r="A686" t="s">
        <v>2407</v>
      </c>
      <c r="B686">
        <v>2016</v>
      </c>
      <c r="C686" t="s">
        <v>179</v>
      </c>
      <c r="D686" t="b">
        <f>TRUE()</f>
        <v>1</v>
      </c>
      <c r="E686" t="b">
        <f>COUNTIF(connections!A:A, A686) &gt; 0</f>
        <v>0</v>
      </c>
      <c r="G686" t="s">
        <v>2408</v>
      </c>
      <c r="H686" t="s">
        <v>187</v>
      </c>
      <c r="I686" t="s">
        <v>2409</v>
      </c>
      <c r="J686" s="10" t="s">
        <v>2410</v>
      </c>
    </row>
    <row r="687" spans="1:10" ht="15" customHeight="1" x14ac:dyDescent="0.25">
      <c r="A687" t="s">
        <v>7911</v>
      </c>
      <c r="B687">
        <v>2019</v>
      </c>
      <c r="C687" t="s">
        <v>176</v>
      </c>
      <c r="D687" t="b">
        <f>TRUE()</f>
        <v>1</v>
      </c>
      <c r="E687" t="b">
        <f>COUNTIF(connections!A:A, A687) &gt; 0</f>
        <v>0</v>
      </c>
      <c r="G687" t="s">
        <v>7912</v>
      </c>
      <c r="J687" s="10" t="s">
        <v>7913</v>
      </c>
    </row>
    <row r="688" spans="1:10" ht="15" customHeight="1" x14ac:dyDescent="0.25">
      <c r="A688" t="s">
        <v>2411</v>
      </c>
      <c r="B688">
        <v>2022</v>
      </c>
      <c r="C688" t="s">
        <v>176</v>
      </c>
      <c r="D688" t="b">
        <f>TRUE()</f>
        <v>1</v>
      </c>
      <c r="E688" t="b">
        <f>COUNTIF(connections!A:A, A688) &gt; 0</f>
        <v>0</v>
      </c>
      <c r="G688" t="s">
        <v>2412</v>
      </c>
      <c r="H688" t="s">
        <v>187</v>
      </c>
      <c r="I688" t="s">
        <v>2413</v>
      </c>
      <c r="J688" s="1" t="s">
        <v>2414</v>
      </c>
    </row>
    <row r="689" spans="1:10" ht="15" customHeight="1" x14ac:dyDescent="0.25">
      <c r="A689" t="s">
        <v>2415</v>
      </c>
      <c r="B689">
        <v>2023</v>
      </c>
      <c r="C689" t="s">
        <v>222</v>
      </c>
      <c r="D689" t="b">
        <f>TRUE()</f>
        <v>1</v>
      </c>
      <c r="E689" t="b">
        <f>COUNTIF(connections!A:A, A689) &gt; 0</f>
        <v>0</v>
      </c>
      <c r="G689" t="s">
        <v>2416</v>
      </c>
    </row>
    <row r="690" spans="1:10" ht="15" customHeight="1" x14ac:dyDescent="0.25">
      <c r="A690" t="s">
        <v>2417</v>
      </c>
      <c r="B690">
        <v>2024</v>
      </c>
      <c r="C690" t="s">
        <v>182</v>
      </c>
      <c r="D690" t="b">
        <f>TRUE()</f>
        <v>1</v>
      </c>
      <c r="E690" t="b">
        <f>COUNTIF(connections!A:A, A690) &gt; 0</f>
        <v>0</v>
      </c>
      <c r="G690" t="s">
        <v>2418</v>
      </c>
      <c r="H690" t="s">
        <v>187</v>
      </c>
      <c r="I690" t="s">
        <v>2419</v>
      </c>
      <c r="J690" s="1" t="s">
        <v>2420</v>
      </c>
    </row>
    <row r="691" spans="1:10" ht="15" customHeight="1" x14ac:dyDescent="0.25">
      <c r="A691" t="s">
        <v>2421</v>
      </c>
      <c r="B691">
        <v>2012</v>
      </c>
      <c r="C691" t="s">
        <v>176</v>
      </c>
      <c r="D691" t="b">
        <f>TRUE()</f>
        <v>1</v>
      </c>
      <c r="E691" t="b">
        <f>COUNTIF(connections!A:A, A691) &gt; 0</f>
        <v>1</v>
      </c>
      <c r="G691" t="s">
        <v>2422</v>
      </c>
      <c r="H691" t="s">
        <v>187</v>
      </c>
      <c r="I691" t="s">
        <v>2423</v>
      </c>
      <c r="J691" s="1" t="s">
        <v>2424</v>
      </c>
    </row>
    <row r="692" spans="1:10" ht="15" customHeight="1" x14ac:dyDescent="0.25">
      <c r="A692" t="s">
        <v>2425</v>
      </c>
      <c r="B692">
        <v>2020</v>
      </c>
      <c r="C692" t="s">
        <v>176</v>
      </c>
      <c r="D692" t="b">
        <f>TRUE()</f>
        <v>1</v>
      </c>
      <c r="E692" t="b">
        <f>COUNTIF(connections!A:A, A692) &gt; 0</f>
        <v>0</v>
      </c>
      <c r="G692" t="s">
        <v>2426</v>
      </c>
      <c r="H692" t="s">
        <v>187</v>
      </c>
      <c r="I692" t="s">
        <v>2427</v>
      </c>
      <c r="J692" s="1" t="s">
        <v>2428</v>
      </c>
    </row>
    <row r="693" spans="1:10" ht="15" customHeight="1" x14ac:dyDescent="0.25">
      <c r="A693" t="s">
        <v>2429</v>
      </c>
      <c r="B693">
        <v>2008</v>
      </c>
      <c r="C693" t="s">
        <v>176</v>
      </c>
      <c r="D693" t="b">
        <f>TRUE()</f>
        <v>1</v>
      </c>
      <c r="E693" t="b">
        <f>COUNTIF(connections!A:A, A693) &gt; 0</f>
        <v>1</v>
      </c>
      <c r="G693" t="s">
        <v>2430</v>
      </c>
      <c r="H693" t="s">
        <v>187</v>
      </c>
      <c r="I693" t="s">
        <v>2431</v>
      </c>
    </row>
    <row r="694" spans="1:10" ht="15" customHeight="1" x14ac:dyDescent="0.25">
      <c r="A694" t="s">
        <v>2432</v>
      </c>
      <c r="B694">
        <v>2024</v>
      </c>
      <c r="C694" t="s">
        <v>182</v>
      </c>
      <c r="D694" t="b">
        <f>TRUE()</f>
        <v>1</v>
      </c>
      <c r="E694" t="b">
        <f>COUNTIF(connections!A:A, A694) &gt; 0</f>
        <v>0</v>
      </c>
      <c r="F694" t="s">
        <v>354</v>
      </c>
      <c r="G694" t="s">
        <v>2433</v>
      </c>
      <c r="H694" t="s">
        <v>187</v>
      </c>
      <c r="I694" t="s">
        <v>2434</v>
      </c>
      <c r="J694" s="1" t="s">
        <v>2435</v>
      </c>
    </row>
    <row r="695" spans="1:10" ht="15" customHeight="1" x14ac:dyDescent="0.25">
      <c r="A695" t="s">
        <v>2436</v>
      </c>
      <c r="B695">
        <v>2022</v>
      </c>
      <c r="C695" t="s">
        <v>176</v>
      </c>
      <c r="D695" t="b">
        <f>TRUE()</f>
        <v>1</v>
      </c>
      <c r="E695" t="b">
        <f>COUNTIF(connections!A:A, A695) &gt; 0</f>
        <v>0</v>
      </c>
      <c r="G695" t="s">
        <v>2437</v>
      </c>
      <c r="H695" t="s">
        <v>187</v>
      </c>
      <c r="I695" t="s">
        <v>2438</v>
      </c>
      <c r="J695" s="1" t="s">
        <v>2439</v>
      </c>
    </row>
    <row r="696" spans="1:10" ht="15" customHeight="1" x14ac:dyDescent="0.25">
      <c r="A696" t="s">
        <v>2440</v>
      </c>
      <c r="B696">
        <v>2023</v>
      </c>
      <c r="C696" t="s">
        <v>176</v>
      </c>
      <c r="D696" t="b">
        <f>TRUE()</f>
        <v>1</v>
      </c>
      <c r="E696" t="b">
        <f>COUNTIF(connections!A:A, A696) &gt; 0</f>
        <v>0</v>
      </c>
      <c r="G696" t="s">
        <v>2441</v>
      </c>
      <c r="H696" t="s">
        <v>187</v>
      </c>
      <c r="I696" t="s">
        <v>2442</v>
      </c>
      <c r="J696" s="1" t="s">
        <v>2443</v>
      </c>
    </row>
    <row r="697" spans="1:10" ht="15" customHeight="1" x14ac:dyDescent="0.25">
      <c r="A697" t="s">
        <v>2444</v>
      </c>
      <c r="B697">
        <v>2019</v>
      </c>
      <c r="C697" t="s">
        <v>176</v>
      </c>
      <c r="D697" t="b">
        <f>TRUE()</f>
        <v>1</v>
      </c>
      <c r="E697" t="b">
        <f>COUNTIF(connections!A:A, A697) &gt; 0</f>
        <v>1</v>
      </c>
      <c r="G697" t="s">
        <v>2445</v>
      </c>
      <c r="H697" t="s">
        <v>187</v>
      </c>
      <c r="I697" t="s">
        <v>2446</v>
      </c>
      <c r="J697" s="1" t="s">
        <v>2447</v>
      </c>
    </row>
    <row r="698" spans="1:10" ht="15" customHeight="1" x14ac:dyDescent="0.25">
      <c r="A698" t="s">
        <v>2448</v>
      </c>
      <c r="B698">
        <v>2014</v>
      </c>
      <c r="C698" t="s">
        <v>179</v>
      </c>
      <c r="D698" t="b">
        <f>TRUE()</f>
        <v>1</v>
      </c>
      <c r="E698" t="b">
        <f>COUNTIF(connections!A:A, A698) &gt; 0</f>
        <v>1</v>
      </c>
      <c r="G698" t="s">
        <v>2449</v>
      </c>
      <c r="H698" t="s">
        <v>187</v>
      </c>
      <c r="I698" t="s">
        <v>2450</v>
      </c>
      <c r="J698" s="1" t="s">
        <v>2451</v>
      </c>
    </row>
    <row r="699" spans="1:10" ht="15" customHeight="1" x14ac:dyDescent="0.25">
      <c r="A699" t="s">
        <v>2452</v>
      </c>
      <c r="B699">
        <v>2024</v>
      </c>
      <c r="C699" t="s">
        <v>176</v>
      </c>
      <c r="D699" t="b">
        <f>FALSE()</f>
        <v>0</v>
      </c>
      <c r="E699" t="b">
        <f>COUNTIF(connections!A:A, A699) &gt; 0</f>
        <v>0</v>
      </c>
      <c r="G699" t="s">
        <v>2453</v>
      </c>
      <c r="H699" t="s">
        <v>187</v>
      </c>
      <c r="I699" t="s">
        <v>2454</v>
      </c>
      <c r="J699" s="1" t="s">
        <v>2455</v>
      </c>
    </row>
    <row r="700" spans="1:10" ht="15" customHeight="1" x14ac:dyDescent="0.25">
      <c r="A700" t="s">
        <v>2456</v>
      </c>
      <c r="B700">
        <v>2025</v>
      </c>
      <c r="C700" t="s">
        <v>182</v>
      </c>
      <c r="D700" t="b">
        <f>TRUE()</f>
        <v>1</v>
      </c>
      <c r="E700" t="b">
        <f>COUNTIF(connections!A:A, A700) &gt; 0</f>
        <v>0</v>
      </c>
      <c r="G700" t="s">
        <v>2457</v>
      </c>
      <c r="H700" t="s">
        <v>187</v>
      </c>
      <c r="I700" t="s">
        <v>2458</v>
      </c>
      <c r="J700" s="1" t="s">
        <v>2459</v>
      </c>
    </row>
    <row r="701" spans="1:10" ht="15" customHeight="1" x14ac:dyDescent="0.25">
      <c r="A701" t="s">
        <v>2460</v>
      </c>
      <c r="B701">
        <v>2017</v>
      </c>
      <c r="C701" t="s">
        <v>176</v>
      </c>
      <c r="D701" t="b">
        <f>TRUE()</f>
        <v>1</v>
      </c>
      <c r="E701" t="b">
        <f>COUNTIF(connections!A:A, A701) &gt; 0</f>
        <v>1</v>
      </c>
      <c r="G701" t="s">
        <v>2461</v>
      </c>
      <c r="H701" t="s">
        <v>187</v>
      </c>
      <c r="I701" t="s">
        <v>2462</v>
      </c>
      <c r="J701" s="1" t="s">
        <v>2463</v>
      </c>
    </row>
    <row r="702" spans="1:10" ht="15" customHeight="1" x14ac:dyDescent="0.25">
      <c r="A702" t="s">
        <v>2464</v>
      </c>
      <c r="B702">
        <v>2023</v>
      </c>
      <c r="C702" t="s">
        <v>176</v>
      </c>
      <c r="D702" t="b">
        <f>TRUE()</f>
        <v>1</v>
      </c>
      <c r="E702" t="b">
        <f>COUNTIF(connections!A:A, A702) &gt; 0</f>
        <v>0</v>
      </c>
      <c r="F702" t="s">
        <v>274</v>
      </c>
      <c r="G702" t="s">
        <v>2465</v>
      </c>
      <c r="H702" t="s">
        <v>187</v>
      </c>
      <c r="I702" t="s">
        <v>2466</v>
      </c>
      <c r="J702" s="1" t="s">
        <v>2467</v>
      </c>
    </row>
    <row r="703" spans="1:10" ht="15" customHeight="1" x14ac:dyDescent="0.25">
      <c r="A703" t="s">
        <v>2468</v>
      </c>
      <c r="B703">
        <v>2025</v>
      </c>
      <c r="C703" t="s">
        <v>176</v>
      </c>
      <c r="D703" t="b">
        <f>TRUE()</f>
        <v>1</v>
      </c>
      <c r="E703" t="b">
        <f>COUNTIF(connections!A:A, A703) &gt; 0</f>
        <v>0</v>
      </c>
      <c r="G703" t="s">
        <v>2469</v>
      </c>
      <c r="H703" t="s">
        <v>187</v>
      </c>
      <c r="I703" t="s">
        <v>2470</v>
      </c>
      <c r="J703" s="1" t="s">
        <v>2471</v>
      </c>
    </row>
    <row r="704" spans="1:10" ht="15" customHeight="1" x14ac:dyDescent="0.25">
      <c r="A704" t="s">
        <v>2472</v>
      </c>
      <c r="B704">
        <v>2025</v>
      </c>
      <c r="C704" t="s">
        <v>182</v>
      </c>
      <c r="D704" t="b">
        <f>TRUE()</f>
        <v>1</v>
      </c>
      <c r="E704" t="b">
        <f>COUNTIF(connections!A:A, A704) &gt; 0</f>
        <v>0</v>
      </c>
      <c r="F704" t="s">
        <v>277</v>
      </c>
      <c r="G704" t="s">
        <v>2473</v>
      </c>
      <c r="H704" t="s">
        <v>187</v>
      </c>
      <c r="I704" t="s">
        <v>2474</v>
      </c>
      <c r="J704" s="1" t="s">
        <v>2475</v>
      </c>
    </row>
    <row r="705" spans="1:10" ht="15" customHeight="1" x14ac:dyDescent="0.25">
      <c r="A705" t="s">
        <v>2476</v>
      </c>
      <c r="B705">
        <v>2025</v>
      </c>
      <c r="C705" t="s">
        <v>182</v>
      </c>
      <c r="D705" t="b">
        <f>TRUE()</f>
        <v>1</v>
      </c>
      <c r="E705" t="b">
        <f>COUNTIF(connections!A:A, A705) &gt; 0</f>
        <v>0</v>
      </c>
      <c r="G705" t="s">
        <v>2477</v>
      </c>
    </row>
    <row r="706" spans="1:10" ht="15" customHeight="1" x14ac:dyDescent="0.25">
      <c r="A706" t="s">
        <v>2478</v>
      </c>
      <c r="B706">
        <v>2025</v>
      </c>
      <c r="C706" t="s">
        <v>176</v>
      </c>
      <c r="D706" t="b">
        <f>FALSE()</f>
        <v>0</v>
      </c>
      <c r="E706" t="b">
        <f>COUNTIF(connections!A:A, A706) &gt; 0</f>
        <v>0</v>
      </c>
      <c r="G706" t="s">
        <v>2479</v>
      </c>
      <c r="H706" t="s">
        <v>187</v>
      </c>
      <c r="I706" t="s">
        <v>2480</v>
      </c>
      <c r="J706" s="1" t="s">
        <v>2481</v>
      </c>
    </row>
    <row r="707" spans="1:10" ht="15" customHeight="1" x14ac:dyDescent="0.25">
      <c r="A707" t="s">
        <v>2482</v>
      </c>
      <c r="B707">
        <v>2020</v>
      </c>
      <c r="C707" t="s">
        <v>179</v>
      </c>
      <c r="D707" t="b">
        <f>TRUE()</f>
        <v>1</v>
      </c>
      <c r="E707" t="b">
        <f>COUNTIF(connections!A:A, A707) &gt; 0</f>
        <v>1</v>
      </c>
      <c r="G707" t="s">
        <v>2483</v>
      </c>
    </row>
    <row r="708" spans="1:10" ht="15" customHeight="1" x14ac:dyDescent="0.25">
      <c r="A708" t="s">
        <v>2484</v>
      </c>
      <c r="B708">
        <v>2023</v>
      </c>
      <c r="C708" t="s">
        <v>222</v>
      </c>
      <c r="D708" t="b">
        <f>FALSE()</f>
        <v>0</v>
      </c>
      <c r="E708" t="b">
        <f>COUNTIF(connections!A:A, A708) &gt; 0</f>
        <v>0</v>
      </c>
      <c r="F708" t="s">
        <v>458</v>
      </c>
      <c r="G708" t="s">
        <v>2485</v>
      </c>
    </row>
    <row r="709" spans="1:10" ht="15" customHeight="1" x14ac:dyDescent="0.25">
      <c r="A709" t="s">
        <v>2486</v>
      </c>
      <c r="B709">
        <v>2017</v>
      </c>
      <c r="C709" t="s">
        <v>176</v>
      </c>
      <c r="D709" t="b">
        <v>1</v>
      </c>
      <c r="E709" t="b">
        <f>COUNTIF(connections!A:A, A709) &gt; 0</f>
        <v>0</v>
      </c>
      <c r="G709" t="s">
        <v>2487</v>
      </c>
      <c r="H709" t="s">
        <v>187</v>
      </c>
      <c r="I709" t="s">
        <v>2488</v>
      </c>
      <c r="J709" s="10" t="s">
        <v>2489</v>
      </c>
    </row>
    <row r="710" spans="1:10" ht="15" customHeight="1" x14ac:dyDescent="0.25">
      <c r="A710" t="s">
        <v>2490</v>
      </c>
      <c r="B710">
        <v>2002</v>
      </c>
      <c r="C710" t="s">
        <v>222</v>
      </c>
      <c r="D710" t="b">
        <f>TRUE()</f>
        <v>1</v>
      </c>
      <c r="E710" t="b">
        <f>COUNTIF(connections!A:A, A710) &gt; 0</f>
        <v>1</v>
      </c>
      <c r="F710" t="s">
        <v>274</v>
      </c>
      <c r="G710" t="s">
        <v>2491</v>
      </c>
      <c r="H710" t="s">
        <v>187</v>
      </c>
      <c r="I710" t="s">
        <v>2492</v>
      </c>
    </row>
    <row r="711" spans="1:10" ht="15" customHeight="1" x14ac:dyDescent="0.25">
      <c r="A711" t="s">
        <v>2493</v>
      </c>
      <c r="B711">
        <v>2019</v>
      </c>
      <c r="C711" t="s">
        <v>176</v>
      </c>
      <c r="D711" t="b">
        <f>TRUE()</f>
        <v>1</v>
      </c>
      <c r="E711" t="b">
        <f>COUNTIF(connections!A:A, A711) &gt; 0</f>
        <v>0</v>
      </c>
      <c r="G711" t="s">
        <v>2494</v>
      </c>
      <c r="H711" t="s">
        <v>187</v>
      </c>
      <c r="I711" t="s">
        <v>2495</v>
      </c>
      <c r="J711" s="1" t="s">
        <v>2496</v>
      </c>
    </row>
    <row r="712" spans="1:10" ht="15" customHeight="1" x14ac:dyDescent="0.25">
      <c r="A712" t="s">
        <v>2497</v>
      </c>
      <c r="B712">
        <v>2024</v>
      </c>
      <c r="C712" t="s">
        <v>176</v>
      </c>
      <c r="D712" t="b">
        <f>TRUE()</f>
        <v>1</v>
      </c>
      <c r="E712" t="b">
        <f>COUNTIF(connections!A:A, A712) &gt; 0</f>
        <v>0</v>
      </c>
      <c r="G712" t="s">
        <v>2498</v>
      </c>
    </row>
    <row r="713" spans="1:10" ht="15" customHeight="1" x14ac:dyDescent="0.25">
      <c r="A713" t="s">
        <v>2499</v>
      </c>
      <c r="B713">
        <v>2017</v>
      </c>
      <c r="C713" t="s">
        <v>176</v>
      </c>
      <c r="D713" t="b">
        <f>TRUE()</f>
        <v>1</v>
      </c>
      <c r="E713" t="b">
        <f>COUNTIF(connections!A:A, A713) &gt; 0</f>
        <v>1</v>
      </c>
      <c r="G713" t="s">
        <v>2500</v>
      </c>
      <c r="H713" t="s">
        <v>187</v>
      </c>
      <c r="I713" t="s">
        <v>2501</v>
      </c>
      <c r="J713" s="1" t="s">
        <v>2502</v>
      </c>
    </row>
    <row r="714" spans="1:10" ht="15" customHeight="1" x14ac:dyDescent="0.25">
      <c r="A714" t="s">
        <v>2503</v>
      </c>
      <c r="B714">
        <v>2015</v>
      </c>
      <c r="C714" t="s">
        <v>222</v>
      </c>
      <c r="D714" t="b">
        <f>TRUE()</f>
        <v>1</v>
      </c>
      <c r="E714" t="b">
        <f>COUNTIF(connections!A:A, A714) &gt; 0</f>
        <v>1</v>
      </c>
      <c r="F714" t="s">
        <v>652</v>
      </c>
      <c r="G714" t="s">
        <v>2504</v>
      </c>
      <c r="H714" t="s">
        <v>187</v>
      </c>
      <c r="I714" t="s">
        <v>2505</v>
      </c>
      <c r="J714" s="1" t="s">
        <v>2506</v>
      </c>
    </row>
    <row r="715" spans="1:10" ht="15" customHeight="1" x14ac:dyDescent="0.25">
      <c r="A715" t="s">
        <v>2507</v>
      </c>
      <c r="B715">
        <v>2021</v>
      </c>
      <c r="C715" t="s">
        <v>222</v>
      </c>
      <c r="D715" t="b">
        <f>TRUE()</f>
        <v>1</v>
      </c>
      <c r="E715" t="b">
        <f>COUNTIF(connections!A:A, A715) &gt; 0</f>
        <v>1</v>
      </c>
      <c r="G715" t="s">
        <v>2508</v>
      </c>
      <c r="H715" t="s">
        <v>187</v>
      </c>
      <c r="I715" t="s">
        <v>2509</v>
      </c>
      <c r="J715" s="1" t="s">
        <v>2510</v>
      </c>
    </row>
    <row r="716" spans="1:10" ht="15" customHeight="1" x14ac:dyDescent="0.25">
      <c r="A716" t="s">
        <v>2511</v>
      </c>
      <c r="B716">
        <v>2022</v>
      </c>
      <c r="C716" t="s">
        <v>182</v>
      </c>
      <c r="D716" t="b">
        <f>FALSE()</f>
        <v>0</v>
      </c>
      <c r="E716" t="b">
        <f>COUNTIF(connections!A:A, A716) &gt; 0</f>
        <v>0</v>
      </c>
      <c r="G716" t="s">
        <v>2512</v>
      </c>
      <c r="H716" t="s">
        <v>187</v>
      </c>
      <c r="I716" t="s">
        <v>2513</v>
      </c>
      <c r="J716" s="1" t="s">
        <v>2514</v>
      </c>
    </row>
    <row r="717" spans="1:10" ht="15" customHeight="1" x14ac:dyDescent="0.25">
      <c r="A717" t="s">
        <v>2515</v>
      </c>
      <c r="B717">
        <v>2025</v>
      </c>
      <c r="C717" t="s">
        <v>222</v>
      </c>
      <c r="D717" t="b">
        <f>TRUE()</f>
        <v>1</v>
      </c>
      <c r="E717" t="b">
        <f>COUNTIF(connections!A:A, A717) &gt; 0</f>
        <v>0</v>
      </c>
      <c r="G717" t="s">
        <v>2516</v>
      </c>
      <c r="H717" t="s">
        <v>187</v>
      </c>
      <c r="I717" t="s">
        <v>2517</v>
      </c>
      <c r="J717" s="1" t="s">
        <v>2518</v>
      </c>
    </row>
    <row r="718" spans="1:10" ht="15" customHeight="1" x14ac:dyDescent="0.25">
      <c r="A718" t="s">
        <v>2519</v>
      </c>
      <c r="B718">
        <v>2013</v>
      </c>
      <c r="C718" t="s">
        <v>176</v>
      </c>
      <c r="D718" t="b">
        <f>TRUE()</f>
        <v>1</v>
      </c>
      <c r="E718" t="b">
        <f>COUNTIF(connections!A:A, A718) &gt; 0</f>
        <v>1</v>
      </c>
      <c r="G718" t="s">
        <v>2520</v>
      </c>
      <c r="H718" t="s">
        <v>187</v>
      </c>
      <c r="I718" t="s">
        <v>2521</v>
      </c>
      <c r="J718" s="1" t="s">
        <v>2522</v>
      </c>
    </row>
    <row r="719" spans="1:10" ht="15" customHeight="1" x14ac:dyDescent="0.25">
      <c r="A719" t="s">
        <v>2523</v>
      </c>
      <c r="B719">
        <v>2025</v>
      </c>
      <c r="C719" t="s">
        <v>182</v>
      </c>
      <c r="D719" t="b">
        <f>TRUE()</f>
        <v>1</v>
      </c>
      <c r="E719" t="b">
        <f>COUNTIF(connections!A:A, A719) &gt; 0</f>
        <v>1</v>
      </c>
      <c r="G719" t="s">
        <v>2524</v>
      </c>
    </row>
    <row r="720" spans="1:10" ht="15" customHeight="1" x14ac:dyDescent="0.25">
      <c r="A720" t="s">
        <v>2525</v>
      </c>
      <c r="B720">
        <v>2025</v>
      </c>
      <c r="C720" t="s">
        <v>176</v>
      </c>
      <c r="D720" t="b">
        <f>TRUE()</f>
        <v>1</v>
      </c>
      <c r="E720" t="b">
        <f>COUNTIF(connections!A:A, A720) &gt; 0</f>
        <v>0</v>
      </c>
      <c r="G720" t="s">
        <v>2526</v>
      </c>
    </row>
    <row r="721" spans="1:10" ht="15" customHeight="1" x14ac:dyDescent="0.25">
      <c r="A721" t="s">
        <v>2527</v>
      </c>
      <c r="B721">
        <v>2023</v>
      </c>
      <c r="C721" t="s">
        <v>176</v>
      </c>
      <c r="D721" t="b">
        <f>TRUE()</f>
        <v>1</v>
      </c>
      <c r="E721" t="b">
        <f>COUNTIF(connections!A:A, A721) &gt; 0</f>
        <v>0</v>
      </c>
      <c r="F721" t="s">
        <v>277</v>
      </c>
      <c r="G721" t="s">
        <v>2528</v>
      </c>
      <c r="H721" t="s">
        <v>187</v>
      </c>
      <c r="I721" t="s">
        <v>2529</v>
      </c>
      <c r="J721" s="1" t="s">
        <v>2530</v>
      </c>
    </row>
    <row r="722" spans="1:10" ht="15" customHeight="1" x14ac:dyDescent="0.25">
      <c r="A722" t="s">
        <v>2531</v>
      </c>
      <c r="B722">
        <v>2016</v>
      </c>
      <c r="C722" t="s">
        <v>176</v>
      </c>
      <c r="D722" t="b">
        <f>TRUE()</f>
        <v>1</v>
      </c>
      <c r="E722" t="b">
        <f>COUNTIF(connections!A:A, A722) &gt; 0</f>
        <v>0</v>
      </c>
      <c r="F722" t="s">
        <v>787</v>
      </c>
      <c r="G722" t="s">
        <v>2532</v>
      </c>
      <c r="H722" t="s">
        <v>187</v>
      </c>
      <c r="I722" t="s">
        <v>2533</v>
      </c>
      <c r="J722" s="1" t="s">
        <v>2534</v>
      </c>
    </row>
    <row r="723" spans="1:10" ht="15" customHeight="1" x14ac:dyDescent="0.25">
      <c r="A723" t="s">
        <v>2535</v>
      </c>
      <c r="B723">
        <v>1982</v>
      </c>
      <c r="C723" t="s">
        <v>179</v>
      </c>
      <c r="D723" t="b">
        <f>TRUE()</f>
        <v>1</v>
      </c>
      <c r="E723" t="b">
        <f>COUNTIF(connections!A:A, A723) &gt; 0</f>
        <v>1</v>
      </c>
      <c r="G723" t="s">
        <v>2536</v>
      </c>
      <c r="J723" s="10" t="s">
        <v>2537</v>
      </c>
    </row>
    <row r="724" spans="1:10" ht="15" customHeight="1" x14ac:dyDescent="0.25">
      <c r="A724" t="s">
        <v>2538</v>
      </c>
      <c r="B724">
        <v>2021</v>
      </c>
      <c r="C724" t="s">
        <v>176</v>
      </c>
      <c r="D724" t="b">
        <f>TRUE()</f>
        <v>1</v>
      </c>
      <c r="E724" t="b">
        <f>COUNTIF(connections!A:A, A724) &gt; 0</f>
        <v>1</v>
      </c>
      <c r="G724" t="s">
        <v>2539</v>
      </c>
      <c r="J724" s="10" t="s">
        <v>2540</v>
      </c>
    </row>
    <row r="725" spans="1:10" ht="15" customHeight="1" x14ac:dyDescent="0.25">
      <c r="A725" t="s">
        <v>2541</v>
      </c>
      <c r="B725">
        <v>2025</v>
      </c>
      <c r="C725" t="s">
        <v>176</v>
      </c>
      <c r="D725" t="b">
        <f>TRUE()</f>
        <v>1</v>
      </c>
      <c r="E725" t="b">
        <f>COUNTIF(connections!A:A, A725) &gt; 0</f>
        <v>0</v>
      </c>
      <c r="G725" t="s">
        <v>2542</v>
      </c>
      <c r="J725" s="10" t="s">
        <v>2543</v>
      </c>
    </row>
    <row r="726" spans="1:10" ht="15" customHeight="1" x14ac:dyDescent="0.25">
      <c r="A726" t="s">
        <v>2544</v>
      </c>
      <c r="B726">
        <v>2013</v>
      </c>
      <c r="C726" t="s">
        <v>179</v>
      </c>
      <c r="D726" t="b">
        <f>TRUE()</f>
        <v>1</v>
      </c>
      <c r="E726" t="b">
        <f>COUNTIF(connections!A:A, A726) &gt; 0</f>
        <v>0</v>
      </c>
      <c r="G726" t="s">
        <v>2545</v>
      </c>
      <c r="J726" s="1" t="s">
        <v>2546</v>
      </c>
    </row>
    <row r="727" spans="1:10" ht="15" customHeight="1" x14ac:dyDescent="0.25">
      <c r="A727" t="s">
        <v>2547</v>
      </c>
      <c r="B727">
        <v>2022</v>
      </c>
      <c r="C727" t="s">
        <v>176</v>
      </c>
      <c r="D727" t="b">
        <f>TRUE()</f>
        <v>1</v>
      </c>
      <c r="E727" t="b">
        <f>COUNTIF(connections!A:A, A727) &gt; 0</f>
        <v>0</v>
      </c>
      <c r="G727" t="s">
        <v>2548</v>
      </c>
      <c r="H727" t="s">
        <v>187</v>
      </c>
      <c r="I727" t="s">
        <v>2549</v>
      </c>
      <c r="J727" s="1" t="s">
        <v>2550</v>
      </c>
    </row>
    <row r="728" spans="1:10" ht="15" customHeight="1" x14ac:dyDescent="0.25">
      <c r="A728" t="s">
        <v>2551</v>
      </c>
      <c r="B728">
        <v>2025</v>
      </c>
      <c r="C728" t="s">
        <v>176</v>
      </c>
      <c r="D728" t="b">
        <f>TRUE()</f>
        <v>1</v>
      </c>
      <c r="E728" t="b">
        <f>COUNTIF(connections!A:A, A728) &gt; 0</f>
        <v>0</v>
      </c>
      <c r="G728" t="s">
        <v>2552</v>
      </c>
      <c r="H728" t="s">
        <v>187</v>
      </c>
      <c r="I728" t="s">
        <v>2553</v>
      </c>
      <c r="J728" s="1" t="s">
        <v>2554</v>
      </c>
    </row>
    <row r="729" spans="1:10" ht="15" customHeight="1" x14ac:dyDescent="0.25">
      <c r="A729" t="s">
        <v>2555</v>
      </c>
      <c r="B729">
        <v>2021</v>
      </c>
      <c r="C729" t="s">
        <v>176</v>
      </c>
      <c r="D729" t="b">
        <f>TRUE()</f>
        <v>1</v>
      </c>
      <c r="E729" t="b">
        <f>COUNTIF(connections!A:A, A729) &gt; 0</f>
        <v>0</v>
      </c>
      <c r="G729" t="s">
        <v>2556</v>
      </c>
    </row>
    <row r="730" spans="1:10" ht="14.25" customHeight="1" x14ac:dyDescent="0.25">
      <c r="A730" t="s">
        <v>2557</v>
      </c>
      <c r="B730">
        <v>2018</v>
      </c>
      <c r="C730" t="s">
        <v>176</v>
      </c>
      <c r="D730" t="b">
        <f>TRUE()</f>
        <v>1</v>
      </c>
      <c r="E730" t="b">
        <f>COUNTIF(connections!A:A, A730) &gt; 0</f>
        <v>1</v>
      </c>
      <c r="G730" t="s">
        <v>2558</v>
      </c>
      <c r="H730" t="s">
        <v>187</v>
      </c>
      <c r="I730" t="s">
        <v>2559</v>
      </c>
      <c r="J730" s="1" t="s">
        <v>2560</v>
      </c>
    </row>
    <row r="731" spans="1:10" ht="15" customHeight="1" x14ac:dyDescent="0.25">
      <c r="A731" t="s">
        <v>2561</v>
      </c>
      <c r="B731">
        <v>2026</v>
      </c>
      <c r="C731" t="s">
        <v>222</v>
      </c>
      <c r="D731" t="b">
        <f>TRUE()</f>
        <v>1</v>
      </c>
      <c r="E731" t="b">
        <f>COUNTIF(connections!A:A, A731) &gt; 0</f>
        <v>0</v>
      </c>
      <c r="G731" t="s">
        <v>2562</v>
      </c>
      <c r="J731" s="1" t="s">
        <v>2563</v>
      </c>
    </row>
    <row r="732" spans="1:10" x14ac:dyDescent="0.25">
      <c r="A732" t="s">
        <v>2564</v>
      </c>
      <c r="B732">
        <v>2020</v>
      </c>
      <c r="C732" t="s">
        <v>182</v>
      </c>
      <c r="D732" t="b">
        <f>TRUE()</f>
        <v>1</v>
      </c>
      <c r="E732" t="b">
        <f>COUNTIF(connections!A:A, A732) &gt; 0</f>
        <v>0</v>
      </c>
      <c r="G732" t="s">
        <v>2565</v>
      </c>
      <c r="H732" t="s">
        <v>187</v>
      </c>
      <c r="I732" t="s">
        <v>2566</v>
      </c>
      <c r="J732" s="1" t="s">
        <v>2567</v>
      </c>
    </row>
    <row r="733" spans="1:10" x14ac:dyDescent="0.25">
      <c r="A733" t="s">
        <v>2568</v>
      </c>
      <c r="B733">
        <v>2023</v>
      </c>
      <c r="C733" t="s">
        <v>176</v>
      </c>
      <c r="D733" t="b">
        <f>TRUE()</f>
        <v>1</v>
      </c>
      <c r="E733" t="b">
        <f>COUNTIF(connections!A:A, A733) &gt; 0</f>
        <v>0</v>
      </c>
      <c r="G733" t="s">
        <v>2569</v>
      </c>
      <c r="H733" t="s">
        <v>187</v>
      </c>
      <c r="I733" t="s">
        <v>2570</v>
      </c>
      <c r="J733" s="1" t="s">
        <v>2571</v>
      </c>
    </row>
    <row r="734" spans="1:10" x14ac:dyDescent="0.25">
      <c r="A734" t="s">
        <v>2572</v>
      </c>
      <c r="B734">
        <v>1998</v>
      </c>
      <c r="C734" t="s">
        <v>179</v>
      </c>
      <c r="D734" t="b">
        <f>TRUE()</f>
        <v>1</v>
      </c>
      <c r="E734" t="b">
        <f>COUNTIF(connections!A:A, A734) &gt; 0</f>
        <v>1</v>
      </c>
      <c r="G734" t="s">
        <v>2573</v>
      </c>
      <c r="H734" t="s">
        <v>187</v>
      </c>
      <c r="I734" t="s">
        <v>2574</v>
      </c>
      <c r="J734" s="1" t="s">
        <v>2575</v>
      </c>
    </row>
    <row r="735" spans="1:10" x14ac:dyDescent="0.25">
      <c r="A735" t="s">
        <v>2576</v>
      </c>
      <c r="B735">
        <v>2026</v>
      </c>
      <c r="C735" t="s">
        <v>182</v>
      </c>
      <c r="D735" t="b">
        <f>TRUE()</f>
        <v>1</v>
      </c>
      <c r="E735" t="b">
        <f>COUNTIF(connections!A:A, A735) &gt; 0</f>
        <v>0</v>
      </c>
      <c r="G735" t="s">
        <v>2577</v>
      </c>
      <c r="J735" s="10" t="s">
        <v>2578</v>
      </c>
    </row>
    <row r="736" spans="1:10" x14ac:dyDescent="0.25">
      <c r="A736" t="s">
        <v>2579</v>
      </c>
      <c r="B736">
        <v>2017</v>
      </c>
      <c r="C736" t="s">
        <v>179</v>
      </c>
      <c r="D736" t="b">
        <f>TRUE()</f>
        <v>1</v>
      </c>
      <c r="E736" t="b">
        <f>COUNTIF(connections!A:A, A736) &gt; 0</f>
        <v>1</v>
      </c>
      <c r="G736" t="s">
        <v>2580</v>
      </c>
      <c r="H736" t="s">
        <v>187</v>
      </c>
      <c r="I736" t="s">
        <v>2581</v>
      </c>
      <c r="J736" s="1" t="s">
        <v>2582</v>
      </c>
    </row>
    <row r="737" spans="1:10" x14ac:dyDescent="0.25">
      <c r="A737" t="s">
        <v>2583</v>
      </c>
      <c r="B737">
        <v>2026</v>
      </c>
      <c r="C737" t="s">
        <v>222</v>
      </c>
      <c r="D737" t="b">
        <f>FALSE()</f>
        <v>0</v>
      </c>
      <c r="E737" t="b">
        <f>COUNTIF(connections!A:A, A737) &gt; 0</f>
        <v>0</v>
      </c>
      <c r="F737" t="s">
        <v>2584</v>
      </c>
      <c r="G737" t="s">
        <v>2585</v>
      </c>
      <c r="H737" t="s">
        <v>187</v>
      </c>
      <c r="I737" t="s">
        <v>2586</v>
      </c>
      <c r="J737" s="1" t="s">
        <v>2587</v>
      </c>
    </row>
    <row r="738" spans="1:10" x14ac:dyDescent="0.25">
      <c r="A738" t="s">
        <v>2588</v>
      </c>
      <c r="B738">
        <v>2006</v>
      </c>
      <c r="C738" t="s">
        <v>179</v>
      </c>
      <c r="D738" t="b">
        <f>TRUE()</f>
        <v>1</v>
      </c>
      <c r="E738" t="b">
        <f>COUNTIF(connections!A:A, A738) &gt; 0</f>
        <v>0</v>
      </c>
      <c r="G738" t="s">
        <v>2589</v>
      </c>
      <c r="H738" t="s">
        <v>187</v>
      </c>
      <c r="I738" t="s">
        <v>2590</v>
      </c>
    </row>
    <row r="739" spans="1:10" x14ac:dyDescent="0.25">
      <c r="A739" t="s">
        <v>2591</v>
      </c>
      <c r="B739">
        <v>2023</v>
      </c>
      <c r="C739" t="s">
        <v>176</v>
      </c>
      <c r="D739" t="b">
        <f>TRUE()</f>
        <v>1</v>
      </c>
      <c r="E739" t="b">
        <f>COUNTIF(connections!A:A, A739) &gt; 0</f>
        <v>0</v>
      </c>
      <c r="F739" t="s">
        <v>614</v>
      </c>
      <c r="G739" t="s">
        <v>2592</v>
      </c>
      <c r="H739" t="s">
        <v>187</v>
      </c>
      <c r="I739" t="s">
        <v>2593</v>
      </c>
      <c r="J739" s="1" t="s">
        <v>2594</v>
      </c>
    </row>
    <row r="740" spans="1:10" x14ac:dyDescent="0.25">
      <c r="A740" t="s">
        <v>2595</v>
      </c>
      <c r="B740">
        <v>2019</v>
      </c>
      <c r="C740" t="s">
        <v>222</v>
      </c>
      <c r="D740" t="b">
        <f>TRUE()</f>
        <v>1</v>
      </c>
      <c r="E740" t="b">
        <f>COUNTIF(connections!A:A, A740) &gt; 0</f>
        <v>1</v>
      </c>
      <c r="G740" t="s">
        <v>2596</v>
      </c>
    </row>
    <row r="741" spans="1:10" x14ac:dyDescent="0.25">
      <c r="A741" t="s">
        <v>2597</v>
      </c>
      <c r="B741">
        <v>2026</v>
      </c>
      <c r="C741" t="s">
        <v>176</v>
      </c>
      <c r="D741" t="b">
        <v>1</v>
      </c>
      <c r="E741" t="b">
        <f>COUNTIF(connections!A:A, A741) &gt; 0</f>
        <v>0</v>
      </c>
      <c r="G741" t="s">
        <v>2598</v>
      </c>
      <c r="J741" s="10" t="s">
        <v>2599</v>
      </c>
    </row>
    <row r="742" spans="1:10" x14ac:dyDescent="0.25">
      <c r="A742" t="s">
        <v>2600</v>
      </c>
      <c r="B742">
        <v>2024</v>
      </c>
      <c r="C742" t="s">
        <v>176</v>
      </c>
      <c r="D742" t="b">
        <f>TRUE()</f>
        <v>1</v>
      </c>
      <c r="E742" t="b">
        <f>COUNTIF(connections!A:A, A742) &gt; 0</f>
        <v>0</v>
      </c>
      <c r="G742" t="s">
        <v>2601</v>
      </c>
      <c r="H742" t="s">
        <v>187</v>
      </c>
      <c r="I742" t="s">
        <v>2602</v>
      </c>
      <c r="J742" s="1" t="s">
        <v>2603</v>
      </c>
    </row>
    <row r="743" spans="1:10" x14ac:dyDescent="0.25">
      <c r="A743" t="s">
        <v>2604</v>
      </c>
      <c r="B743">
        <v>2024</v>
      </c>
      <c r="C743" t="s">
        <v>176</v>
      </c>
      <c r="D743" t="b">
        <f>TRUE()</f>
        <v>1</v>
      </c>
      <c r="E743" t="b">
        <f>COUNTIF(connections!A:A, A743) &gt; 0</f>
        <v>0</v>
      </c>
      <c r="G743" t="s">
        <v>2605</v>
      </c>
    </row>
    <row r="744" spans="1:10" x14ac:dyDescent="0.25">
      <c r="A744" t="s">
        <v>2606</v>
      </c>
      <c r="B744">
        <v>2022</v>
      </c>
      <c r="C744" t="s">
        <v>222</v>
      </c>
      <c r="D744" t="b">
        <f>TRUE()</f>
        <v>1</v>
      </c>
      <c r="E744" t="b">
        <f>COUNTIF(connections!A:A, A744) &gt; 0</f>
        <v>0</v>
      </c>
      <c r="G744" t="s">
        <v>2607</v>
      </c>
      <c r="H744" t="s">
        <v>187</v>
      </c>
      <c r="I744" t="s">
        <v>2608</v>
      </c>
      <c r="J744" s="1" t="s">
        <v>2609</v>
      </c>
    </row>
    <row r="745" spans="1:10" x14ac:dyDescent="0.25">
      <c r="A745" t="s">
        <v>2610</v>
      </c>
      <c r="B745">
        <v>2026</v>
      </c>
      <c r="C745" t="s">
        <v>176</v>
      </c>
      <c r="D745" t="b">
        <f>TRUE()</f>
        <v>1</v>
      </c>
      <c r="E745" t="b">
        <f>COUNTIF(connections!A:A, A745) &gt; 0</f>
        <v>0</v>
      </c>
      <c r="G745" t="s">
        <v>2611</v>
      </c>
      <c r="J745" s="10" t="s">
        <v>2612</v>
      </c>
    </row>
    <row r="746" spans="1:10" x14ac:dyDescent="0.25">
      <c r="A746" t="s">
        <v>2613</v>
      </c>
      <c r="B746">
        <v>2024</v>
      </c>
      <c r="C746" t="s">
        <v>176</v>
      </c>
      <c r="D746" t="b">
        <f>TRUE()</f>
        <v>1</v>
      </c>
      <c r="E746" t="b">
        <f>COUNTIF(connections!A:A, A746) &gt; 0</f>
        <v>0</v>
      </c>
      <c r="G746" t="s">
        <v>2614</v>
      </c>
    </row>
    <row r="747" spans="1:10" x14ac:dyDescent="0.25">
      <c r="A747" t="s">
        <v>2615</v>
      </c>
      <c r="B747">
        <v>2025</v>
      </c>
      <c r="C747" t="s">
        <v>222</v>
      </c>
      <c r="D747" t="b">
        <f>TRUE()</f>
        <v>1</v>
      </c>
      <c r="E747" t="b">
        <f>COUNTIF(connections!A:A, A747) &gt; 0</f>
        <v>1</v>
      </c>
      <c r="G747" t="s">
        <v>2616</v>
      </c>
    </row>
    <row r="748" spans="1:10" x14ac:dyDescent="0.25">
      <c r="A748" t="s">
        <v>160</v>
      </c>
      <c r="B748">
        <v>2011</v>
      </c>
      <c r="C748" t="s">
        <v>176</v>
      </c>
      <c r="D748" t="b">
        <f>TRUE()</f>
        <v>1</v>
      </c>
      <c r="E748" t="b">
        <f>COUNTIF(connections!A:A, A748) &gt; 0</f>
        <v>1</v>
      </c>
      <c r="G748" t="s">
        <v>2617</v>
      </c>
      <c r="H748" t="s">
        <v>187</v>
      </c>
      <c r="I748" t="s">
        <v>2618</v>
      </c>
      <c r="J748" s="1" t="s">
        <v>2619</v>
      </c>
    </row>
    <row r="749" spans="1:10" x14ac:dyDescent="0.25">
      <c r="A749" t="s">
        <v>2620</v>
      </c>
      <c r="B749">
        <v>2014</v>
      </c>
      <c r="C749" t="s">
        <v>176</v>
      </c>
      <c r="D749" t="b">
        <f>TRUE()</f>
        <v>1</v>
      </c>
      <c r="E749" t="b">
        <f>COUNTIF(connections!A:A, A749) &gt; 0</f>
        <v>0</v>
      </c>
      <c r="G749" t="s">
        <v>2621</v>
      </c>
      <c r="H749" t="s">
        <v>187</v>
      </c>
      <c r="I749" t="s">
        <v>2622</v>
      </c>
      <c r="J749" s="1" t="s">
        <v>2623</v>
      </c>
    </row>
    <row r="750" spans="1:10" x14ac:dyDescent="0.25">
      <c r="A750" t="s">
        <v>2624</v>
      </c>
      <c r="B750">
        <v>2021</v>
      </c>
      <c r="C750" t="s">
        <v>179</v>
      </c>
      <c r="D750" t="b">
        <f>TRUE()</f>
        <v>1</v>
      </c>
      <c r="E750" t="b">
        <f>COUNTIF(connections!A:A, A750) &gt; 0</f>
        <v>0</v>
      </c>
      <c r="G750" t="s">
        <v>2625</v>
      </c>
    </row>
    <row r="751" spans="1:10" x14ac:dyDescent="0.25">
      <c r="A751" t="s">
        <v>2626</v>
      </c>
      <c r="B751">
        <v>2000</v>
      </c>
      <c r="C751" t="s">
        <v>179</v>
      </c>
      <c r="D751" t="b">
        <f>TRUE()</f>
        <v>1</v>
      </c>
      <c r="E751" t="b">
        <f>COUNTIF(connections!A:A, A751) &gt; 0</f>
        <v>1</v>
      </c>
      <c r="G751" t="s">
        <v>2627</v>
      </c>
      <c r="H751" t="s">
        <v>187</v>
      </c>
      <c r="I751" t="s">
        <v>2628</v>
      </c>
    </row>
    <row r="752" spans="1:10" x14ac:dyDescent="0.25">
      <c r="A752" t="s">
        <v>2629</v>
      </c>
      <c r="B752">
        <v>2025</v>
      </c>
      <c r="C752" t="s">
        <v>182</v>
      </c>
      <c r="D752" t="b">
        <f>FALSE()</f>
        <v>0</v>
      </c>
      <c r="E752" t="b">
        <f>COUNTIF(connections!A:A, A752) &gt; 0</f>
        <v>0</v>
      </c>
      <c r="F752" t="s">
        <v>1077</v>
      </c>
      <c r="G752" t="s">
        <v>2630</v>
      </c>
    </row>
    <row r="753" spans="1:10" x14ac:dyDescent="0.25">
      <c r="A753" t="s">
        <v>2631</v>
      </c>
      <c r="B753">
        <v>2016</v>
      </c>
      <c r="C753" t="s">
        <v>176</v>
      </c>
      <c r="D753" t="b">
        <f>TRUE()</f>
        <v>1</v>
      </c>
      <c r="E753" t="b">
        <f>COUNTIF(connections!A:A, A753) &gt; 0</f>
        <v>0</v>
      </c>
      <c r="G753" t="s">
        <v>2632</v>
      </c>
      <c r="H753" t="s">
        <v>187</v>
      </c>
      <c r="I753" t="s">
        <v>2633</v>
      </c>
      <c r="J753" s="1" t="s">
        <v>2634</v>
      </c>
    </row>
    <row r="754" spans="1:10" x14ac:dyDescent="0.25">
      <c r="A754" t="s">
        <v>2635</v>
      </c>
      <c r="B754">
        <v>2014</v>
      </c>
      <c r="C754" t="s">
        <v>179</v>
      </c>
      <c r="D754" t="b">
        <f>TRUE()</f>
        <v>1</v>
      </c>
      <c r="E754" t="b">
        <f>COUNTIF(connections!A:A, A754) &gt; 0</f>
        <v>1</v>
      </c>
      <c r="G754" t="s">
        <v>2636</v>
      </c>
      <c r="H754" t="s">
        <v>187</v>
      </c>
      <c r="I754" t="s">
        <v>2637</v>
      </c>
    </row>
    <row r="755" spans="1:10" x14ac:dyDescent="0.25">
      <c r="A755" t="s">
        <v>2638</v>
      </c>
      <c r="B755">
        <v>2013</v>
      </c>
      <c r="C755" t="s">
        <v>179</v>
      </c>
      <c r="D755" t="b">
        <f>TRUE()</f>
        <v>1</v>
      </c>
      <c r="E755" t="b">
        <f>COUNTIF(connections!A:A, A755) &gt; 0</f>
        <v>0</v>
      </c>
      <c r="G755" t="s">
        <v>2639</v>
      </c>
    </row>
    <row r="756" spans="1:10" x14ac:dyDescent="0.25">
      <c r="A756" t="s">
        <v>2640</v>
      </c>
      <c r="B756">
        <v>2025</v>
      </c>
      <c r="C756" t="s">
        <v>222</v>
      </c>
      <c r="D756" t="b">
        <f>FALSE()</f>
        <v>0</v>
      </c>
      <c r="E756" t="b">
        <f>COUNTIF(connections!A:A, A756) &gt; 0</f>
        <v>0</v>
      </c>
      <c r="G756" t="s">
        <v>2641</v>
      </c>
      <c r="H756" t="s">
        <v>187</v>
      </c>
      <c r="I756" t="s">
        <v>2642</v>
      </c>
      <c r="J756" s="1" t="s">
        <v>2643</v>
      </c>
    </row>
    <row r="757" spans="1:10" x14ac:dyDescent="0.25">
      <c r="A757" t="s">
        <v>2644</v>
      </c>
      <c r="B757">
        <v>2024</v>
      </c>
      <c r="C757" t="s">
        <v>222</v>
      </c>
      <c r="D757" t="b">
        <f>TRUE()</f>
        <v>1</v>
      </c>
      <c r="E757" t="b">
        <f>COUNTIF(connections!A:A, A757) &gt; 0</f>
        <v>0</v>
      </c>
      <c r="G757" t="s">
        <v>2645</v>
      </c>
    </row>
    <row r="758" spans="1:10" x14ac:dyDescent="0.25">
      <c r="A758" t="s">
        <v>2646</v>
      </c>
      <c r="B758">
        <v>2023</v>
      </c>
      <c r="C758" t="s">
        <v>176</v>
      </c>
      <c r="D758" t="b">
        <f>TRUE()</f>
        <v>1</v>
      </c>
      <c r="E758" t="b">
        <f>COUNTIF(connections!A:A, A758) &gt; 0</f>
        <v>0</v>
      </c>
      <c r="G758" t="s">
        <v>2647</v>
      </c>
      <c r="J758" s="10" t="s">
        <v>2648</v>
      </c>
    </row>
    <row r="759" spans="1:10" x14ac:dyDescent="0.25">
      <c r="A759" t="s">
        <v>2649</v>
      </c>
      <c r="B759">
        <v>2021</v>
      </c>
      <c r="C759" t="s">
        <v>222</v>
      </c>
      <c r="D759" t="b">
        <f>TRUE()</f>
        <v>1</v>
      </c>
      <c r="E759" t="b">
        <f>COUNTIF(connections!A:A, A759) &gt; 0</f>
        <v>0</v>
      </c>
      <c r="G759" t="s">
        <v>2650</v>
      </c>
      <c r="H759" t="s">
        <v>187</v>
      </c>
      <c r="I759" t="s">
        <v>2651</v>
      </c>
      <c r="J759" s="1" t="s">
        <v>2652</v>
      </c>
    </row>
    <row r="760" spans="1:10" x14ac:dyDescent="0.25">
      <c r="A760" t="s">
        <v>2653</v>
      </c>
      <c r="B760">
        <v>2019</v>
      </c>
      <c r="C760" t="s">
        <v>222</v>
      </c>
      <c r="D760" t="b">
        <f>TRUE()</f>
        <v>1</v>
      </c>
      <c r="E760" t="b">
        <f>COUNTIF(connections!A:A, A760) &gt; 0</f>
        <v>1</v>
      </c>
      <c r="G760" t="s">
        <v>2654</v>
      </c>
      <c r="H760" t="s">
        <v>187</v>
      </c>
      <c r="I760" t="s">
        <v>2655</v>
      </c>
      <c r="J760" s="1" t="s">
        <v>2656</v>
      </c>
    </row>
    <row r="761" spans="1:10" x14ac:dyDescent="0.25">
      <c r="A761" t="s">
        <v>2657</v>
      </c>
      <c r="B761">
        <v>2004</v>
      </c>
      <c r="C761" t="s">
        <v>179</v>
      </c>
      <c r="D761" t="b">
        <f>TRUE()</f>
        <v>1</v>
      </c>
      <c r="E761" t="b">
        <f>COUNTIF(connections!A:A, A761) &gt; 0</f>
        <v>0</v>
      </c>
      <c r="G761" t="s">
        <v>2658</v>
      </c>
      <c r="H761" t="s">
        <v>187</v>
      </c>
      <c r="I761" t="s">
        <v>2659</v>
      </c>
    </row>
    <row r="762" spans="1:10" x14ac:dyDescent="0.25">
      <c r="A762" t="s">
        <v>2660</v>
      </c>
      <c r="B762">
        <v>2023</v>
      </c>
      <c r="C762" t="s">
        <v>222</v>
      </c>
      <c r="D762" t="b">
        <f>TRUE()</f>
        <v>1</v>
      </c>
      <c r="E762" t="b">
        <f>COUNTIF(connections!A:A, A762) &gt; 0</f>
        <v>0</v>
      </c>
      <c r="F762" t="s">
        <v>1165</v>
      </c>
      <c r="G762" t="s">
        <v>2661</v>
      </c>
      <c r="H762" t="s">
        <v>187</v>
      </c>
      <c r="I762" t="s">
        <v>2662</v>
      </c>
      <c r="J762" s="1" t="s">
        <v>2663</v>
      </c>
    </row>
    <row r="763" spans="1:10" x14ac:dyDescent="0.25">
      <c r="A763" t="s">
        <v>2664</v>
      </c>
      <c r="B763">
        <v>2024</v>
      </c>
      <c r="C763" t="s">
        <v>176</v>
      </c>
      <c r="D763" t="b">
        <f>TRUE()</f>
        <v>1</v>
      </c>
      <c r="E763" t="b">
        <f>COUNTIF(connections!A:A, A763) &gt; 0</f>
        <v>0</v>
      </c>
      <c r="G763" t="s">
        <v>2665</v>
      </c>
      <c r="H763" t="s">
        <v>187</v>
      </c>
      <c r="I763" t="s">
        <v>2666</v>
      </c>
      <c r="J763" s="1" t="s">
        <v>2667</v>
      </c>
    </row>
    <row r="764" spans="1:10" x14ac:dyDescent="0.25">
      <c r="A764" t="s">
        <v>2668</v>
      </c>
      <c r="B764">
        <v>2025</v>
      </c>
      <c r="C764" t="s">
        <v>182</v>
      </c>
      <c r="D764" t="b">
        <f>TRUE()</f>
        <v>1</v>
      </c>
      <c r="E764" t="b">
        <f>COUNTIF(connections!A:A, A764) &gt; 0</f>
        <v>0</v>
      </c>
      <c r="G764" t="s">
        <v>2669</v>
      </c>
    </row>
    <row r="765" spans="1:10" x14ac:dyDescent="0.25">
      <c r="A765" t="s">
        <v>2670</v>
      </c>
      <c r="B765">
        <v>2024</v>
      </c>
      <c r="C765" t="s">
        <v>176</v>
      </c>
      <c r="D765" t="b">
        <f>TRUE()</f>
        <v>1</v>
      </c>
      <c r="E765" t="b">
        <f>COUNTIF(connections!A:A, A765) &gt; 0</f>
        <v>0</v>
      </c>
      <c r="G765" t="s">
        <v>2671</v>
      </c>
    </row>
    <row r="766" spans="1:10" x14ac:dyDescent="0.25">
      <c r="A766" t="s">
        <v>2672</v>
      </c>
      <c r="B766">
        <v>2026</v>
      </c>
      <c r="C766" t="s">
        <v>182</v>
      </c>
      <c r="D766" t="b">
        <f>TRUE()</f>
        <v>1</v>
      </c>
      <c r="E766" t="b">
        <f>COUNTIF(connections!A:A, A766) &gt; 0</f>
        <v>0</v>
      </c>
      <c r="F766" t="s">
        <v>506</v>
      </c>
      <c r="G766" t="s">
        <v>2673</v>
      </c>
      <c r="H766" t="s">
        <v>187</v>
      </c>
      <c r="I766" t="s">
        <v>2674</v>
      </c>
      <c r="J766" s="1" t="s">
        <v>2675</v>
      </c>
    </row>
    <row r="767" spans="1:10" x14ac:dyDescent="0.25">
      <c r="A767" t="s">
        <v>2676</v>
      </c>
      <c r="B767">
        <v>2022</v>
      </c>
      <c r="C767" t="s">
        <v>176</v>
      </c>
      <c r="D767" t="b">
        <f>TRUE()</f>
        <v>1</v>
      </c>
      <c r="E767" t="b">
        <f>COUNTIF(connections!A:A, A767) &gt; 0</f>
        <v>1</v>
      </c>
      <c r="G767" t="s">
        <v>2677</v>
      </c>
      <c r="H767" t="s">
        <v>187</v>
      </c>
      <c r="I767" t="s">
        <v>2678</v>
      </c>
      <c r="J767" s="1" t="s">
        <v>2679</v>
      </c>
    </row>
    <row r="768" spans="1:10" x14ac:dyDescent="0.25">
      <c r="A768" t="s">
        <v>2680</v>
      </c>
      <c r="B768">
        <v>2018</v>
      </c>
      <c r="C768" t="s">
        <v>176</v>
      </c>
      <c r="D768" t="b">
        <f>TRUE()</f>
        <v>1</v>
      </c>
      <c r="E768" t="b">
        <f>COUNTIF(connections!A:A, A768) &gt; 0</f>
        <v>0</v>
      </c>
      <c r="G768" t="s">
        <v>2681</v>
      </c>
    </row>
    <row r="769" spans="1:10" x14ac:dyDescent="0.25">
      <c r="A769" t="s">
        <v>2682</v>
      </c>
      <c r="B769">
        <v>2014</v>
      </c>
      <c r="C769" t="s">
        <v>179</v>
      </c>
      <c r="D769" t="b">
        <f>TRUE()</f>
        <v>1</v>
      </c>
      <c r="E769" t="b">
        <f>COUNTIF(connections!A:A, A769) &gt; 0</f>
        <v>0</v>
      </c>
      <c r="G769" t="s">
        <v>2683</v>
      </c>
      <c r="J769" s="10" t="s">
        <v>2684</v>
      </c>
    </row>
    <row r="770" spans="1:10" x14ac:dyDescent="0.25">
      <c r="A770" t="s">
        <v>2685</v>
      </c>
      <c r="B770">
        <v>2025</v>
      </c>
      <c r="C770" t="s">
        <v>222</v>
      </c>
      <c r="D770" t="b">
        <f>FALSE()</f>
        <v>0</v>
      </c>
      <c r="E770" t="b">
        <f>COUNTIF(connections!A:A, A770) &gt; 0</f>
        <v>0</v>
      </c>
      <c r="F770" t="s">
        <v>404</v>
      </c>
      <c r="G770" t="s">
        <v>2686</v>
      </c>
    </row>
    <row r="771" spans="1:10" x14ac:dyDescent="0.25">
      <c r="A771" t="s">
        <v>2687</v>
      </c>
      <c r="B771">
        <v>2025</v>
      </c>
      <c r="C771" t="s">
        <v>182</v>
      </c>
      <c r="D771" t="b">
        <f>TRUE()</f>
        <v>1</v>
      </c>
      <c r="E771" t="b">
        <f>COUNTIF(connections!A:A, A771) &gt; 0</f>
        <v>0</v>
      </c>
      <c r="G771" t="s">
        <v>2688</v>
      </c>
    </row>
    <row r="772" spans="1:10" x14ac:dyDescent="0.25">
      <c r="A772" t="s">
        <v>2689</v>
      </c>
      <c r="B772">
        <v>2023</v>
      </c>
      <c r="C772" t="s">
        <v>176</v>
      </c>
      <c r="D772" t="b">
        <f>TRUE()</f>
        <v>1</v>
      </c>
      <c r="E772" t="b">
        <f>COUNTIF(connections!A:A, A772) &gt; 0</f>
        <v>0</v>
      </c>
      <c r="G772" t="s">
        <v>2690</v>
      </c>
      <c r="J772" s="10" t="s">
        <v>2691</v>
      </c>
    </row>
    <row r="773" spans="1:10" x14ac:dyDescent="0.25">
      <c r="A773" t="s">
        <v>2692</v>
      </c>
      <c r="B773">
        <v>2023</v>
      </c>
      <c r="C773" t="s">
        <v>176</v>
      </c>
      <c r="D773" t="b">
        <f>TRUE()</f>
        <v>1</v>
      </c>
      <c r="E773" t="b">
        <f>COUNTIF(connections!A:A, A773) &gt; 0</f>
        <v>0</v>
      </c>
      <c r="G773" t="s">
        <v>2693</v>
      </c>
      <c r="H773" t="s">
        <v>187</v>
      </c>
      <c r="I773" t="s">
        <v>2694</v>
      </c>
      <c r="J773" s="1" t="s">
        <v>2695</v>
      </c>
    </row>
    <row r="774" spans="1:10" x14ac:dyDescent="0.25">
      <c r="A774" t="s">
        <v>2696</v>
      </c>
      <c r="B774">
        <v>2025</v>
      </c>
      <c r="C774" t="s">
        <v>182</v>
      </c>
      <c r="D774" t="b">
        <f>TRUE()</f>
        <v>1</v>
      </c>
      <c r="E774" t="b">
        <f>COUNTIF(connections!A:A, A774) &gt; 0</f>
        <v>1</v>
      </c>
      <c r="F774" t="s">
        <v>1031</v>
      </c>
      <c r="G774" t="s">
        <v>2697</v>
      </c>
      <c r="J774" s="10" t="s">
        <v>2698</v>
      </c>
    </row>
    <row r="775" spans="1:10" x14ac:dyDescent="0.25">
      <c r="A775" t="s">
        <v>2699</v>
      </c>
      <c r="B775">
        <v>2022</v>
      </c>
      <c r="C775" t="s">
        <v>176</v>
      </c>
      <c r="D775" t="b">
        <f>TRUE()</f>
        <v>1</v>
      </c>
      <c r="E775" t="b">
        <f>COUNTIF(connections!A:A, A775) &gt; 0</f>
        <v>1</v>
      </c>
      <c r="G775" t="s">
        <v>2700</v>
      </c>
      <c r="H775" t="s">
        <v>187</v>
      </c>
      <c r="I775" t="s">
        <v>2701</v>
      </c>
      <c r="J775" s="1" t="s">
        <v>2702</v>
      </c>
    </row>
    <row r="776" spans="1:10" x14ac:dyDescent="0.25">
      <c r="A776" t="s">
        <v>2703</v>
      </c>
      <c r="B776">
        <v>2022</v>
      </c>
      <c r="C776" t="s">
        <v>222</v>
      </c>
      <c r="D776" t="b">
        <f>TRUE()</f>
        <v>1</v>
      </c>
      <c r="E776" t="b">
        <f>COUNTIF(connections!A:A, A776) &gt; 0</f>
        <v>0</v>
      </c>
      <c r="G776" t="s">
        <v>2704</v>
      </c>
      <c r="H776" t="s">
        <v>187</v>
      </c>
      <c r="I776" t="s">
        <v>2705</v>
      </c>
      <c r="J776" s="1" t="s">
        <v>2706</v>
      </c>
    </row>
    <row r="777" spans="1:10" x14ac:dyDescent="0.25">
      <c r="A777" t="s">
        <v>2707</v>
      </c>
      <c r="B777">
        <v>1991</v>
      </c>
      <c r="C777" t="s">
        <v>176</v>
      </c>
      <c r="D777" t="b">
        <f>TRUE()</f>
        <v>1</v>
      </c>
      <c r="E777" t="b">
        <f>COUNTIF(connections!A:A, A777) &gt; 0</f>
        <v>1</v>
      </c>
      <c r="G777" t="s">
        <v>2708</v>
      </c>
      <c r="H777" t="s">
        <v>187</v>
      </c>
      <c r="I777" t="s">
        <v>2709</v>
      </c>
    </row>
    <row r="778" spans="1:10" x14ac:dyDescent="0.25">
      <c r="A778" t="s">
        <v>2710</v>
      </c>
      <c r="B778">
        <v>2019</v>
      </c>
      <c r="C778" t="s">
        <v>176</v>
      </c>
      <c r="D778" t="b">
        <f>TRUE()</f>
        <v>1</v>
      </c>
      <c r="E778" t="b">
        <f>COUNTIF(connections!A:A, A778) &gt; 0</f>
        <v>0</v>
      </c>
      <c r="G778" t="s">
        <v>2711</v>
      </c>
    </row>
    <row r="779" spans="1:10" x14ac:dyDescent="0.25">
      <c r="A779" t="s">
        <v>2712</v>
      </c>
      <c r="B779">
        <v>2022</v>
      </c>
      <c r="C779" t="s">
        <v>176</v>
      </c>
      <c r="D779" t="b">
        <f>TRUE()</f>
        <v>1</v>
      </c>
      <c r="E779" t="b">
        <f>COUNTIF(connections!A:A, A779) &gt; 0</f>
        <v>0</v>
      </c>
      <c r="G779" t="s">
        <v>2713</v>
      </c>
      <c r="H779" t="s">
        <v>187</v>
      </c>
      <c r="I779" t="s">
        <v>2714</v>
      </c>
      <c r="J779" s="1" t="s">
        <v>2715</v>
      </c>
    </row>
    <row r="780" spans="1:10" x14ac:dyDescent="0.25">
      <c r="A780" t="s">
        <v>2716</v>
      </c>
      <c r="B780">
        <v>1999</v>
      </c>
      <c r="C780" t="s">
        <v>179</v>
      </c>
      <c r="D780" t="b">
        <f>TRUE()</f>
        <v>1</v>
      </c>
      <c r="E780" t="b">
        <f>COUNTIF(connections!A:A, A780) &gt; 0</f>
        <v>1</v>
      </c>
      <c r="G780" t="s">
        <v>2717</v>
      </c>
      <c r="H780" t="s">
        <v>187</v>
      </c>
      <c r="I780" t="s">
        <v>2718</v>
      </c>
    </row>
    <row r="781" spans="1:10" x14ac:dyDescent="0.25">
      <c r="A781" t="s">
        <v>2719</v>
      </c>
      <c r="B781">
        <v>2002</v>
      </c>
      <c r="C781" t="s">
        <v>179</v>
      </c>
      <c r="D781" t="b">
        <f>TRUE()</f>
        <v>1</v>
      </c>
      <c r="E781" t="b">
        <f>COUNTIF(connections!A:A, A781) &gt; 0</f>
        <v>0</v>
      </c>
      <c r="G781" t="s">
        <v>2720</v>
      </c>
      <c r="H781" t="s">
        <v>187</v>
      </c>
      <c r="I781" t="s">
        <v>2721</v>
      </c>
    </row>
    <row r="782" spans="1:10" x14ac:dyDescent="0.25">
      <c r="A782" t="s">
        <v>2722</v>
      </c>
      <c r="B782">
        <v>1993</v>
      </c>
      <c r="C782" t="s">
        <v>179</v>
      </c>
      <c r="D782" t="b">
        <f>TRUE()</f>
        <v>1</v>
      </c>
      <c r="E782" t="b">
        <f>COUNTIF(connections!A:A, A782) &gt; 0</f>
        <v>1</v>
      </c>
      <c r="G782" t="s">
        <v>2723</v>
      </c>
      <c r="H782" t="s">
        <v>187</v>
      </c>
      <c r="I782" t="s">
        <v>2724</v>
      </c>
    </row>
    <row r="783" spans="1:10" x14ac:dyDescent="0.25">
      <c r="A783" t="s">
        <v>2725</v>
      </c>
      <c r="B783">
        <v>2025</v>
      </c>
      <c r="C783" t="s">
        <v>179</v>
      </c>
      <c r="D783" t="b">
        <f>TRUE()</f>
        <v>1</v>
      </c>
      <c r="E783" t="b">
        <f>COUNTIF(connections!A:A, A783) &gt; 0</f>
        <v>0</v>
      </c>
      <c r="F783" t="s">
        <v>328</v>
      </c>
      <c r="G783" t="s">
        <v>2726</v>
      </c>
      <c r="H783" t="s">
        <v>187</v>
      </c>
      <c r="I783" t="s">
        <v>2727</v>
      </c>
      <c r="J783" s="1" t="s">
        <v>2728</v>
      </c>
    </row>
    <row r="784" spans="1:10" x14ac:dyDescent="0.25">
      <c r="A784" t="s">
        <v>2729</v>
      </c>
      <c r="B784">
        <v>2024</v>
      </c>
      <c r="C784" t="s">
        <v>179</v>
      </c>
      <c r="D784" t="b">
        <f>TRUE()</f>
        <v>1</v>
      </c>
      <c r="E784" t="b">
        <f>COUNTIF(connections!A:A, A784) &gt; 0</f>
        <v>0</v>
      </c>
      <c r="F784" t="s">
        <v>328</v>
      </c>
      <c r="G784" t="s">
        <v>2730</v>
      </c>
      <c r="J784" s="10" t="s">
        <v>2731</v>
      </c>
    </row>
    <row r="785" spans="1:10" x14ac:dyDescent="0.25">
      <c r="A785" t="s">
        <v>2732</v>
      </c>
      <c r="B785">
        <v>2021</v>
      </c>
      <c r="C785" t="s">
        <v>179</v>
      </c>
      <c r="D785" t="b">
        <f>TRUE()</f>
        <v>1</v>
      </c>
      <c r="E785" t="b">
        <f>COUNTIF(connections!A:A, A785) &gt; 0</f>
        <v>0</v>
      </c>
      <c r="F785" t="s">
        <v>328</v>
      </c>
      <c r="G785" t="s">
        <v>2733</v>
      </c>
      <c r="J785" s="10" t="s">
        <v>2734</v>
      </c>
    </row>
    <row r="786" spans="1:10" x14ac:dyDescent="0.25">
      <c r="A786" t="s">
        <v>2735</v>
      </c>
      <c r="B786">
        <v>2022</v>
      </c>
      <c r="C786" t="s">
        <v>182</v>
      </c>
      <c r="D786" t="b">
        <f>TRUE()</f>
        <v>1</v>
      </c>
      <c r="E786" t="b">
        <f>COUNTIF(connections!A:A, A786) &gt; 0</f>
        <v>0</v>
      </c>
      <c r="F786" t="s">
        <v>328</v>
      </c>
      <c r="G786" t="s">
        <v>2736</v>
      </c>
    </row>
    <row r="787" spans="1:10" x14ac:dyDescent="0.25">
      <c r="A787" t="s">
        <v>2737</v>
      </c>
      <c r="B787">
        <v>2025</v>
      </c>
      <c r="C787" t="s">
        <v>222</v>
      </c>
      <c r="D787" t="b">
        <f>TRUE()</f>
        <v>1</v>
      </c>
      <c r="E787" t="b">
        <f>COUNTIF(connections!A:A, A787) &gt; 0</f>
        <v>0</v>
      </c>
      <c r="G787" t="s">
        <v>2738</v>
      </c>
    </row>
    <row r="788" spans="1:10" x14ac:dyDescent="0.25">
      <c r="A788" t="s">
        <v>2739</v>
      </c>
      <c r="B788">
        <v>2023</v>
      </c>
      <c r="C788" t="s">
        <v>182</v>
      </c>
      <c r="D788" t="b">
        <f>TRUE()</f>
        <v>1</v>
      </c>
      <c r="E788" t="b">
        <f>COUNTIF(connections!A:A, A788) &gt; 0</f>
        <v>0</v>
      </c>
      <c r="F788" t="s">
        <v>404</v>
      </c>
      <c r="G788" t="s">
        <v>2740</v>
      </c>
      <c r="H788" t="s">
        <v>187</v>
      </c>
      <c r="I788" t="s">
        <v>2741</v>
      </c>
      <c r="J788" s="1" t="s">
        <v>2742</v>
      </c>
    </row>
    <row r="789" spans="1:10" x14ac:dyDescent="0.25">
      <c r="A789" t="s">
        <v>2743</v>
      </c>
      <c r="B789">
        <v>2024</v>
      </c>
      <c r="C789" t="s">
        <v>222</v>
      </c>
      <c r="D789" t="b">
        <f>TRUE()</f>
        <v>1</v>
      </c>
      <c r="E789" t="b">
        <f>COUNTIF(connections!A:A, A789) &gt; 0</f>
        <v>0</v>
      </c>
      <c r="F789" t="s">
        <v>404</v>
      </c>
      <c r="G789" t="s">
        <v>2744</v>
      </c>
    </row>
    <row r="790" spans="1:10" x14ac:dyDescent="0.25">
      <c r="A790" t="s">
        <v>2745</v>
      </c>
      <c r="B790">
        <v>2017</v>
      </c>
      <c r="C790" t="s">
        <v>176</v>
      </c>
      <c r="D790" t="b">
        <f>TRUE()</f>
        <v>1</v>
      </c>
      <c r="E790" t="b">
        <f>COUNTIF(connections!A:A, A790) &gt; 0</f>
        <v>0</v>
      </c>
      <c r="G790" t="s">
        <v>2746</v>
      </c>
      <c r="J790" s="10" t="s">
        <v>2747</v>
      </c>
    </row>
    <row r="791" spans="1:10" x14ac:dyDescent="0.25">
      <c r="A791" t="s">
        <v>2748</v>
      </c>
      <c r="B791">
        <v>2014</v>
      </c>
      <c r="C791" t="s">
        <v>176</v>
      </c>
      <c r="D791" t="b">
        <f>TRUE()</f>
        <v>1</v>
      </c>
      <c r="E791" t="b">
        <f>COUNTIF(connections!A:A, A791) &gt; 0</f>
        <v>1</v>
      </c>
      <c r="G791" t="s">
        <v>2749</v>
      </c>
      <c r="H791" t="s">
        <v>187</v>
      </c>
      <c r="I791" t="s">
        <v>2750</v>
      </c>
      <c r="J791" s="1" t="s">
        <v>2751</v>
      </c>
    </row>
    <row r="792" spans="1:10" x14ac:dyDescent="0.25">
      <c r="A792" t="s">
        <v>2752</v>
      </c>
      <c r="B792">
        <v>2021</v>
      </c>
      <c r="C792" t="s">
        <v>182</v>
      </c>
      <c r="D792" t="b">
        <f>TRUE()</f>
        <v>1</v>
      </c>
      <c r="E792" t="b">
        <f>COUNTIF(connections!A:A, A792) &gt; 0</f>
        <v>1</v>
      </c>
      <c r="F792" t="s">
        <v>404</v>
      </c>
      <c r="G792" t="s">
        <v>2753</v>
      </c>
      <c r="H792" t="s">
        <v>187</v>
      </c>
      <c r="I792" t="s">
        <v>2754</v>
      </c>
      <c r="J792" s="1" t="s">
        <v>2755</v>
      </c>
    </row>
    <row r="793" spans="1:10" x14ac:dyDescent="0.25">
      <c r="A793" t="s">
        <v>2756</v>
      </c>
      <c r="B793">
        <v>2025</v>
      </c>
      <c r="C793" t="s">
        <v>182</v>
      </c>
      <c r="D793" t="b">
        <f>TRUE()</f>
        <v>1</v>
      </c>
      <c r="E793" t="b">
        <f>COUNTIF(connections!A:A, A793) &gt; 0</f>
        <v>0</v>
      </c>
      <c r="G793" t="s">
        <v>2757</v>
      </c>
    </row>
    <row r="794" spans="1:10" x14ac:dyDescent="0.25">
      <c r="A794" t="s">
        <v>2758</v>
      </c>
      <c r="B794">
        <v>2019</v>
      </c>
      <c r="C794" t="s">
        <v>182</v>
      </c>
      <c r="D794" t="b">
        <f>TRUE()</f>
        <v>1</v>
      </c>
      <c r="E794" t="b">
        <f>COUNTIF(connections!A:A, A794) &gt; 0</f>
        <v>0</v>
      </c>
      <c r="G794" t="s">
        <v>2759</v>
      </c>
      <c r="J794" s="1" t="s">
        <v>2760</v>
      </c>
    </row>
    <row r="795" spans="1:10" x14ac:dyDescent="0.25">
      <c r="A795" t="s">
        <v>2761</v>
      </c>
      <c r="B795">
        <v>2017</v>
      </c>
      <c r="C795" t="s">
        <v>176</v>
      </c>
      <c r="D795" t="b">
        <f>TRUE()</f>
        <v>1</v>
      </c>
      <c r="E795" t="b">
        <f>COUNTIF(connections!A:A, A795) &gt; 0</f>
        <v>0</v>
      </c>
      <c r="G795" t="s">
        <v>2762</v>
      </c>
      <c r="J795" s="10" t="s">
        <v>2763</v>
      </c>
    </row>
    <row r="796" spans="1:10" x14ac:dyDescent="0.25">
      <c r="A796" t="s">
        <v>2764</v>
      </c>
      <c r="B796">
        <v>2026</v>
      </c>
      <c r="C796" t="s">
        <v>182</v>
      </c>
      <c r="D796" t="b">
        <f>TRUE()</f>
        <v>1</v>
      </c>
      <c r="E796" t="b">
        <f>COUNTIF(connections!A:A, A796) &gt; 0</f>
        <v>0</v>
      </c>
      <c r="G796" t="s">
        <v>2765</v>
      </c>
      <c r="J796" s="1" t="s">
        <v>2766</v>
      </c>
    </row>
    <row r="797" spans="1:10" x14ac:dyDescent="0.25">
      <c r="A797" t="s">
        <v>2767</v>
      </c>
      <c r="B797">
        <v>2025</v>
      </c>
      <c r="C797" t="s">
        <v>176</v>
      </c>
      <c r="D797" t="b">
        <f>TRUE()</f>
        <v>1</v>
      </c>
      <c r="E797" t="b">
        <f>COUNTIF(connections!A:A, A797) &gt; 0</f>
        <v>0</v>
      </c>
      <c r="G797" t="s">
        <v>2768</v>
      </c>
      <c r="J797" s="1" t="s">
        <v>2769</v>
      </c>
    </row>
    <row r="798" spans="1:10" x14ac:dyDescent="0.25">
      <c r="A798" t="s">
        <v>2770</v>
      </c>
      <c r="B798">
        <v>2012</v>
      </c>
      <c r="C798" t="s">
        <v>179</v>
      </c>
      <c r="D798" t="b">
        <f>TRUE()</f>
        <v>1</v>
      </c>
      <c r="E798" t="b">
        <f>COUNTIF(connections!A:A, A798) &gt; 0</f>
        <v>0</v>
      </c>
      <c r="G798" t="s">
        <v>2771</v>
      </c>
    </row>
    <row r="799" spans="1:10" x14ac:dyDescent="0.25">
      <c r="A799" t="s">
        <v>2772</v>
      </c>
      <c r="B799">
        <v>2021</v>
      </c>
      <c r="C799" t="s">
        <v>179</v>
      </c>
      <c r="D799" t="b">
        <f>TRUE()</f>
        <v>1</v>
      </c>
      <c r="E799" t="b">
        <f>COUNTIF(connections!A:A, A799) &gt; 0</f>
        <v>0</v>
      </c>
      <c r="G799" t="s">
        <v>2773</v>
      </c>
      <c r="H799" t="s">
        <v>187</v>
      </c>
      <c r="I799" t="s">
        <v>2774</v>
      </c>
      <c r="J799" s="1" t="s">
        <v>2775</v>
      </c>
    </row>
    <row r="800" spans="1:10" x14ac:dyDescent="0.25">
      <c r="A800" t="s">
        <v>7757</v>
      </c>
      <c r="B800">
        <v>2026</v>
      </c>
      <c r="C800" t="s">
        <v>182</v>
      </c>
      <c r="D800" t="b">
        <f>TRUE()</f>
        <v>1</v>
      </c>
      <c r="E800" t="b">
        <f>COUNTIF(connections!A:A, A800) &gt; 0</f>
        <v>0</v>
      </c>
      <c r="G800" t="s">
        <v>7758</v>
      </c>
      <c r="J800" s="10" t="s">
        <v>7756</v>
      </c>
    </row>
    <row r="801" spans="1:10" x14ac:dyDescent="0.25">
      <c r="A801" t="s">
        <v>2776</v>
      </c>
      <c r="B801">
        <v>2021</v>
      </c>
      <c r="C801" t="s">
        <v>222</v>
      </c>
      <c r="D801" t="b">
        <f>FALSE()</f>
        <v>0</v>
      </c>
      <c r="E801" t="b">
        <f>COUNTIF(connections!A:A, A801) &gt; 0</f>
        <v>0</v>
      </c>
      <c r="F801" t="s">
        <v>2777</v>
      </c>
      <c r="G801" t="s">
        <v>2778</v>
      </c>
      <c r="H801" t="s">
        <v>187</v>
      </c>
      <c r="I801" t="s">
        <v>2779</v>
      </c>
      <c r="J801" s="1" t="s">
        <v>2780</v>
      </c>
    </row>
    <row r="802" spans="1:10" x14ac:dyDescent="0.25">
      <c r="A802" t="s">
        <v>2781</v>
      </c>
      <c r="B802">
        <v>2024</v>
      </c>
      <c r="C802" t="s">
        <v>176</v>
      </c>
      <c r="D802" t="b">
        <f>FALSE()</f>
        <v>0</v>
      </c>
      <c r="E802" t="b">
        <f>COUNTIF(connections!A:A, A802) &gt; 0</f>
        <v>0</v>
      </c>
      <c r="F802" t="s">
        <v>277</v>
      </c>
      <c r="G802" t="s">
        <v>2782</v>
      </c>
    </row>
    <row r="803" spans="1:10" x14ac:dyDescent="0.25">
      <c r="A803" t="s">
        <v>2783</v>
      </c>
      <c r="B803">
        <v>2019</v>
      </c>
      <c r="C803" t="s">
        <v>176</v>
      </c>
      <c r="D803" t="b">
        <f>TRUE()</f>
        <v>1</v>
      </c>
      <c r="E803" t="b">
        <f>COUNTIF(connections!A:A, A803) &gt; 0</f>
        <v>1</v>
      </c>
      <c r="F803" t="s">
        <v>617</v>
      </c>
      <c r="G803" t="s">
        <v>2784</v>
      </c>
      <c r="H803" t="s">
        <v>187</v>
      </c>
      <c r="I803" t="s">
        <v>2785</v>
      </c>
      <c r="J803" s="1" t="s">
        <v>2786</v>
      </c>
    </row>
    <row r="804" spans="1:10" x14ac:dyDescent="0.25">
      <c r="A804" t="s">
        <v>2787</v>
      </c>
      <c r="B804">
        <v>2025</v>
      </c>
      <c r="C804" t="s">
        <v>176</v>
      </c>
      <c r="D804" t="b">
        <f>TRUE()</f>
        <v>1</v>
      </c>
      <c r="E804" t="b">
        <f>COUNTIF(connections!A:A, A804) &gt; 0</f>
        <v>0</v>
      </c>
      <c r="F804" t="s">
        <v>617</v>
      </c>
      <c r="G804" t="s">
        <v>2788</v>
      </c>
    </row>
    <row r="805" spans="1:10" x14ac:dyDescent="0.25">
      <c r="A805" t="s">
        <v>2789</v>
      </c>
      <c r="B805">
        <v>2017</v>
      </c>
      <c r="C805" t="s">
        <v>176</v>
      </c>
      <c r="D805" t="b">
        <f>TRUE()</f>
        <v>1</v>
      </c>
      <c r="E805" t="b">
        <f>COUNTIF(connections!A:A, A805) &gt; 0</f>
        <v>1</v>
      </c>
      <c r="G805" t="s">
        <v>2790</v>
      </c>
    </row>
    <row r="806" spans="1:10" x14ac:dyDescent="0.25">
      <c r="A806" t="s">
        <v>2791</v>
      </c>
      <c r="B806">
        <v>2022</v>
      </c>
      <c r="C806" t="s">
        <v>176</v>
      </c>
      <c r="D806" t="b">
        <f>TRUE()</f>
        <v>1</v>
      </c>
      <c r="E806" t="b">
        <f>COUNTIF(connections!A:A, A806) &gt; 0</f>
        <v>0</v>
      </c>
      <c r="G806" t="s">
        <v>2792</v>
      </c>
    </row>
    <row r="807" spans="1:10" x14ac:dyDescent="0.25">
      <c r="A807" t="s">
        <v>2793</v>
      </c>
      <c r="B807">
        <v>1992</v>
      </c>
      <c r="C807" t="s">
        <v>179</v>
      </c>
      <c r="D807" t="b">
        <f>TRUE()</f>
        <v>1</v>
      </c>
      <c r="E807" t="b">
        <f>COUNTIF(connections!A:A, A807) &gt; 0</f>
        <v>1</v>
      </c>
      <c r="G807" t="s">
        <v>2794</v>
      </c>
      <c r="H807" t="s">
        <v>187</v>
      </c>
      <c r="I807" t="s">
        <v>2795</v>
      </c>
      <c r="J807" s="1" t="s">
        <v>2796</v>
      </c>
    </row>
    <row r="808" spans="1:10" x14ac:dyDescent="0.25">
      <c r="A808" t="s">
        <v>2797</v>
      </c>
      <c r="B808">
        <v>2018</v>
      </c>
      <c r="C808" t="s">
        <v>176</v>
      </c>
      <c r="D808" t="b">
        <f>TRUE()</f>
        <v>1</v>
      </c>
      <c r="E808" t="b">
        <f>COUNTIF(connections!A:A, A808) &gt; 0</f>
        <v>0</v>
      </c>
      <c r="G808" t="s">
        <v>2798</v>
      </c>
    </row>
    <row r="809" spans="1:10" x14ac:dyDescent="0.25">
      <c r="A809" t="s">
        <v>2799</v>
      </c>
      <c r="B809">
        <v>2026</v>
      </c>
      <c r="C809" t="s">
        <v>182</v>
      </c>
      <c r="D809" t="b">
        <f>TRUE()</f>
        <v>1</v>
      </c>
      <c r="E809" t="b">
        <f>COUNTIF(connections!A:A, A809) &gt; 0</f>
        <v>0</v>
      </c>
      <c r="F809" t="s">
        <v>1806</v>
      </c>
      <c r="G809" t="s">
        <v>2800</v>
      </c>
    </row>
    <row r="810" spans="1:10" x14ac:dyDescent="0.25">
      <c r="A810" t="s">
        <v>2801</v>
      </c>
      <c r="B810">
        <v>2023</v>
      </c>
      <c r="C810" t="s">
        <v>176</v>
      </c>
      <c r="D810" t="b">
        <f>TRUE()</f>
        <v>1</v>
      </c>
      <c r="E810" t="b">
        <f>COUNTIF(connections!A:A, A810) &gt; 0</f>
        <v>0</v>
      </c>
      <c r="F810" t="s">
        <v>1806</v>
      </c>
      <c r="G810" t="s">
        <v>2802</v>
      </c>
      <c r="H810" t="s">
        <v>187</v>
      </c>
      <c r="I810" t="s">
        <v>2803</v>
      </c>
      <c r="J810" s="1" t="s">
        <v>2804</v>
      </c>
    </row>
    <row r="811" spans="1:10" x14ac:dyDescent="0.25">
      <c r="A811" t="s">
        <v>2805</v>
      </c>
      <c r="B811">
        <v>2021</v>
      </c>
      <c r="C811" t="s">
        <v>176</v>
      </c>
      <c r="D811" t="b">
        <f>TRUE()</f>
        <v>1</v>
      </c>
      <c r="E811" t="b">
        <f>COUNTIF(connections!A:A, A811) &gt; 0</f>
        <v>1</v>
      </c>
      <c r="F811" t="s">
        <v>1806</v>
      </c>
      <c r="G811" t="s">
        <v>2806</v>
      </c>
      <c r="H811" t="s">
        <v>187</v>
      </c>
      <c r="I811" t="s">
        <v>2807</v>
      </c>
      <c r="J811" s="1" t="s">
        <v>2808</v>
      </c>
    </row>
    <row r="812" spans="1:10" x14ac:dyDescent="0.25">
      <c r="A812" t="s">
        <v>2809</v>
      </c>
      <c r="B812">
        <v>2020</v>
      </c>
      <c r="C812" t="s">
        <v>182</v>
      </c>
      <c r="D812" t="b">
        <f>TRUE()</f>
        <v>1</v>
      </c>
      <c r="E812" t="b">
        <f>COUNTIF(connections!A:A, A812) &gt; 0</f>
        <v>0</v>
      </c>
      <c r="G812" t="s">
        <v>2810</v>
      </c>
      <c r="H812" t="s">
        <v>187</v>
      </c>
      <c r="I812" t="s">
        <v>2811</v>
      </c>
      <c r="J812" s="1" t="s">
        <v>2812</v>
      </c>
    </row>
    <row r="813" spans="1:10" x14ac:dyDescent="0.25">
      <c r="A813" t="s">
        <v>2813</v>
      </c>
      <c r="B813">
        <v>2024</v>
      </c>
      <c r="C813" t="s">
        <v>176</v>
      </c>
      <c r="D813" t="b">
        <f>TRUE()</f>
        <v>1</v>
      </c>
      <c r="E813" t="b">
        <f>COUNTIF(connections!A:A, A813) &gt; 0</f>
        <v>0</v>
      </c>
      <c r="G813" t="s">
        <v>2814</v>
      </c>
    </row>
    <row r="814" spans="1:10" x14ac:dyDescent="0.25">
      <c r="A814" t="s">
        <v>2815</v>
      </c>
      <c r="B814">
        <v>2026</v>
      </c>
      <c r="C814" t="s">
        <v>176</v>
      </c>
      <c r="D814" t="b">
        <f>TRUE()</f>
        <v>1</v>
      </c>
      <c r="E814" t="b">
        <f>COUNTIF(connections!A:A, A814) &gt; 0</f>
        <v>0</v>
      </c>
      <c r="F814" t="s">
        <v>277</v>
      </c>
      <c r="G814" t="s">
        <v>2816</v>
      </c>
      <c r="H814" t="s">
        <v>187</v>
      </c>
      <c r="I814" t="s">
        <v>2817</v>
      </c>
      <c r="J814" s="1" t="s">
        <v>2818</v>
      </c>
    </row>
    <row r="815" spans="1:10" x14ac:dyDescent="0.25">
      <c r="A815" t="s">
        <v>2819</v>
      </c>
      <c r="B815">
        <v>2021</v>
      </c>
      <c r="C815" t="s">
        <v>182</v>
      </c>
      <c r="D815" t="b">
        <f>TRUE()</f>
        <v>1</v>
      </c>
      <c r="E815" t="b">
        <f>COUNTIF(connections!A:A, A815) &gt; 0</f>
        <v>1</v>
      </c>
      <c r="F815" t="s">
        <v>1031</v>
      </c>
      <c r="G815" t="s">
        <v>2820</v>
      </c>
    </row>
    <row r="816" spans="1:10" x14ac:dyDescent="0.25">
      <c r="A816" t="s">
        <v>2821</v>
      </c>
      <c r="B816">
        <v>2025</v>
      </c>
      <c r="C816" t="s">
        <v>182</v>
      </c>
      <c r="D816" t="b">
        <f>TRUE()</f>
        <v>1</v>
      </c>
      <c r="E816" t="b">
        <f>COUNTIF(connections!A:A, A816) &gt; 0</f>
        <v>0</v>
      </c>
      <c r="G816" t="s">
        <v>2822</v>
      </c>
    </row>
    <row r="817" spans="1:10" x14ac:dyDescent="0.25">
      <c r="A817" t="s">
        <v>2823</v>
      </c>
      <c r="B817">
        <v>2026</v>
      </c>
      <c r="C817" t="s">
        <v>182</v>
      </c>
      <c r="D817" t="b">
        <f>TRUE()</f>
        <v>1</v>
      </c>
      <c r="E817" t="b">
        <f>COUNTIF(connections!A:A, A817) &gt; 0</f>
        <v>0</v>
      </c>
      <c r="G817" t="s">
        <v>2824</v>
      </c>
    </row>
    <row r="818" spans="1:10" x14ac:dyDescent="0.25">
      <c r="A818" t="s">
        <v>2825</v>
      </c>
      <c r="B818">
        <v>2019</v>
      </c>
      <c r="C818" t="s">
        <v>176</v>
      </c>
      <c r="D818" t="b">
        <f>TRUE()</f>
        <v>1</v>
      </c>
      <c r="E818" t="b">
        <f>COUNTIF(connections!A:A, A818) &gt; 0</f>
        <v>1</v>
      </c>
      <c r="F818" t="s">
        <v>274</v>
      </c>
      <c r="G818" t="s">
        <v>2826</v>
      </c>
      <c r="H818" t="s">
        <v>187</v>
      </c>
      <c r="I818" t="s">
        <v>2827</v>
      </c>
      <c r="J818" s="1" t="s">
        <v>2828</v>
      </c>
    </row>
    <row r="819" spans="1:10" x14ac:dyDescent="0.25">
      <c r="A819" t="s">
        <v>2829</v>
      </c>
      <c r="B819">
        <v>2022</v>
      </c>
      <c r="C819" t="s">
        <v>176</v>
      </c>
      <c r="D819" t="b">
        <f>TRUE()</f>
        <v>1</v>
      </c>
      <c r="E819" t="b">
        <f>COUNTIF(connections!A:A, A819) &gt; 0</f>
        <v>1</v>
      </c>
      <c r="G819" t="s">
        <v>2830</v>
      </c>
      <c r="H819" t="s">
        <v>187</v>
      </c>
      <c r="I819" t="s">
        <v>2831</v>
      </c>
      <c r="J819" s="10" t="s">
        <v>2832</v>
      </c>
    </row>
    <row r="820" spans="1:10" x14ac:dyDescent="0.25">
      <c r="A820" t="s">
        <v>2833</v>
      </c>
      <c r="B820">
        <v>2024</v>
      </c>
      <c r="C820" t="s">
        <v>222</v>
      </c>
      <c r="D820" t="b">
        <f>TRUE()</f>
        <v>1</v>
      </c>
      <c r="E820" t="b">
        <f>COUNTIF(connections!A:A, A820) &gt; 0</f>
        <v>0</v>
      </c>
      <c r="F820" t="s">
        <v>274</v>
      </c>
      <c r="G820" t="s">
        <v>2834</v>
      </c>
    </row>
    <row r="821" spans="1:10" x14ac:dyDescent="0.25">
      <c r="A821" t="s">
        <v>2835</v>
      </c>
      <c r="B821">
        <v>2023</v>
      </c>
      <c r="C821" t="s">
        <v>176</v>
      </c>
      <c r="D821" t="b">
        <f>TRUE()</f>
        <v>1</v>
      </c>
      <c r="E821" t="b">
        <f>COUNTIF(connections!A:A, A821) &gt; 0</f>
        <v>0</v>
      </c>
      <c r="G821" t="s">
        <v>2836</v>
      </c>
      <c r="H821" t="s">
        <v>187</v>
      </c>
      <c r="I821" t="s">
        <v>2837</v>
      </c>
      <c r="J821" s="1" t="s">
        <v>2838</v>
      </c>
    </row>
    <row r="822" spans="1:10" x14ac:dyDescent="0.25">
      <c r="A822" t="s">
        <v>2839</v>
      </c>
      <c r="B822">
        <v>2024</v>
      </c>
      <c r="C822" t="s">
        <v>176</v>
      </c>
      <c r="D822" t="b">
        <f>TRUE()</f>
        <v>1</v>
      </c>
      <c r="E822" t="b">
        <f>COUNTIF(connections!A:A, A822) &gt; 0</f>
        <v>0</v>
      </c>
      <c r="G822" t="s">
        <v>2840</v>
      </c>
    </row>
    <row r="823" spans="1:10" x14ac:dyDescent="0.25">
      <c r="A823" t="s">
        <v>2841</v>
      </c>
      <c r="B823">
        <v>2024</v>
      </c>
      <c r="C823" t="s">
        <v>176</v>
      </c>
      <c r="D823" t="b">
        <f>FALSE()</f>
        <v>0</v>
      </c>
      <c r="E823" t="b">
        <f>COUNTIF(connections!A:A, A823) &gt; 0</f>
        <v>0</v>
      </c>
      <c r="G823" t="s">
        <v>2842</v>
      </c>
      <c r="J823" s="1" t="s">
        <v>2843</v>
      </c>
    </row>
    <row r="824" spans="1:10" x14ac:dyDescent="0.25">
      <c r="A824" t="s">
        <v>2844</v>
      </c>
      <c r="B824">
        <v>1998</v>
      </c>
      <c r="C824" t="s">
        <v>179</v>
      </c>
      <c r="D824" t="b">
        <f>TRUE()</f>
        <v>1</v>
      </c>
      <c r="E824" t="b">
        <f>COUNTIF(connections!A:A, A824) &gt; 0</f>
        <v>0</v>
      </c>
      <c r="G824" t="s">
        <v>2845</v>
      </c>
      <c r="H824" t="s">
        <v>187</v>
      </c>
      <c r="I824" t="s">
        <v>2846</v>
      </c>
    </row>
    <row r="825" spans="1:10" x14ac:dyDescent="0.25">
      <c r="A825" t="s">
        <v>2847</v>
      </c>
      <c r="B825">
        <v>2023</v>
      </c>
      <c r="C825" t="s">
        <v>222</v>
      </c>
      <c r="D825" t="b">
        <f>TRUE()</f>
        <v>1</v>
      </c>
      <c r="E825" t="b">
        <f>COUNTIF(connections!A:A, A825) &gt; 0</f>
        <v>1</v>
      </c>
      <c r="F825" t="s">
        <v>617</v>
      </c>
      <c r="G825" t="s">
        <v>2848</v>
      </c>
      <c r="H825" t="s">
        <v>187</v>
      </c>
      <c r="I825" t="s">
        <v>2849</v>
      </c>
      <c r="J825" s="1" t="s">
        <v>2850</v>
      </c>
    </row>
    <row r="826" spans="1:10" x14ac:dyDescent="0.25">
      <c r="A826" t="s">
        <v>2851</v>
      </c>
      <c r="B826">
        <v>2025</v>
      </c>
      <c r="C826" t="s">
        <v>222</v>
      </c>
      <c r="D826" t="b">
        <f>TRUE()</f>
        <v>1</v>
      </c>
      <c r="E826" t="b">
        <f>COUNTIF(connections!A:A, A826) &gt; 0</f>
        <v>0</v>
      </c>
      <c r="F826" t="s">
        <v>617</v>
      </c>
      <c r="G826" t="s">
        <v>2852</v>
      </c>
    </row>
    <row r="827" spans="1:10" x14ac:dyDescent="0.25">
      <c r="A827" t="s">
        <v>7906</v>
      </c>
      <c r="B827">
        <v>2026</v>
      </c>
      <c r="C827" t="s">
        <v>176</v>
      </c>
      <c r="D827" t="b">
        <f>TRUE()</f>
        <v>1</v>
      </c>
      <c r="E827" t="b">
        <f>COUNTIF(connections!A:A, A827) &gt; 0</f>
        <v>0</v>
      </c>
      <c r="G827" t="s">
        <v>7907</v>
      </c>
      <c r="J827" s="10" t="s">
        <v>7908</v>
      </c>
    </row>
    <row r="828" spans="1:10" x14ac:dyDescent="0.25">
      <c r="A828" t="s">
        <v>2853</v>
      </c>
      <c r="B828">
        <v>2026</v>
      </c>
      <c r="C828" t="s">
        <v>176</v>
      </c>
      <c r="D828" t="b">
        <f>TRUE()</f>
        <v>1</v>
      </c>
      <c r="E828" t="b">
        <f>COUNTIF(connections!A:A, A828) &gt; 0</f>
        <v>0</v>
      </c>
      <c r="G828" t="s">
        <v>2854</v>
      </c>
    </row>
    <row r="829" spans="1:10" x14ac:dyDescent="0.25">
      <c r="A829" t="s">
        <v>2855</v>
      </c>
      <c r="B829">
        <v>2023</v>
      </c>
      <c r="C829" t="s">
        <v>179</v>
      </c>
      <c r="D829" t="b">
        <f>TRUE()</f>
        <v>1</v>
      </c>
      <c r="E829" t="b">
        <f>COUNTIF(connections!A:A, A829) &gt; 0</f>
        <v>0</v>
      </c>
      <c r="F829" t="s">
        <v>274</v>
      </c>
      <c r="G829" t="s">
        <v>2856</v>
      </c>
    </row>
    <row r="830" spans="1:10" x14ac:dyDescent="0.25">
      <c r="A830" t="s">
        <v>2857</v>
      </c>
      <c r="B830">
        <v>2025</v>
      </c>
      <c r="C830" t="s">
        <v>176</v>
      </c>
      <c r="D830" t="b">
        <f>TRUE()</f>
        <v>1</v>
      </c>
      <c r="E830" t="b">
        <f>COUNTIF(connections!A:A, A830) &gt; 0</f>
        <v>0</v>
      </c>
      <c r="G830" t="s">
        <v>2858</v>
      </c>
      <c r="H830" t="s">
        <v>187</v>
      </c>
      <c r="I830" t="s">
        <v>2859</v>
      </c>
      <c r="J830" s="1" t="s">
        <v>2860</v>
      </c>
    </row>
    <row r="831" spans="1:10" x14ac:dyDescent="0.25">
      <c r="A831" t="s">
        <v>2861</v>
      </c>
      <c r="B831">
        <v>2017</v>
      </c>
      <c r="C831" t="s">
        <v>222</v>
      </c>
      <c r="D831" t="b">
        <f>TRUE()</f>
        <v>1</v>
      </c>
      <c r="E831" t="b">
        <f>COUNTIF(connections!A:A, A831) &gt; 0</f>
        <v>0</v>
      </c>
      <c r="G831" t="s">
        <v>2862</v>
      </c>
      <c r="H831" t="s">
        <v>187</v>
      </c>
      <c r="I831" t="s">
        <v>2863</v>
      </c>
      <c r="J831" s="1" t="s">
        <v>2864</v>
      </c>
    </row>
    <row r="832" spans="1:10" x14ac:dyDescent="0.25">
      <c r="A832" t="s">
        <v>2865</v>
      </c>
      <c r="B832">
        <v>2011</v>
      </c>
      <c r="C832" t="s">
        <v>179</v>
      </c>
      <c r="D832" t="b">
        <f>TRUE()</f>
        <v>1</v>
      </c>
      <c r="E832" t="b">
        <f>COUNTIF(connections!A:A, A832) &gt; 0</f>
        <v>0</v>
      </c>
      <c r="G832" t="s">
        <v>2866</v>
      </c>
    </row>
    <row r="833" spans="1:10" x14ac:dyDescent="0.25">
      <c r="A833" t="s">
        <v>2867</v>
      </c>
      <c r="B833">
        <v>2012</v>
      </c>
      <c r="C833" t="s">
        <v>222</v>
      </c>
      <c r="D833" t="b">
        <f>TRUE()</f>
        <v>1</v>
      </c>
      <c r="E833" t="b">
        <f>COUNTIF(connections!A:A, A833) &gt; 0</f>
        <v>0</v>
      </c>
      <c r="G833" t="s">
        <v>2868</v>
      </c>
      <c r="H833" t="s">
        <v>187</v>
      </c>
      <c r="I833" t="s">
        <v>2869</v>
      </c>
      <c r="J833" s="1" t="s">
        <v>2870</v>
      </c>
    </row>
    <row r="834" spans="1:10" x14ac:dyDescent="0.25">
      <c r="A834" t="s">
        <v>2871</v>
      </c>
      <c r="B834">
        <v>2017</v>
      </c>
      <c r="C834" t="s">
        <v>176</v>
      </c>
      <c r="D834" t="b">
        <f>FALSE()</f>
        <v>0</v>
      </c>
      <c r="E834" t="b">
        <f>COUNTIF(connections!A:A, A834) &gt; 0</f>
        <v>0</v>
      </c>
      <c r="F834" t="s">
        <v>652</v>
      </c>
      <c r="G834" t="s">
        <v>2872</v>
      </c>
      <c r="H834" t="s">
        <v>187</v>
      </c>
      <c r="I834" t="s">
        <v>2873</v>
      </c>
      <c r="J834" s="1" t="s">
        <v>2874</v>
      </c>
    </row>
    <row r="835" spans="1:10" x14ac:dyDescent="0.25">
      <c r="A835" t="s">
        <v>2875</v>
      </c>
      <c r="B835">
        <v>2005</v>
      </c>
      <c r="C835" t="s">
        <v>222</v>
      </c>
      <c r="D835" t="b">
        <f>TRUE()</f>
        <v>1</v>
      </c>
      <c r="E835" t="b">
        <f>COUNTIF(connections!A:A, A835) &gt; 0</f>
        <v>1</v>
      </c>
      <c r="F835" t="s">
        <v>274</v>
      </c>
      <c r="G835" t="s">
        <v>2876</v>
      </c>
      <c r="H835" t="s">
        <v>187</v>
      </c>
      <c r="I835" t="s">
        <v>2877</v>
      </c>
      <c r="J835" s="1" t="s">
        <v>2878</v>
      </c>
    </row>
    <row r="836" spans="1:10" x14ac:dyDescent="0.25">
      <c r="A836" t="s">
        <v>2879</v>
      </c>
      <c r="B836">
        <v>2020</v>
      </c>
      <c r="C836" t="s">
        <v>176</v>
      </c>
      <c r="D836" t="b">
        <f>FALSE()</f>
        <v>0</v>
      </c>
      <c r="E836" t="b">
        <f>COUNTIF(connections!A:A, A836) &gt; 0</f>
        <v>1</v>
      </c>
      <c r="G836" t="s">
        <v>2880</v>
      </c>
      <c r="H836" t="s">
        <v>187</v>
      </c>
      <c r="I836" t="s">
        <v>2881</v>
      </c>
      <c r="J836" s="10" t="s">
        <v>2882</v>
      </c>
    </row>
    <row r="837" spans="1:10" x14ac:dyDescent="0.25">
      <c r="A837" t="s">
        <v>2883</v>
      </c>
      <c r="B837">
        <v>2025</v>
      </c>
      <c r="C837" t="s">
        <v>176</v>
      </c>
      <c r="D837" t="b">
        <f>TRUE()</f>
        <v>1</v>
      </c>
      <c r="E837" t="b">
        <f>COUNTIF(connections!A:A, A837) &gt; 0</f>
        <v>0</v>
      </c>
      <c r="G837" t="s">
        <v>2884</v>
      </c>
    </row>
    <row r="838" spans="1:10" x14ac:dyDescent="0.25">
      <c r="A838" t="s">
        <v>2885</v>
      </c>
      <c r="B838">
        <v>2025</v>
      </c>
      <c r="C838" t="s">
        <v>176</v>
      </c>
      <c r="D838" t="b">
        <f>FALSE()</f>
        <v>0</v>
      </c>
      <c r="E838" t="b">
        <f>COUNTIF(connections!A:A, A838) &gt; 0</f>
        <v>0</v>
      </c>
      <c r="G838" t="s">
        <v>2886</v>
      </c>
    </row>
    <row r="839" spans="1:10" x14ac:dyDescent="0.25">
      <c r="A839" t="s">
        <v>2887</v>
      </c>
      <c r="B839">
        <v>2024</v>
      </c>
      <c r="C839" t="s">
        <v>176</v>
      </c>
      <c r="D839" t="b">
        <f>TRUE()</f>
        <v>1</v>
      </c>
      <c r="E839" t="b">
        <f>COUNTIF(connections!A:A, A839) &gt; 0</f>
        <v>0</v>
      </c>
      <c r="G839" t="s">
        <v>2888</v>
      </c>
    </row>
    <row r="840" spans="1:10" x14ac:dyDescent="0.25">
      <c r="A840" t="s">
        <v>2889</v>
      </c>
      <c r="B840">
        <v>2019</v>
      </c>
      <c r="C840" t="s">
        <v>222</v>
      </c>
      <c r="D840" t="b">
        <f>FALSE()</f>
        <v>0</v>
      </c>
      <c r="E840" t="b">
        <f>COUNTIF(connections!A:A, A840) &gt; 0</f>
        <v>0</v>
      </c>
      <c r="G840" t="s">
        <v>2890</v>
      </c>
    </row>
    <row r="841" spans="1:10" x14ac:dyDescent="0.25">
      <c r="A841" t="s">
        <v>2891</v>
      </c>
      <c r="B841">
        <v>2023</v>
      </c>
      <c r="C841" t="s">
        <v>182</v>
      </c>
      <c r="D841" t="b">
        <f>TRUE()</f>
        <v>1</v>
      </c>
      <c r="E841" t="b">
        <f>COUNTIF(connections!A:A, A841) &gt; 0</f>
        <v>1</v>
      </c>
      <c r="G841" t="s">
        <v>2892</v>
      </c>
      <c r="H841" t="s">
        <v>187</v>
      </c>
      <c r="I841" t="s">
        <v>2893</v>
      </c>
      <c r="J841" s="1" t="s">
        <v>2894</v>
      </c>
    </row>
    <row r="842" spans="1:10" x14ac:dyDescent="0.25">
      <c r="A842" t="s">
        <v>2895</v>
      </c>
      <c r="B842">
        <v>2024</v>
      </c>
      <c r="C842" t="s">
        <v>176</v>
      </c>
      <c r="D842" t="b">
        <f>TRUE()</f>
        <v>1</v>
      </c>
      <c r="E842" t="b">
        <f>COUNTIF(connections!A:A, A842) &gt; 0</f>
        <v>0</v>
      </c>
      <c r="G842" t="s">
        <v>2896</v>
      </c>
    </row>
    <row r="843" spans="1:10" x14ac:dyDescent="0.25">
      <c r="A843" t="s">
        <v>2897</v>
      </c>
      <c r="B843">
        <v>2026</v>
      </c>
      <c r="C843" t="s">
        <v>182</v>
      </c>
      <c r="D843" t="b">
        <f>TRUE()</f>
        <v>1</v>
      </c>
      <c r="E843" t="b">
        <f>COUNTIF(connections!A:A, A843) &gt; 0</f>
        <v>0</v>
      </c>
      <c r="G843" t="s">
        <v>2898</v>
      </c>
    </row>
    <row r="844" spans="1:10" x14ac:dyDescent="0.25">
      <c r="A844" t="s">
        <v>2899</v>
      </c>
      <c r="B844">
        <v>2026</v>
      </c>
      <c r="C844" t="s">
        <v>222</v>
      </c>
      <c r="D844" t="b">
        <f>FALSE()</f>
        <v>0</v>
      </c>
      <c r="E844" t="b">
        <f>COUNTIF(connections!A:A, A844) &gt; 0</f>
        <v>0</v>
      </c>
      <c r="F844" t="s">
        <v>404</v>
      </c>
      <c r="G844" t="s">
        <v>2900</v>
      </c>
      <c r="J844" s="1" t="s">
        <v>2901</v>
      </c>
    </row>
    <row r="845" spans="1:10" x14ac:dyDescent="0.25">
      <c r="A845" t="s">
        <v>2902</v>
      </c>
      <c r="B845">
        <v>2024</v>
      </c>
      <c r="C845" t="s">
        <v>176</v>
      </c>
      <c r="D845" t="b">
        <f>FALSE()</f>
        <v>0</v>
      </c>
      <c r="E845" t="b">
        <f>COUNTIF(connections!A:A, A845) &gt; 0</f>
        <v>1</v>
      </c>
      <c r="G845" t="s">
        <v>2903</v>
      </c>
      <c r="J845" s="1" t="s">
        <v>2904</v>
      </c>
    </row>
    <row r="846" spans="1:10" x14ac:dyDescent="0.25">
      <c r="A846" t="s">
        <v>2905</v>
      </c>
      <c r="B846">
        <v>2026</v>
      </c>
      <c r="C846" t="s">
        <v>182</v>
      </c>
      <c r="D846" t="b">
        <f>TRUE()</f>
        <v>1</v>
      </c>
      <c r="E846" t="b">
        <f>COUNTIF(connections!A:A, A846) &gt; 0</f>
        <v>0</v>
      </c>
      <c r="G846" t="s">
        <v>2906</v>
      </c>
    </row>
    <row r="847" spans="1:10" x14ac:dyDescent="0.25">
      <c r="A847" t="s">
        <v>2907</v>
      </c>
      <c r="B847">
        <v>2018</v>
      </c>
      <c r="C847" t="s">
        <v>176</v>
      </c>
      <c r="D847" t="b">
        <f>TRUE()</f>
        <v>1</v>
      </c>
      <c r="E847" t="b">
        <f>COUNTIF(connections!A:A, A847) &gt; 0</f>
        <v>1</v>
      </c>
      <c r="G847" t="s">
        <v>2908</v>
      </c>
      <c r="H847" t="s">
        <v>187</v>
      </c>
      <c r="I847" t="s">
        <v>2909</v>
      </c>
      <c r="J847" s="1" t="s">
        <v>2910</v>
      </c>
    </row>
    <row r="848" spans="1:10" x14ac:dyDescent="0.25">
      <c r="A848" t="s">
        <v>2911</v>
      </c>
      <c r="B848">
        <v>2024</v>
      </c>
      <c r="C848" t="s">
        <v>176</v>
      </c>
      <c r="D848" t="b">
        <f>TRUE()</f>
        <v>1</v>
      </c>
      <c r="E848" t="b">
        <f>COUNTIF(connections!A:A, A848) &gt; 0</f>
        <v>0</v>
      </c>
      <c r="G848" t="s">
        <v>2912</v>
      </c>
      <c r="H848" t="s">
        <v>187</v>
      </c>
      <c r="I848" t="s">
        <v>2913</v>
      </c>
      <c r="J848" s="1" t="s">
        <v>2914</v>
      </c>
    </row>
    <row r="849" spans="1:10" x14ac:dyDescent="0.25">
      <c r="A849" t="s">
        <v>2915</v>
      </c>
      <c r="B849">
        <v>2021</v>
      </c>
      <c r="C849" t="s">
        <v>222</v>
      </c>
      <c r="D849" t="b">
        <f>TRUE()</f>
        <v>1</v>
      </c>
      <c r="E849" t="b">
        <f>COUNTIF(connections!A:A, A849) &gt; 0</f>
        <v>0</v>
      </c>
      <c r="F849" t="s">
        <v>1165</v>
      </c>
      <c r="G849" t="s">
        <v>2916</v>
      </c>
      <c r="H849" t="s">
        <v>187</v>
      </c>
      <c r="I849" t="s">
        <v>2917</v>
      </c>
      <c r="J849" s="1" t="s">
        <v>2918</v>
      </c>
    </row>
    <row r="850" spans="1:10" x14ac:dyDescent="0.25">
      <c r="A850" t="s">
        <v>2919</v>
      </c>
      <c r="B850">
        <v>2025</v>
      </c>
      <c r="C850" t="s">
        <v>182</v>
      </c>
      <c r="D850" t="b">
        <f>TRUE()</f>
        <v>1</v>
      </c>
      <c r="E850" t="b">
        <f>COUNTIF(connections!A:A, A850) &gt; 0</f>
        <v>0</v>
      </c>
      <c r="F850" t="s">
        <v>731</v>
      </c>
      <c r="G850" t="s">
        <v>2920</v>
      </c>
    </row>
    <row r="851" spans="1:10" x14ac:dyDescent="0.25">
      <c r="A851" t="s">
        <v>2921</v>
      </c>
      <c r="B851">
        <v>2025</v>
      </c>
      <c r="C851" t="s">
        <v>182</v>
      </c>
      <c r="D851" t="b">
        <f>TRUE()</f>
        <v>1</v>
      </c>
      <c r="E851" t="b">
        <f>COUNTIF(connections!A:A, A851) &gt; 0</f>
        <v>0</v>
      </c>
      <c r="F851" t="s">
        <v>731</v>
      </c>
      <c r="G851" t="s">
        <v>2922</v>
      </c>
      <c r="H851" t="s">
        <v>187</v>
      </c>
      <c r="I851" t="s">
        <v>2923</v>
      </c>
      <c r="J851" s="1" t="s">
        <v>2924</v>
      </c>
    </row>
    <row r="852" spans="1:10" x14ac:dyDescent="0.25">
      <c r="A852" t="s">
        <v>2925</v>
      </c>
      <c r="B852">
        <v>2022</v>
      </c>
      <c r="C852" t="s">
        <v>182</v>
      </c>
      <c r="D852" t="b">
        <f>TRUE()</f>
        <v>1</v>
      </c>
      <c r="E852" t="b">
        <f>COUNTIF(connections!A:A, A852) &gt; 0</f>
        <v>0</v>
      </c>
      <c r="F852" t="s">
        <v>731</v>
      </c>
      <c r="G852" t="s">
        <v>2926</v>
      </c>
      <c r="H852" t="s">
        <v>187</v>
      </c>
      <c r="I852" t="s">
        <v>2927</v>
      </c>
      <c r="J852" s="1" t="s">
        <v>2928</v>
      </c>
    </row>
    <row r="853" spans="1:10" x14ac:dyDescent="0.25">
      <c r="A853" t="s">
        <v>2929</v>
      </c>
      <c r="B853">
        <v>2026</v>
      </c>
      <c r="C853" t="s">
        <v>182</v>
      </c>
      <c r="D853" t="b">
        <f>TRUE()</f>
        <v>1</v>
      </c>
      <c r="E853" t="b">
        <f>COUNTIF(connections!A:A, A853) &gt; 0</f>
        <v>0</v>
      </c>
      <c r="G853" t="s">
        <v>2930</v>
      </c>
      <c r="J853" s="10" t="s">
        <v>2931</v>
      </c>
    </row>
    <row r="854" spans="1:10" x14ac:dyDescent="0.25">
      <c r="A854" t="s">
        <v>2932</v>
      </c>
      <c r="B854">
        <v>2025</v>
      </c>
      <c r="C854" t="s">
        <v>176</v>
      </c>
      <c r="D854" t="b">
        <f>TRUE()</f>
        <v>1</v>
      </c>
      <c r="E854" t="b">
        <f>COUNTIF(connections!A:A, A854) &gt; 0</f>
        <v>0</v>
      </c>
      <c r="G854" t="s">
        <v>2933</v>
      </c>
    </row>
    <row r="855" spans="1:10" x14ac:dyDescent="0.25">
      <c r="A855" t="s">
        <v>2934</v>
      </c>
      <c r="B855">
        <v>2023</v>
      </c>
      <c r="C855" t="s">
        <v>176</v>
      </c>
      <c r="D855" t="b">
        <f>TRUE()</f>
        <v>1</v>
      </c>
      <c r="E855" t="b">
        <f>COUNTIF(connections!A:A, A855) &gt; 0</f>
        <v>0</v>
      </c>
      <c r="F855" t="s">
        <v>458</v>
      </c>
      <c r="G855" t="s">
        <v>2935</v>
      </c>
      <c r="H855" t="s">
        <v>187</v>
      </c>
      <c r="I855" t="s">
        <v>2936</v>
      </c>
      <c r="J855" s="1" t="s">
        <v>2937</v>
      </c>
    </row>
    <row r="856" spans="1:10" x14ac:dyDescent="0.25">
      <c r="A856" t="s">
        <v>2938</v>
      </c>
      <c r="B856">
        <v>2024</v>
      </c>
      <c r="C856" t="s">
        <v>182</v>
      </c>
      <c r="D856" t="b">
        <f>TRUE()</f>
        <v>1</v>
      </c>
      <c r="E856" t="b">
        <f>COUNTIF(connections!A:A, A856) &gt; 0</f>
        <v>0</v>
      </c>
      <c r="F856" t="s">
        <v>1077</v>
      </c>
      <c r="G856" t="s">
        <v>2939</v>
      </c>
      <c r="H856" t="s">
        <v>187</v>
      </c>
      <c r="I856" t="s">
        <v>2940</v>
      </c>
      <c r="J856" s="1" t="s">
        <v>2941</v>
      </c>
    </row>
    <row r="857" spans="1:10" x14ac:dyDescent="0.25">
      <c r="A857" t="s">
        <v>2942</v>
      </c>
      <c r="B857">
        <v>2017</v>
      </c>
      <c r="C857" t="s">
        <v>179</v>
      </c>
      <c r="D857" t="b">
        <f>TRUE()</f>
        <v>1</v>
      </c>
      <c r="E857" t="b">
        <f>COUNTIF(connections!A:A, A857) &gt; 0</f>
        <v>0</v>
      </c>
      <c r="G857" t="s">
        <v>2943</v>
      </c>
    </row>
    <row r="858" spans="1:10" x14ac:dyDescent="0.25">
      <c r="A858" t="s">
        <v>2944</v>
      </c>
      <c r="B858">
        <v>2010</v>
      </c>
      <c r="C858" t="s">
        <v>179</v>
      </c>
      <c r="D858" t="b">
        <f>TRUE()</f>
        <v>1</v>
      </c>
      <c r="E858" t="b">
        <f>COUNTIF(connections!A:A, A858) &gt; 0</f>
        <v>1</v>
      </c>
      <c r="G858" t="s">
        <v>2945</v>
      </c>
      <c r="H858" t="s">
        <v>187</v>
      </c>
      <c r="I858" t="s">
        <v>2946</v>
      </c>
      <c r="J858" s="10" t="s">
        <v>2947</v>
      </c>
    </row>
    <row r="859" spans="1:10" x14ac:dyDescent="0.25">
      <c r="A859" t="s">
        <v>2948</v>
      </c>
      <c r="B859">
        <v>1994</v>
      </c>
      <c r="C859" t="s">
        <v>179</v>
      </c>
      <c r="D859" t="b">
        <f>TRUE()</f>
        <v>1</v>
      </c>
      <c r="E859" t="b">
        <f>COUNTIF(connections!A:A, A859) &gt; 0</f>
        <v>1</v>
      </c>
      <c r="G859" t="s">
        <v>2949</v>
      </c>
      <c r="H859" t="s">
        <v>187</v>
      </c>
      <c r="I859" t="s">
        <v>2950</v>
      </c>
    </row>
    <row r="860" spans="1:10" x14ac:dyDescent="0.25">
      <c r="A860" t="s">
        <v>2951</v>
      </c>
      <c r="B860">
        <v>2024</v>
      </c>
      <c r="C860" t="s">
        <v>182</v>
      </c>
      <c r="D860" t="b">
        <f>TRUE()</f>
        <v>1</v>
      </c>
      <c r="E860" t="b">
        <f>COUNTIF(connections!A:A, A860) &gt; 0</f>
        <v>0</v>
      </c>
      <c r="F860" t="s">
        <v>274</v>
      </c>
      <c r="G860" t="s">
        <v>2952</v>
      </c>
      <c r="H860" t="s">
        <v>187</v>
      </c>
      <c r="I860" t="s">
        <v>2953</v>
      </c>
      <c r="J860" s="1" t="s">
        <v>2954</v>
      </c>
    </row>
    <row r="861" spans="1:10" x14ac:dyDescent="0.25">
      <c r="A861" t="s">
        <v>2955</v>
      </c>
      <c r="B861">
        <v>2014</v>
      </c>
      <c r="C861" t="s">
        <v>176</v>
      </c>
      <c r="D861" t="b">
        <f>TRUE()</f>
        <v>1</v>
      </c>
      <c r="E861" t="b">
        <f>COUNTIF(connections!A:A, A861) &gt; 0</f>
        <v>1</v>
      </c>
      <c r="G861" t="s">
        <v>2956</v>
      </c>
      <c r="H861" t="s">
        <v>187</v>
      </c>
      <c r="I861" t="s">
        <v>2957</v>
      </c>
      <c r="J861" s="1" t="s">
        <v>2958</v>
      </c>
    </row>
    <row r="862" spans="1:10" x14ac:dyDescent="0.25">
      <c r="A862" t="s">
        <v>2959</v>
      </c>
      <c r="B862">
        <v>2020</v>
      </c>
      <c r="C862" t="s">
        <v>176</v>
      </c>
      <c r="D862" t="b">
        <f>TRUE()</f>
        <v>1</v>
      </c>
      <c r="E862" t="b">
        <f>COUNTIF(connections!A:A, A862) &gt; 0</f>
        <v>0</v>
      </c>
      <c r="G862" t="s">
        <v>2960</v>
      </c>
      <c r="H862" t="s">
        <v>187</v>
      </c>
      <c r="I862" t="s">
        <v>2961</v>
      </c>
      <c r="J862" s="1" t="s">
        <v>2962</v>
      </c>
    </row>
    <row r="863" spans="1:10" x14ac:dyDescent="0.25">
      <c r="A863" t="s">
        <v>2963</v>
      </c>
      <c r="B863">
        <v>2025</v>
      </c>
      <c r="C863" t="s">
        <v>179</v>
      </c>
      <c r="D863" t="b">
        <f>TRUE()</f>
        <v>1</v>
      </c>
      <c r="E863" t="b">
        <f>COUNTIF(connections!A:A, A863) &gt; 0</f>
        <v>0</v>
      </c>
      <c r="G863" t="s">
        <v>2964</v>
      </c>
      <c r="H863" t="s">
        <v>187</v>
      </c>
      <c r="I863" t="s">
        <v>2965</v>
      </c>
    </row>
    <row r="864" spans="1:10" x14ac:dyDescent="0.25">
      <c r="A864" t="s">
        <v>2966</v>
      </c>
      <c r="B864">
        <v>2023</v>
      </c>
      <c r="C864" t="s">
        <v>182</v>
      </c>
      <c r="D864" t="b">
        <f>TRUE()</f>
        <v>1</v>
      </c>
      <c r="E864" t="b">
        <f>COUNTIF(connections!A:A, A864) &gt; 0</f>
        <v>1</v>
      </c>
      <c r="G864" t="s">
        <v>2967</v>
      </c>
      <c r="H864" t="s">
        <v>187</v>
      </c>
      <c r="I864" t="s">
        <v>2968</v>
      </c>
      <c r="J864" s="1" t="s">
        <v>2969</v>
      </c>
    </row>
    <row r="865" spans="1:10" x14ac:dyDescent="0.25">
      <c r="A865" t="s">
        <v>2970</v>
      </c>
      <c r="B865">
        <v>2026</v>
      </c>
      <c r="C865" t="s">
        <v>182</v>
      </c>
      <c r="D865" t="b">
        <f>TRUE()</f>
        <v>1</v>
      </c>
      <c r="E865" t="b">
        <f>COUNTIF(connections!A:A, A865) &gt; 0</f>
        <v>0</v>
      </c>
      <c r="G865" t="s">
        <v>2971</v>
      </c>
      <c r="J865" s="10" t="s">
        <v>2972</v>
      </c>
    </row>
    <row r="866" spans="1:10" x14ac:dyDescent="0.25">
      <c r="A866" t="s">
        <v>2973</v>
      </c>
      <c r="B866">
        <v>2022</v>
      </c>
      <c r="C866" t="s">
        <v>179</v>
      </c>
      <c r="D866" t="b">
        <f>TRUE()</f>
        <v>1</v>
      </c>
      <c r="E866" t="b">
        <f>COUNTIF(connections!A:A, A866) &gt; 0</f>
        <v>0</v>
      </c>
      <c r="G866" t="s">
        <v>2974</v>
      </c>
      <c r="H866" t="s">
        <v>187</v>
      </c>
      <c r="I866" t="s">
        <v>2975</v>
      </c>
      <c r="J866"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100" r:id="rId66" xr:uid="{00000000-0004-0000-0000-000041000000}"/>
    <hyperlink ref="J102" r:id="rId67" xr:uid="{00000000-0004-0000-0000-000042000000}"/>
    <hyperlink ref="J110" r:id="rId68" xr:uid="{00000000-0004-0000-0000-000043000000}"/>
    <hyperlink ref="J111" r:id="rId69" xr:uid="{00000000-0004-0000-0000-000044000000}"/>
    <hyperlink ref="J113" r:id="rId70" xr:uid="{00000000-0004-0000-0000-000045000000}"/>
    <hyperlink ref="J114" r:id="rId71" xr:uid="{00000000-0004-0000-0000-000046000000}"/>
    <hyperlink ref="J115" r:id="rId72" xr:uid="{00000000-0004-0000-0000-000047000000}"/>
    <hyperlink ref="J117" r:id="rId73" xr:uid="{00000000-0004-0000-0000-000048000000}"/>
    <hyperlink ref="J119" r:id="rId74" xr:uid="{00000000-0004-0000-0000-000049000000}"/>
    <hyperlink ref="J120" r:id="rId75" xr:uid="{00000000-0004-0000-0000-00004A000000}"/>
    <hyperlink ref="J124" r:id="rId76" xr:uid="{00000000-0004-0000-0000-00004B000000}"/>
    <hyperlink ref="J125" r:id="rId77" xr:uid="{00000000-0004-0000-0000-00004C000000}"/>
    <hyperlink ref="J126" r:id="rId78" xr:uid="{00000000-0004-0000-0000-00004D000000}"/>
    <hyperlink ref="J127" r:id="rId79" xr:uid="{00000000-0004-0000-0000-00004E000000}"/>
    <hyperlink ref="J130" r:id="rId80" xr:uid="{00000000-0004-0000-0000-00004F000000}"/>
    <hyperlink ref="J131" r:id="rId81" xr:uid="{00000000-0004-0000-0000-000050000000}"/>
    <hyperlink ref="J134" r:id="rId82" xr:uid="{00000000-0004-0000-0000-000051000000}"/>
    <hyperlink ref="J136" r:id="rId83" xr:uid="{00000000-0004-0000-0000-000052000000}"/>
    <hyperlink ref="J137" r:id="rId84" xr:uid="{00000000-0004-0000-0000-000053000000}"/>
    <hyperlink ref="J140" r:id="rId85" xr:uid="{00000000-0004-0000-0000-000054000000}"/>
    <hyperlink ref="J141" r:id="rId86" xr:uid="{00000000-0004-0000-0000-000055000000}"/>
    <hyperlink ref="J142" r:id="rId87" xr:uid="{00000000-0004-0000-0000-000056000000}"/>
    <hyperlink ref="J143" r:id="rId88" xr:uid="{00000000-0004-0000-0000-000057000000}"/>
    <hyperlink ref="J144" r:id="rId89" xr:uid="{00000000-0004-0000-0000-000058000000}"/>
    <hyperlink ref="J146" r:id="rId90" xr:uid="{00000000-0004-0000-0000-000059000000}"/>
    <hyperlink ref="J147" r:id="rId91" xr:uid="{00000000-0004-0000-0000-00005A000000}"/>
    <hyperlink ref="J148"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5" r:id="rId98" xr:uid="{00000000-0004-0000-0000-000061000000}"/>
    <hyperlink ref="J158" r:id="rId99" xr:uid="{00000000-0004-0000-0000-000062000000}"/>
    <hyperlink ref="J159" r:id="rId100" xr:uid="{00000000-0004-0000-0000-000063000000}"/>
    <hyperlink ref="J160" r:id="rId101" xr:uid="{00000000-0004-0000-0000-000064000000}"/>
    <hyperlink ref="J161" r:id="rId102" xr:uid="{00000000-0004-0000-0000-000065000000}"/>
    <hyperlink ref="J162" r:id="rId103" xr:uid="{00000000-0004-0000-0000-000066000000}"/>
    <hyperlink ref="J163" r:id="rId104" xr:uid="{00000000-0004-0000-0000-000067000000}"/>
    <hyperlink ref="J166" r:id="rId105" xr:uid="{00000000-0004-0000-0000-000068000000}"/>
    <hyperlink ref="J168"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4" r:id="rId111" xr:uid="{00000000-0004-0000-0000-00006E000000}"/>
    <hyperlink ref="J175" r:id="rId112" xr:uid="{00000000-0004-0000-0000-00006F000000}"/>
    <hyperlink ref="J176" r:id="rId113" xr:uid="{00000000-0004-0000-0000-000070000000}"/>
    <hyperlink ref="J177" r:id="rId114" xr:uid="{00000000-0004-0000-0000-000071000000}"/>
    <hyperlink ref="J178" r:id="rId115" xr:uid="{00000000-0004-0000-0000-000072000000}"/>
    <hyperlink ref="J181" r:id="rId116" xr:uid="{00000000-0004-0000-0000-000073000000}"/>
    <hyperlink ref="J182" r:id="rId117" xr:uid="{00000000-0004-0000-0000-000074000000}"/>
    <hyperlink ref="J183" r:id="rId118" xr:uid="{00000000-0004-0000-0000-000075000000}"/>
    <hyperlink ref="J184" r:id="rId119" xr:uid="{00000000-0004-0000-0000-000076000000}"/>
    <hyperlink ref="J185" r:id="rId120" xr:uid="{00000000-0004-0000-0000-000077000000}"/>
    <hyperlink ref="J186" r:id="rId121" xr:uid="{00000000-0004-0000-0000-000078000000}"/>
    <hyperlink ref="J187" r:id="rId122" xr:uid="{00000000-0004-0000-0000-000079000000}"/>
    <hyperlink ref="J188" r:id="rId123" xr:uid="{00000000-0004-0000-0000-00007A000000}"/>
    <hyperlink ref="J191" r:id="rId124" xr:uid="{00000000-0004-0000-0000-00007B000000}"/>
    <hyperlink ref="J193" r:id="rId125" xr:uid="{00000000-0004-0000-0000-00007C000000}"/>
    <hyperlink ref="J195" r:id="rId126" xr:uid="{00000000-0004-0000-0000-00007D000000}"/>
    <hyperlink ref="J196" r:id="rId127" xr:uid="{00000000-0004-0000-0000-00007E000000}"/>
    <hyperlink ref="J198" r:id="rId128" xr:uid="{00000000-0004-0000-0000-00007F000000}"/>
    <hyperlink ref="J199" r:id="rId129" xr:uid="{00000000-0004-0000-0000-000080000000}"/>
    <hyperlink ref="J202" r:id="rId130" xr:uid="{00000000-0004-0000-0000-000081000000}"/>
    <hyperlink ref="J204" r:id="rId131" xr:uid="{00000000-0004-0000-0000-000082000000}"/>
    <hyperlink ref="J205" r:id="rId132" xr:uid="{00000000-0004-0000-0000-000083000000}"/>
    <hyperlink ref="J207" r:id="rId133" xr:uid="{00000000-0004-0000-0000-000084000000}"/>
    <hyperlink ref="J208" r:id="rId134" xr:uid="{00000000-0004-0000-0000-000085000000}"/>
    <hyperlink ref="J209" r:id="rId135" xr:uid="{00000000-0004-0000-0000-000086000000}"/>
    <hyperlink ref="J211" r:id="rId136" xr:uid="{00000000-0004-0000-0000-000087000000}"/>
    <hyperlink ref="J212" r:id="rId137" xr:uid="{00000000-0004-0000-0000-000088000000}"/>
    <hyperlink ref="J214" r:id="rId138" xr:uid="{00000000-0004-0000-0000-000089000000}"/>
    <hyperlink ref="J215" r:id="rId139" xr:uid="{00000000-0004-0000-0000-00008A000000}"/>
    <hyperlink ref="J218" r:id="rId140" xr:uid="{00000000-0004-0000-0000-00008B000000}"/>
    <hyperlink ref="J219" r:id="rId141" xr:uid="{00000000-0004-0000-0000-00008C000000}"/>
    <hyperlink ref="J220" r:id="rId142" xr:uid="{00000000-0004-0000-0000-00008D000000}"/>
    <hyperlink ref="J222" r:id="rId143" xr:uid="{00000000-0004-0000-0000-00008E000000}"/>
    <hyperlink ref="J223" r:id="rId144" xr:uid="{00000000-0004-0000-0000-00008F000000}"/>
    <hyperlink ref="J226" r:id="rId145" xr:uid="{00000000-0004-0000-0000-000090000000}"/>
    <hyperlink ref="J227" r:id="rId146" xr:uid="{00000000-0004-0000-0000-000091000000}"/>
    <hyperlink ref="J232" r:id="rId147" xr:uid="{00000000-0004-0000-0000-000092000000}"/>
    <hyperlink ref="J234" r:id="rId148" xr:uid="{00000000-0004-0000-0000-000093000000}"/>
    <hyperlink ref="J236" r:id="rId149" xr:uid="{00000000-0004-0000-0000-000094000000}"/>
    <hyperlink ref="J238" r:id="rId150" xr:uid="{00000000-0004-0000-0000-000095000000}"/>
    <hyperlink ref="J240" r:id="rId151" xr:uid="{00000000-0004-0000-0000-000096000000}"/>
    <hyperlink ref="J241" r:id="rId152" xr:uid="{00000000-0004-0000-0000-000097000000}"/>
    <hyperlink ref="J244" r:id="rId153" xr:uid="{00000000-0004-0000-0000-000098000000}"/>
    <hyperlink ref="J245" r:id="rId154" xr:uid="{00000000-0004-0000-0000-000099000000}"/>
    <hyperlink ref="J246" r:id="rId155" xr:uid="{00000000-0004-0000-0000-00009A000000}"/>
    <hyperlink ref="J248" r:id="rId156" xr:uid="{00000000-0004-0000-0000-00009B000000}"/>
    <hyperlink ref="J249" r:id="rId157" xr:uid="{00000000-0004-0000-0000-00009C000000}"/>
    <hyperlink ref="J251" r:id="rId158" xr:uid="{00000000-0004-0000-0000-00009D000000}"/>
    <hyperlink ref="J253" r:id="rId159" xr:uid="{00000000-0004-0000-0000-00009E000000}"/>
    <hyperlink ref="J254" r:id="rId160" xr:uid="{00000000-0004-0000-0000-00009F000000}"/>
    <hyperlink ref="J255" r:id="rId161" xr:uid="{00000000-0004-0000-0000-0000A0000000}"/>
    <hyperlink ref="J256" r:id="rId162" xr:uid="{00000000-0004-0000-0000-0000A1000000}"/>
    <hyperlink ref="J259" r:id="rId163" xr:uid="{00000000-0004-0000-0000-0000A2000000}"/>
    <hyperlink ref="J260" r:id="rId164" xr:uid="{00000000-0004-0000-0000-0000A3000000}"/>
    <hyperlink ref="J261" r:id="rId165" xr:uid="{00000000-0004-0000-0000-0000A4000000}"/>
    <hyperlink ref="J262" r:id="rId166" xr:uid="{00000000-0004-0000-0000-0000A5000000}"/>
    <hyperlink ref="J263" r:id="rId167" xr:uid="{00000000-0004-0000-0000-0000A6000000}"/>
    <hyperlink ref="J268" r:id="rId168" xr:uid="{00000000-0004-0000-0000-0000A7000000}"/>
    <hyperlink ref="J269" r:id="rId169" xr:uid="{00000000-0004-0000-0000-0000A8000000}"/>
    <hyperlink ref="J270" r:id="rId170" xr:uid="{00000000-0004-0000-0000-0000A9000000}"/>
    <hyperlink ref="J271" r:id="rId171" xr:uid="{00000000-0004-0000-0000-0000AA000000}"/>
    <hyperlink ref="J272" r:id="rId172" xr:uid="{00000000-0004-0000-0000-0000AB000000}"/>
    <hyperlink ref="J275" r:id="rId173" xr:uid="{00000000-0004-0000-0000-0000AC000000}"/>
    <hyperlink ref="J276" r:id="rId174" xr:uid="{00000000-0004-0000-0000-0000AD000000}"/>
    <hyperlink ref="J278" r:id="rId175" xr:uid="{00000000-0004-0000-0000-0000AE000000}"/>
    <hyperlink ref="J281" r:id="rId176" xr:uid="{00000000-0004-0000-0000-0000AF000000}"/>
    <hyperlink ref="J282" r:id="rId177" xr:uid="{00000000-0004-0000-0000-0000B0000000}"/>
    <hyperlink ref="J283" r:id="rId178" xr:uid="{00000000-0004-0000-0000-0000B1000000}"/>
    <hyperlink ref="J284" r:id="rId179" xr:uid="{00000000-0004-0000-0000-0000B2000000}"/>
    <hyperlink ref="J285" r:id="rId180" xr:uid="{00000000-0004-0000-0000-0000B3000000}"/>
    <hyperlink ref="J286" r:id="rId181" xr:uid="{00000000-0004-0000-0000-0000B4000000}"/>
    <hyperlink ref="J288" r:id="rId182" xr:uid="{00000000-0004-0000-0000-0000B5000000}"/>
    <hyperlink ref="J289" r:id="rId183" xr:uid="{00000000-0004-0000-0000-0000B6000000}"/>
    <hyperlink ref="J290" r:id="rId184" xr:uid="{00000000-0004-0000-0000-0000B7000000}"/>
    <hyperlink ref="J292" r:id="rId185" xr:uid="{00000000-0004-0000-0000-0000B8000000}"/>
    <hyperlink ref="J293" r:id="rId186" xr:uid="{00000000-0004-0000-0000-0000B9000000}"/>
    <hyperlink ref="J294" r:id="rId187" xr:uid="{00000000-0004-0000-0000-0000BA000000}"/>
    <hyperlink ref="J297" r:id="rId188" xr:uid="{00000000-0004-0000-0000-0000BB000000}"/>
    <hyperlink ref="J303" r:id="rId189" xr:uid="{00000000-0004-0000-0000-0000BC000000}"/>
    <hyperlink ref="J304" r:id="rId190" xr:uid="{00000000-0004-0000-0000-0000BD000000}"/>
    <hyperlink ref="J305" r:id="rId191" xr:uid="{00000000-0004-0000-0000-0000BE000000}"/>
    <hyperlink ref="J306" r:id="rId192" xr:uid="{00000000-0004-0000-0000-0000BF000000}"/>
    <hyperlink ref="J307" r:id="rId193" xr:uid="{00000000-0004-0000-0000-0000C0000000}"/>
    <hyperlink ref="J309" r:id="rId194" xr:uid="{00000000-0004-0000-0000-0000C1000000}"/>
    <hyperlink ref="J310" r:id="rId195" xr:uid="{00000000-0004-0000-0000-0000C2000000}"/>
    <hyperlink ref="J311" r:id="rId196" xr:uid="{00000000-0004-0000-0000-0000C3000000}"/>
    <hyperlink ref="J313" r:id="rId197" xr:uid="{00000000-0004-0000-0000-0000C4000000}"/>
    <hyperlink ref="J314" r:id="rId198" xr:uid="{00000000-0004-0000-0000-0000C5000000}"/>
    <hyperlink ref="J315" r:id="rId199" xr:uid="{00000000-0004-0000-0000-0000C6000000}"/>
    <hyperlink ref="J316" r:id="rId200" xr:uid="{00000000-0004-0000-0000-0000C7000000}"/>
    <hyperlink ref="J317" r:id="rId201" xr:uid="{00000000-0004-0000-0000-0000C8000000}"/>
    <hyperlink ref="J318" r:id="rId202" xr:uid="{00000000-0004-0000-0000-0000C9000000}"/>
    <hyperlink ref="J319" r:id="rId203" xr:uid="{00000000-0004-0000-0000-0000CA000000}"/>
    <hyperlink ref="J320" r:id="rId204" xr:uid="{00000000-0004-0000-0000-0000CB000000}"/>
    <hyperlink ref="J322" r:id="rId205" xr:uid="{00000000-0004-0000-0000-0000CC000000}"/>
    <hyperlink ref="J324" r:id="rId206" xr:uid="{00000000-0004-0000-0000-0000CD000000}"/>
    <hyperlink ref="J325" r:id="rId207" xr:uid="{00000000-0004-0000-0000-0000CE000000}"/>
    <hyperlink ref="J327" r:id="rId208" xr:uid="{00000000-0004-0000-0000-0000CF000000}"/>
    <hyperlink ref="J328" r:id="rId209" xr:uid="{00000000-0004-0000-0000-0000D0000000}"/>
    <hyperlink ref="J329" r:id="rId210" xr:uid="{00000000-0004-0000-0000-0000D1000000}"/>
    <hyperlink ref="J330" r:id="rId211" xr:uid="{00000000-0004-0000-0000-0000D2000000}"/>
    <hyperlink ref="J331" r:id="rId212" xr:uid="{00000000-0004-0000-0000-0000D3000000}"/>
    <hyperlink ref="J332" r:id="rId213" xr:uid="{00000000-0004-0000-0000-0000D4000000}"/>
    <hyperlink ref="J336" r:id="rId214" xr:uid="{00000000-0004-0000-0000-0000D5000000}"/>
    <hyperlink ref="J337" r:id="rId215" xr:uid="{00000000-0004-0000-0000-0000D6000000}"/>
    <hyperlink ref="J338" r:id="rId216" xr:uid="{00000000-0004-0000-0000-0000D7000000}"/>
    <hyperlink ref="J339" r:id="rId217" xr:uid="{00000000-0004-0000-0000-0000D8000000}"/>
    <hyperlink ref="J340" r:id="rId218" xr:uid="{00000000-0004-0000-0000-0000D9000000}"/>
    <hyperlink ref="J342" r:id="rId219" xr:uid="{00000000-0004-0000-0000-0000DA000000}"/>
    <hyperlink ref="J345" r:id="rId220" xr:uid="{00000000-0004-0000-0000-0000DB000000}"/>
    <hyperlink ref="J347" r:id="rId221" xr:uid="{00000000-0004-0000-0000-0000DC000000}"/>
    <hyperlink ref="J348" r:id="rId222" xr:uid="{00000000-0004-0000-0000-0000DD000000}"/>
    <hyperlink ref="J349" r:id="rId223" xr:uid="{00000000-0004-0000-0000-0000DE000000}"/>
    <hyperlink ref="J351" r:id="rId224" xr:uid="{00000000-0004-0000-0000-0000DF000000}"/>
    <hyperlink ref="J352" r:id="rId225" xr:uid="{00000000-0004-0000-0000-0000E0000000}"/>
    <hyperlink ref="J353" r:id="rId226" xr:uid="{00000000-0004-0000-0000-0000E1000000}"/>
    <hyperlink ref="J354" r:id="rId227" xr:uid="{00000000-0004-0000-0000-0000E2000000}"/>
    <hyperlink ref="J356" r:id="rId228" xr:uid="{00000000-0004-0000-0000-0000E3000000}"/>
    <hyperlink ref="J357" r:id="rId229" xr:uid="{00000000-0004-0000-0000-0000E4000000}"/>
    <hyperlink ref="J358" r:id="rId230" xr:uid="{00000000-0004-0000-0000-0000E5000000}"/>
    <hyperlink ref="J359" r:id="rId231" xr:uid="{00000000-0004-0000-0000-0000E6000000}"/>
    <hyperlink ref="J360" r:id="rId232" xr:uid="{00000000-0004-0000-0000-0000E7000000}"/>
    <hyperlink ref="J361" r:id="rId233" xr:uid="{00000000-0004-0000-0000-0000E8000000}"/>
    <hyperlink ref="J363" r:id="rId234" xr:uid="{00000000-0004-0000-0000-0000E9000000}"/>
    <hyperlink ref="J364" r:id="rId235" xr:uid="{00000000-0004-0000-0000-0000EA000000}"/>
    <hyperlink ref="J367" r:id="rId236" xr:uid="{00000000-0004-0000-0000-0000EB000000}"/>
    <hyperlink ref="J370" r:id="rId237" xr:uid="{00000000-0004-0000-0000-0000EC000000}"/>
    <hyperlink ref="J371" r:id="rId238" xr:uid="{00000000-0004-0000-0000-0000ED000000}"/>
    <hyperlink ref="J373" r:id="rId239" xr:uid="{00000000-0004-0000-0000-0000EE000000}"/>
    <hyperlink ref="J374" r:id="rId240" xr:uid="{00000000-0004-0000-0000-0000EF000000}"/>
    <hyperlink ref="J375" r:id="rId241" xr:uid="{00000000-0004-0000-0000-0000F0000000}"/>
    <hyperlink ref="J379" r:id="rId242" xr:uid="{00000000-0004-0000-0000-0000F1000000}"/>
    <hyperlink ref="J380" r:id="rId243" xr:uid="{00000000-0004-0000-0000-0000F2000000}"/>
    <hyperlink ref="J381" r:id="rId244" xr:uid="{00000000-0004-0000-0000-0000F3000000}"/>
    <hyperlink ref="J382" r:id="rId245" xr:uid="{00000000-0004-0000-0000-0000F4000000}"/>
    <hyperlink ref="J383" r:id="rId246" xr:uid="{00000000-0004-0000-0000-0000F5000000}"/>
    <hyperlink ref="J384" r:id="rId247" xr:uid="{00000000-0004-0000-0000-0000F6000000}"/>
    <hyperlink ref="J385" r:id="rId248" xr:uid="{00000000-0004-0000-0000-0000F7000000}"/>
    <hyperlink ref="J391" r:id="rId249" xr:uid="{00000000-0004-0000-0000-0000F8000000}"/>
    <hyperlink ref="J392" r:id="rId250" xr:uid="{00000000-0004-0000-0000-0000F9000000}"/>
    <hyperlink ref="J393" r:id="rId251" xr:uid="{00000000-0004-0000-0000-0000FA000000}"/>
    <hyperlink ref="J394" r:id="rId252" xr:uid="{00000000-0004-0000-0000-0000FB000000}"/>
    <hyperlink ref="J395" r:id="rId253" xr:uid="{00000000-0004-0000-0000-0000FC000000}"/>
    <hyperlink ref="J396" r:id="rId254" xr:uid="{00000000-0004-0000-0000-0000FD000000}"/>
    <hyperlink ref="J398" r:id="rId255" xr:uid="{00000000-0004-0000-0000-0000FE000000}"/>
    <hyperlink ref="J399" r:id="rId256" xr:uid="{00000000-0004-0000-0000-0000FF000000}"/>
    <hyperlink ref="J400" r:id="rId257" xr:uid="{00000000-0004-0000-0000-000000010000}"/>
    <hyperlink ref="J401" r:id="rId258" xr:uid="{00000000-0004-0000-0000-000001010000}"/>
    <hyperlink ref="J402" r:id="rId259" xr:uid="{00000000-0004-0000-0000-000002010000}"/>
    <hyperlink ref="J405" r:id="rId260" xr:uid="{00000000-0004-0000-0000-000003010000}"/>
    <hyperlink ref="J408" r:id="rId261" xr:uid="{00000000-0004-0000-0000-000004010000}"/>
    <hyperlink ref="J411" r:id="rId262" xr:uid="{00000000-0004-0000-0000-000005010000}"/>
    <hyperlink ref="J413" r:id="rId263" xr:uid="{00000000-0004-0000-0000-000006010000}"/>
    <hyperlink ref="J414" r:id="rId264" xr:uid="{00000000-0004-0000-0000-000007010000}"/>
    <hyperlink ref="J415" r:id="rId265" xr:uid="{00000000-0004-0000-0000-000008010000}"/>
    <hyperlink ref="J417" r:id="rId266" xr:uid="{00000000-0004-0000-0000-000009010000}"/>
    <hyperlink ref="J421" r:id="rId267" xr:uid="{00000000-0004-0000-0000-00000A010000}"/>
    <hyperlink ref="J426" r:id="rId268" xr:uid="{00000000-0004-0000-0000-00000B010000}"/>
    <hyperlink ref="J427" r:id="rId269" xr:uid="{00000000-0004-0000-0000-00000C010000}"/>
    <hyperlink ref="J428" r:id="rId270" xr:uid="{00000000-0004-0000-0000-00000D010000}"/>
    <hyperlink ref="J430" r:id="rId271" xr:uid="{00000000-0004-0000-0000-00000E010000}"/>
    <hyperlink ref="J434" r:id="rId272" xr:uid="{00000000-0004-0000-0000-00000F010000}"/>
    <hyperlink ref="J435" r:id="rId273" xr:uid="{00000000-0004-0000-0000-000010010000}"/>
    <hyperlink ref="J436" r:id="rId274" xr:uid="{00000000-0004-0000-0000-000011010000}"/>
    <hyperlink ref="J437" r:id="rId275" xr:uid="{00000000-0004-0000-0000-000012010000}"/>
    <hyperlink ref="J438" r:id="rId276" xr:uid="{00000000-0004-0000-0000-000013010000}"/>
    <hyperlink ref="J439" r:id="rId277" xr:uid="{00000000-0004-0000-0000-000014010000}"/>
    <hyperlink ref="J440" r:id="rId278" xr:uid="{00000000-0004-0000-0000-000015010000}"/>
    <hyperlink ref="J442" r:id="rId279" xr:uid="{00000000-0004-0000-0000-000016010000}"/>
    <hyperlink ref="J444" r:id="rId280" xr:uid="{00000000-0004-0000-0000-000017010000}"/>
    <hyperlink ref="J445" r:id="rId281" xr:uid="{00000000-0004-0000-0000-000018010000}"/>
    <hyperlink ref="J446" r:id="rId282" xr:uid="{00000000-0004-0000-0000-000019010000}"/>
    <hyperlink ref="J447" r:id="rId283" xr:uid="{00000000-0004-0000-0000-00001A010000}"/>
    <hyperlink ref="J448" r:id="rId284" xr:uid="{00000000-0004-0000-0000-00001B010000}"/>
    <hyperlink ref="J450" r:id="rId285" xr:uid="{00000000-0004-0000-0000-00001C010000}"/>
    <hyperlink ref="J454" r:id="rId286" xr:uid="{00000000-0004-0000-0000-00001D010000}"/>
    <hyperlink ref="J456" r:id="rId287" xr:uid="{00000000-0004-0000-0000-00001E010000}"/>
    <hyperlink ref="J461" r:id="rId288" xr:uid="{00000000-0004-0000-0000-00001F010000}"/>
    <hyperlink ref="J462" r:id="rId289" xr:uid="{00000000-0004-0000-0000-000020010000}"/>
    <hyperlink ref="J464" r:id="rId290" xr:uid="{00000000-0004-0000-0000-000021010000}"/>
    <hyperlink ref="J465" r:id="rId291" xr:uid="{00000000-0004-0000-0000-000022010000}"/>
    <hyperlink ref="J466" r:id="rId292" xr:uid="{00000000-0004-0000-0000-000023010000}"/>
    <hyperlink ref="J467" r:id="rId293" xr:uid="{00000000-0004-0000-0000-000024010000}"/>
    <hyperlink ref="J469" r:id="rId294" xr:uid="{00000000-0004-0000-0000-000025010000}"/>
    <hyperlink ref="J471" r:id="rId295" xr:uid="{00000000-0004-0000-0000-000026010000}"/>
    <hyperlink ref="J474" r:id="rId296" xr:uid="{00000000-0004-0000-0000-000027010000}"/>
    <hyperlink ref="J476" r:id="rId297" xr:uid="{00000000-0004-0000-0000-000028010000}"/>
    <hyperlink ref="J477" r:id="rId298" xr:uid="{00000000-0004-0000-0000-000029010000}"/>
    <hyperlink ref="J478" r:id="rId299" xr:uid="{00000000-0004-0000-0000-00002A010000}"/>
    <hyperlink ref="J480" r:id="rId300" xr:uid="{00000000-0004-0000-0000-00002B010000}"/>
    <hyperlink ref="J481" r:id="rId301" xr:uid="{00000000-0004-0000-0000-00002C010000}"/>
    <hyperlink ref="J483" r:id="rId302" xr:uid="{00000000-0004-0000-0000-00002D010000}"/>
    <hyperlink ref="J485" r:id="rId303" xr:uid="{00000000-0004-0000-0000-00002E010000}"/>
    <hyperlink ref="J486" r:id="rId304" xr:uid="{00000000-0004-0000-0000-00002F010000}"/>
    <hyperlink ref="J487" r:id="rId305" xr:uid="{00000000-0004-0000-0000-000030010000}"/>
    <hyperlink ref="J488" r:id="rId306" xr:uid="{00000000-0004-0000-0000-000031010000}"/>
    <hyperlink ref="J489" r:id="rId307" xr:uid="{00000000-0004-0000-0000-000032010000}"/>
    <hyperlink ref="J490" r:id="rId308" xr:uid="{00000000-0004-0000-0000-000033010000}"/>
    <hyperlink ref="J491" r:id="rId309" xr:uid="{00000000-0004-0000-0000-000034010000}"/>
    <hyperlink ref="J495" r:id="rId310" xr:uid="{00000000-0004-0000-0000-000035010000}"/>
    <hyperlink ref="J496" r:id="rId311" xr:uid="{00000000-0004-0000-0000-000036010000}"/>
    <hyperlink ref="J497" r:id="rId312" xr:uid="{00000000-0004-0000-0000-000037010000}"/>
    <hyperlink ref="J500" r:id="rId313" xr:uid="{00000000-0004-0000-0000-000038010000}"/>
    <hyperlink ref="J501" r:id="rId314" xr:uid="{00000000-0004-0000-0000-000039010000}"/>
    <hyperlink ref="J502" r:id="rId315" xr:uid="{00000000-0004-0000-0000-00003A010000}"/>
    <hyperlink ref="J503" r:id="rId316" xr:uid="{00000000-0004-0000-0000-00003B010000}"/>
    <hyperlink ref="J504" r:id="rId317" xr:uid="{00000000-0004-0000-0000-00003C010000}"/>
    <hyperlink ref="J505" r:id="rId318" xr:uid="{00000000-0004-0000-0000-00003D010000}"/>
    <hyperlink ref="J506" r:id="rId319" xr:uid="{00000000-0004-0000-0000-00003E010000}"/>
    <hyperlink ref="J508" r:id="rId320" xr:uid="{00000000-0004-0000-0000-00003F010000}"/>
    <hyperlink ref="J509" r:id="rId321" xr:uid="{00000000-0004-0000-0000-000040010000}"/>
    <hyperlink ref="J510" r:id="rId322" xr:uid="{00000000-0004-0000-0000-000041010000}"/>
    <hyperlink ref="J511" r:id="rId323" xr:uid="{00000000-0004-0000-0000-000042010000}"/>
    <hyperlink ref="J512" r:id="rId324" xr:uid="{00000000-0004-0000-0000-000043010000}"/>
    <hyperlink ref="J515" r:id="rId325" xr:uid="{00000000-0004-0000-0000-000044010000}"/>
    <hyperlink ref="J516" r:id="rId326" xr:uid="{00000000-0004-0000-0000-000045010000}"/>
    <hyperlink ref="J519" r:id="rId327" xr:uid="{00000000-0004-0000-0000-000046010000}"/>
    <hyperlink ref="J522" r:id="rId328" xr:uid="{00000000-0004-0000-0000-000047010000}"/>
    <hyperlink ref="J525" r:id="rId329" xr:uid="{00000000-0004-0000-0000-000048010000}"/>
    <hyperlink ref="J526" r:id="rId330" xr:uid="{00000000-0004-0000-0000-000049010000}"/>
    <hyperlink ref="J527" r:id="rId331" xr:uid="{00000000-0004-0000-0000-00004A010000}"/>
    <hyperlink ref="J529" r:id="rId332" xr:uid="{00000000-0004-0000-0000-00004B010000}"/>
    <hyperlink ref="J530" r:id="rId333" xr:uid="{00000000-0004-0000-0000-00004C010000}"/>
    <hyperlink ref="J531" r:id="rId334" xr:uid="{00000000-0004-0000-0000-00004D010000}"/>
    <hyperlink ref="J533" r:id="rId335" xr:uid="{00000000-0004-0000-0000-00004E010000}"/>
    <hyperlink ref="J535" r:id="rId336" xr:uid="{00000000-0004-0000-0000-00004F010000}"/>
    <hyperlink ref="J537" r:id="rId337" xr:uid="{00000000-0004-0000-0000-000050010000}"/>
    <hyperlink ref="J538" r:id="rId338" xr:uid="{00000000-0004-0000-0000-000051010000}"/>
    <hyperlink ref="J539" r:id="rId339" xr:uid="{00000000-0004-0000-0000-000052010000}"/>
    <hyperlink ref="J541" r:id="rId340" xr:uid="{00000000-0004-0000-0000-000053010000}"/>
    <hyperlink ref="J542" r:id="rId341" xr:uid="{00000000-0004-0000-0000-000054010000}"/>
    <hyperlink ref="J543" r:id="rId342" xr:uid="{00000000-0004-0000-0000-000055010000}"/>
    <hyperlink ref="J545" r:id="rId343" xr:uid="{00000000-0004-0000-0000-000056010000}"/>
    <hyperlink ref="J546" r:id="rId344" xr:uid="{00000000-0004-0000-0000-000057010000}"/>
    <hyperlink ref="J547" r:id="rId345" xr:uid="{00000000-0004-0000-0000-000058010000}"/>
    <hyperlink ref="J548" r:id="rId346" xr:uid="{00000000-0004-0000-0000-000059010000}"/>
    <hyperlink ref="J549" r:id="rId347" xr:uid="{00000000-0004-0000-0000-00005A010000}"/>
    <hyperlink ref="J550" r:id="rId348" xr:uid="{00000000-0004-0000-0000-00005B010000}"/>
    <hyperlink ref="J554" r:id="rId349" xr:uid="{00000000-0004-0000-0000-00005C010000}"/>
    <hyperlink ref="J569" r:id="rId350" xr:uid="{00000000-0004-0000-0000-00005D010000}"/>
    <hyperlink ref="J570" r:id="rId351" xr:uid="{00000000-0004-0000-0000-00005E010000}"/>
    <hyperlink ref="J571" r:id="rId352" xr:uid="{00000000-0004-0000-0000-00005F010000}"/>
    <hyperlink ref="J572" r:id="rId353" xr:uid="{00000000-0004-0000-0000-000060010000}"/>
    <hyperlink ref="J574" r:id="rId354" xr:uid="{00000000-0004-0000-0000-000061010000}"/>
    <hyperlink ref="J575" r:id="rId355" xr:uid="{00000000-0004-0000-0000-000062010000}"/>
    <hyperlink ref="J578" r:id="rId356" xr:uid="{00000000-0004-0000-0000-000063010000}"/>
    <hyperlink ref="J579" r:id="rId357" xr:uid="{00000000-0004-0000-0000-000064010000}"/>
    <hyperlink ref="J580" r:id="rId358" xr:uid="{00000000-0004-0000-0000-000065010000}"/>
    <hyperlink ref="J583" r:id="rId359" xr:uid="{00000000-0004-0000-0000-000066010000}"/>
    <hyperlink ref="J585" r:id="rId360" xr:uid="{00000000-0004-0000-0000-000067010000}"/>
    <hyperlink ref="J586" r:id="rId361" xr:uid="{00000000-0004-0000-0000-000068010000}"/>
    <hyperlink ref="J587" r:id="rId362" xr:uid="{00000000-0004-0000-0000-000069010000}"/>
    <hyperlink ref="J588" r:id="rId363" xr:uid="{00000000-0004-0000-0000-00006A010000}"/>
    <hyperlink ref="J589" r:id="rId364" xr:uid="{00000000-0004-0000-0000-00006B010000}"/>
    <hyperlink ref="J590" r:id="rId365" xr:uid="{00000000-0004-0000-0000-00006C010000}"/>
    <hyperlink ref="J591" r:id="rId366" xr:uid="{00000000-0004-0000-0000-00006D010000}"/>
    <hyperlink ref="J592" r:id="rId367" xr:uid="{00000000-0004-0000-0000-00006E010000}"/>
    <hyperlink ref="J593" r:id="rId368" xr:uid="{00000000-0004-0000-0000-00006F010000}"/>
    <hyperlink ref="J594" r:id="rId369" xr:uid="{00000000-0004-0000-0000-000070010000}"/>
    <hyperlink ref="J595" r:id="rId370" xr:uid="{00000000-0004-0000-0000-000071010000}"/>
    <hyperlink ref="J596" r:id="rId371" xr:uid="{00000000-0004-0000-0000-000072010000}"/>
    <hyperlink ref="J597" r:id="rId372" xr:uid="{00000000-0004-0000-0000-000073010000}"/>
    <hyperlink ref="J599" r:id="rId373" xr:uid="{00000000-0004-0000-0000-000074010000}"/>
    <hyperlink ref="J600" r:id="rId374" xr:uid="{00000000-0004-0000-0000-000075010000}"/>
    <hyperlink ref="J601" r:id="rId375" xr:uid="{00000000-0004-0000-0000-000076010000}"/>
    <hyperlink ref="J603" r:id="rId376" xr:uid="{00000000-0004-0000-0000-000077010000}"/>
    <hyperlink ref="J604" r:id="rId377" xr:uid="{00000000-0004-0000-0000-000078010000}"/>
    <hyperlink ref="J605" r:id="rId378" xr:uid="{00000000-0004-0000-0000-000079010000}"/>
    <hyperlink ref="J611" r:id="rId379" xr:uid="{00000000-0004-0000-0000-00007A010000}"/>
    <hyperlink ref="J612" r:id="rId380" xr:uid="{00000000-0004-0000-0000-00007B010000}"/>
    <hyperlink ref="J613" r:id="rId381" xr:uid="{00000000-0004-0000-0000-00007C010000}"/>
    <hyperlink ref="J614" r:id="rId382" xr:uid="{00000000-0004-0000-0000-00007D010000}"/>
    <hyperlink ref="J616" r:id="rId383" xr:uid="{00000000-0004-0000-0000-00007E010000}"/>
    <hyperlink ref="J618" r:id="rId384" xr:uid="{00000000-0004-0000-0000-00007F010000}"/>
    <hyperlink ref="J619" r:id="rId385" xr:uid="{00000000-0004-0000-0000-000080010000}"/>
    <hyperlink ref="J622" r:id="rId386" xr:uid="{00000000-0004-0000-0000-000081010000}"/>
    <hyperlink ref="J623" r:id="rId387" xr:uid="{00000000-0004-0000-0000-000082010000}"/>
    <hyperlink ref="J624" r:id="rId388" xr:uid="{00000000-0004-0000-0000-000083010000}"/>
    <hyperlink ref="J625" r:id="rId389" xr:uid="{00000000-0004-0000-0000-000084010000}"/>
    <hyperlink ref="J626" r:id="rId390" xr:uid="{00000000-0004-0000-0000-000085010000}"/>
    <hyperlink ref="J628" r:id="rId391" xr:uid="{00000000-0004-0000-0000-000086010000}"/>
    <hyperlink ref="J629" r:id="rId392" xr:uid="{00000000-0004-0000-0000-000087010000}"/>
    <hyperlink ref="J630" r:id="rId393" xr:uid="{00000000-0004-0000-0000-000088010000}"/>
    <hyperlink ref="J631" r:id="rId394" xr:uid="{00000000-0004-0000-0000-000089010000}"/>
    <hyperlink ref="J632" r:id="rId395" xr:uid="{00000000-0004-0000-0000-00008A010000}"/>
    <hyperlink ref="J634" r:id="rId396" xr:uid="{00000000-0004-0000-0000-00008B010000}"/>
    <hyperlink ref="J635" r:id="rId397" xr:uid="{00000000-0004-0000-0000-00008C010000}"/>
    <hyperlink ref="J636" r:id="rId398" xr:uid="{00000000-0004-0000-0000-00008D010000}"/>
    <hyperlink ref="J637" r:id="rId399" xr:uid="{00000000-0004-0000-0000-00008E010000}"/>
    <hyperlink ref="J639" r:id="rId400" xr:uid="{00000000-0004-0000-0000-00008F010000}"/>
    <hyperlink ref="J640" r:id="rId401" xr:uid="{00000000-0004-0000-0000-000090010000}"/>
    <hyperlink ref="J642" r:id="rId402" xr:uid="{00000000-0004-0000-0000-000091010000}"/>
    <hyperlink ref="J643" r:id="rId403" xr:uid="{00000000-0004-0000-0000-000092010000}"/>
    <hyperlink ref="J647" r:id="rId404" xr:uid="{00000000-0004-0000-0000-000093010000}"/>
    <hyperlink ref="J649" r:id="rId405" xr:uid="{00000000-0004-0000-0000-000094010000}"/>
    <hyperlink ref="J656" r:id="rId406" xr:uid="{00000000-0004-0000-0000-000095010000}"/>
    <hyperlink ref="J657" r:id="rId407" xr:uid="{00000000-0004-0000-0000-000096010000}"/>
    <hyperlink ref="J658" r:id="rId408" xr:uid="{00000000-0004-0000-0000-000097010000}"/>
    <hyperlink ref="J660" r:id="rId409" xr:uid="{00000000-0004-0000-0000-000098010000}"/>
    <hyperlink ref="J663" r:id="rId410" xr:uid="{00000000-0004-0000-0000-000099010000}"/>
    <hyperlink ref="J664" r:id="rId411" xr:uid="{00000000-0004-0000-0000-00009A010000}"/>
    <hyperlink ref="J666" r:id="rId412" xr:uid="{00000000-0004-0000-0000-00009B010000}"/>
    <hyperlink ref="J667" r:id="rId413" xr:uid="{00000000-0004-0000-0000-00009C010000}"/>
    <hyperlink ref="J669" r:id="rId414" xr:uid="{00000000-0004-0000-0000-00009D010000}"/>
    <hyperlink ref="J670" r:id="rId415" xr:uid="{00000000-0004-0000-0000-00009E010000}"/>
    <hyperlink ref="J671" r:id="rId416" xr:uid="{00000000-0004-0000-0000-00009F010000}"/>
    <hyperlink ref="J672" r:id="rId417" xr:uid="{00000000-0004-0000-0000-0000A0010000}"/>
    <hyperlink ref="J673" r:id="rId418" xr:uid="{00000000-0004-0000-0000-0000A1010000}"/>
    <hyperlink ref="J676" r:id="rId419" xr:uid="{00000000-0004-0000-0000-0000A2010000}"/>
    <hyperlink ref="J677" r:id="rId420" xr:uid="{00000000-0004-0000-0000-0000A3010000}"/>
    <hyperlink ref="J678" r:id="rId421" xr:uid="{00000000-0004-0000-0000-0000A4010000}"/>
    <hyperlink ref="J679" r:id="rId422" xr:uid="{00000000-0004-0000-0000-0000A5010000}"/>
    <hyperlink ref="J680" r:id="rId423" xr:uid="{00000000-0004-0000-0000-0000A6010000}"/>
    <hyperlink ref="J683" r:id="rId424" xr:uid="{00000000-0004-0000-0000-0000A7010000}"/>
    <hyperlink ref="J685" r:id="rId425" xr:uid="{00000000-0004-0000-0000-0000A8010000}"/>
    <hyperlink ref="J686" r:id="rId426" xr:uid="{00000000-0004-0000-0000-0000A9010000}"/>
    <hyperlink ref="J688" r:id="rId427" xr:uid="{00000000-0004-0000-0000-0000AA010000}"/>
    <hyperlink ref="J690" r:id="rId428" xr:uid="{00000000-0004-0000-0000-0000AB010000}"/>
    <hyperlink ref="J691" r:id="rId429" xr:uid="{00000000-0004-0000-0000-0000AC010000}"/>
    <hyperlink ref="J692" r:id="rId430" xr:uid="{00000000-0004-0000-0000-0000AD010000}"/>
    <hyperlink ref="J694" r:id="rId431" xr:uid="{00000000-0004-0000-0000-0000AE010000}"/>
    <hyperlink ref="J695" r:id="rId432" xr:uid="{00000000-0004-0000-0000-0000AF010000}"/>
    <hyperlink ref="J696" r:id="rId433" xr:uid="{00000000-0004-0000-0000-0000B0010000}"/>
    <hyperlink ref="J697" r:id="rId434" xr:uid="{00000000-0004-0000-0000-0000B1010000}"/>
    <hyperlink ref="J698" r:id="rId435" xr:uid="{00000000-0004-0000-0000-0000B2010000}"/>
    <hyperlink ref="J699" r:id="rId436" xr:uid="{00000000-0004-0000-0000-0000B3010000}"/>
    <hyperlink ref="J700" r:id="rId437" xr:uid="{00000000-0004-0000-0000-0000B4010000}"/>
    <hyperlink ref="J701" r:id="rId438" xr:uid="{00000000-0004-0000-0000-0000B5010000}"/>
    <hyperlink ref="J702" r:id="rId439" xr:uid="{00000000-0004-0000-0000-0000B6010000}"/>
    <hyperlink ref="J703" r:id="rId440" xr:uid="{00000000-0004-0000-0000-0000B7010000}"/>
    <hyperlink ref="J704" r:id="rId441" xr:uid="{00000000-0004-0000-0000-0000B8010000}"/>
    <hyperlink ref="J706" r:id="rId442" xr:uid="{00000000-0004-0000-0000-0000B9010000}"/>
    <hyperlink ref="J709" r:id="rId443" xr:uid="{00000000-0004-0000-0000-0000BA010000}"/>
    <hyperlink ref="J711" r:id="rId444" xr:uid="{00000000-0004-0000-0000-0000BB010000}"/>
    <hyperlink ref="J713" r:id="rId445" xr:uid="{00000000-0004-0000-0000-0000BC010000}"/>
    <hyperlink ref="J714" r:id="rId446" xr:uid="{00000000-0004-0000-0000-0000BD010000}"/>
    <hyperlink ref="J715" r:id="rId447" xr:uid="{00000000-0004-0000-0000-0000BE010000}"/>
    <hyperlink ref="J716" r:id="rId448" xr:uid="{00000000-0004-0000-0000-0000BF010000}"/>
    <hyperlink ref="J717" r:id="rId449" xr:uid="{00000000-0004-0000-0000-0000C0010000}"/>
    <hyperlink ref="J718" r:id="rId450" xr:uid="{00000000-0004-0000-0000-0000C1010000}"/>
    <hyperlink ref="J721" r:id="rId451" xr:uid="{00000000-0004-0000-0000-0000C2010000}"/>
    <hyperlink ref="J722" r:id="rId452" xr:uid="{00000000-0004-0000-0000-0000C3010000}"/>
    <hyperlink ref="J723" r:id="rId453" xr:uid="{00000000-0004-0000-0000-0000C4010000}"/>
    <hyperlink ref="J724" r:id="rId454" xr:uid="{00000000-0004-0000-0000-0000C5010000}"/>
    <hyperlink ref="J725" r:id="rId455" xr:uid="{00000000-0004-0000-0000-0000C6010000}"/>
    <hyperlink ref="J726" r:id="rId456" xr:uid="{00000000-0004-0000-0000-0000C7010000}"/>
    <hyperlink ref="J727" r:id="rId457" xr:uid="{00000000-0004-0000-0000-0000C8010000}"/>
    <hyperlink ref="J728" r:id="rId458" xr:uid="{00000000-0004-0000-0000-0000C9010000}"/>
    <hyperlink ref="J730" r:id="rId459" xr:uid="{00000000-0004-0000-0000-0000CA010000}"/>
    <hyperlink ref="J731" r:id="rId460" xr:uid="{00000000-0004-0000-0000-0000CB010000}"/>
    <hyperlink ref="J732" r:id="rId461" xr:uid="{00000000-0004-0000-0000-0000CC010000}"/>
    <hyperlink ref="J733" r:id="rId462" xr:uid="{00000000-0004-0000-0000-0000CD010000}"/>
    <hyperlink ref="J734" r:id="rId463" xr:uid="{00000000-0004-0000-0000-0000CE010000}"/>
    <hyperlink ref="J735" r:id="rId464" xr:uid="{00000000-0004-0000-0000-0000CF010000}"/>
    <hyperlink ref="J736" r:id="rId465" xr:uid="{00000000-0004-0000-0000-0000D0010000}"/>
    <hyperlink ref="J737" r:id="rId466" xr:uid="{00000000-0004-0000-0000-0000D1010000}"/>
    <hyperlink ref="J739" r:id="rId467" xr:uid="{00000000-0004-0000-0000-0000D2010000}"/>
    <hyperlink ref="J741" r:id="rId468" xr:uid="{00000000-0004-0000-0000-0000D3010000}"/>
    <hyperlink ref="J742" r:id="rId469" xr:uid="{00000000-0004-0000-0000-0000D4010000}"/>
    <hyperlink ref="J744" r:id="rId470" xr:uid="{00000000-0004-0000-0000-0000D5010000}"/>
    <hyperlink ref="J745" r:id="rId471" xr:uid="{00000000-0004-0000-0000-0000D6010000}"/>
    <hyperlink ref="J748" r:id="rId472" xr:uid="{00000000-0004-0000-0000-0000D7010000}"/>
    <hyperlink ref="J749" r:id="rId473" xr:uid="{00000000-0004-0000-0000-0000D8010000}"/>
    <hyperlink ref="J753" r:id="rId474" xr:uid="{00000000-0004-0000-0000-0000D9010000}"/>
    <hyperlink ref="J756" r:id="rId475" xr:uid="{00000000-0004-0000-0000-0000DA010000}"/>
    <hyperlink ref="J758" r:id="rId476" xr:uid="{00000000-0004-0000-0000-0000DB010000}"/>
    <hyperlink ref="J759" r:id="rId477" xr:uid="{00000000-0004-0000-0000-0000DC010000}"/>
    <hyperlink ref="J760" r:id="rId478" xr:uid="{00000000-0004-0000-0000-0000DD010000}"/>
    <hyperlink ref="J762" r:id="rId479" xr:uid="{00000000-0004-0000-0000-0000DE010000}"/>
    <hyperlink ref="J763" r:id="rId480" xr:uid="{00000000-0004-0000-0000-0000DF010000}"/>
    <hyperlink ref="J766" r:id="rId481" xr:uid="{00000000-0004-0000-0000-0000E0010000}"/>
    <hyperlink ref="J767" r:id="rId482" xr:uid="{00000000-0004-0000-0000-0000E1010000}"/>
    <hyperlink ref="J769" r:id="rId483" xr:uid="{00000000-0004-0000-0000-0000E2010000}"/>
    <hyperlink ref="J772" r:id="rId484" xr:uid="{00000000-0004-0000-0000-0000E3010000}"/>
    <hyperlink ref="J773" r:id="rId485" xr:uid="{00000000-0004-0000-0000-0000E4010000}"/>
    <hyperlink ref="J774" r:id="rId486" xr:uid="{00000000-0004-0000-0000-0000E5010000}"/>
    <hyperlink ref="J775" r:id="rId487" xr:uid="{00000000-0004-0000-0000-0000E6010000}"/>
    <hyperlink ref="J776" r:id="rId488" xr:uid="{00000000-0004-0000-0000-0000E7010000}"/>
    <hyperlink ref="J779" r:id="rId489" xr:uid="{00000000-0004-0000-0000-0000E8010000}"/>
    <hyperlink ref="J783" r:id="rId490" xr:uid="{00000000-0004-0000-0000-0000E9010000}"/>
    <hyperlink ref="J784" r:id="rId491" xr:uid="{00000000-0004-0000-0000-0000EA010000}"/>
    <hyperlink ref="J785" r:id="rId492" xr:uid="{00000000-0004-0000-0000-0000EB010000}"/>
    <hyperlink ref="J788" r:id="rId493" xr:uid="{00000000-0004-0000-0000-0000EC010000}"/>
    <hyperlink ref="J790" r:id="rId494" xr:uid="{00000000-0004-0000-0000-0000ED010000}"/>
    <hyperlink ref="J791" r:id="rId495" xr:uid="{00000000-0004-0000-0000-0000EE010000}"/>
    <hyperlink ref="J792" r:id="rId496" xr:uid="{00000000-0004-0000-0000-0000EF010000}"/>
    <hyperlink ref="J794" r:id="rId497" xr:uid="{00000000-0004-0000-0000-0000F0010000}"/>
    <hyperlink ref="J795" r:id="rId498" xr:uid="{00000000-0004-0000-0000-0000F1010000}"/>
    <hyperlink ref="J796" r:id="rId499" xr:uid="{00000000-0004-0000-0000-0000F2010000}"/>
    <hyperlink ref="J797" r:id="rId500" xr:uid="{00000000-0004-0000-0000-0000F3010000}"/>
    <hyperlink ref="J799" r:id="rId501" xr:uid="{00000000-0004-0000-0000-0000F4010000}"/>
    <hyperlink ref="J801" r:id="rId502" xr:uid="{00000000-0004-0000-0000-0000F5010000}"/>
    <hyperlink ref="J803" r:id="rId503" xr:uid="{00000000-0004-0000-0000-0000F6010000}"/>
    <hyperlink ref="J807" r:id="rId504" xr:uid="{00000000-0004-0000-0000-0000F7010000}"/>
    <hyperlink ref="J810" r:id="rId505" xr:uid="{00000000-0004-0000-0000-0000F8010000}"/>
    <hyperlink ref="J811" r:id="rId506" xr:uid="{00000000-0004-0000-0000-0000F9010000}"/>
    <hyperlink ref="J812" r:id="rId507" xr:uid="{00000000-0004-0000-0000-0000FA010000}"/>
    <hyperlink ref="J814" r:id="rId508" xr:uid="{00000000-0004-0000-0000-0000FB010000}"/>
    <hyperlink ref="J818" r:id="rId509" xr:uid="{00000000-0004-0000-0000-0000FC010000}"/>
    <hyperlink ref="J819" r:id="rId510" xr:uid="{00000000-0004-0000-0000-0000FD010000}"/>
    <hyperlink ref="J821" r:id="rId511" xr:uid="{00000000-0004-0000-0000-0000FE010000}"/>
    <hyperlink ref="J823" r:id="rId512" xr:uid="{00000000-0004-0000-0000-0000FF010000}"/>
    <hyperlink ref="J825" r:id="rId513" xr:uid="{00000000-0004-0000-0000-000000020000}"/>
    <hyperlink ref="J830" r:id="rId514" xr:uid="{00000000-0004-0000-0000-000001020000}"/>
    <hyperlink ref="J831" r:id="rId515" xr:uid="{00000000-0004-0000-0000-000002020000}"/>
    <hyperlink ref="J833" r:id="rId516" xr:uid="{00000000-0004-0000-0000-000003020000}"/>
    <hyperlink ref="J834" r:id="rId517" xr:uid="{00000000-0004-0000-0000-000004020000}"/>
    <hyperlink ref="J835" r:id="rId518" xr:uid="{00000000-0004-0000-0000-000005020000}"/>
    <hyperlink ref="J836" r:id="rId519" xr:uid="{00000000-0004-0000-0000-000006020000}"/>
    <hyperlink ref="J841" r:id="rId520" xr:uid="{00000000-0004-0000-0000-000007020000}"/>
    <hyperlink ref="J844" r:id="rId521" xr:uid="{00000000-0004-0000-0000-000008020000}"/>
    <hyperlink ref="J845" r:id="rId522" xr:uid="{00000000-0004-0000-0000-000009020000}"/>
    <hyperlink ref="J847" r:id="rId523" xr:uid="{00000000-0004-0000-0000-00000A020000}"/>
    <hyperlink ref="J848" r:id="rId524" xr:uid="{00000000-0004-0000-0000-00000B020000}"/>
    <hyperlink ref="J849" r:id="rId525" xr:uid="{00000000-0004-0000-0000-00000C020000}"/>
    <hyperlink ref="J851" r:id="rId526" xr:uid="{00000000-0004-0000-0000-00000D020000}"/>
    <hyperlink ref="J852" r:id="rId527" xr:uid="{00000000-0004-0000-0000-00000E020000}"/>
    <hyperlink ref="J853" r:id="rId528" xr:uid="{00000000-0004-0000-0000-00000F020000}"/>
    <hyperlink ref="J855" r:id="rId529" xr:uid="{00000000-0004-0000-0000-000010020000}"/>
    <hyperlink ref="J856" r:id="rId530" xr:uid="{00000000-0004-0000-0000-000011020000}"/>
    <hyperlink ref="J858" r:id="rId531" xr:uid="{00000000-0004-0000-0000-000012020000}"/>
    <hyperlink ref="J860" r:id="rId532" xr:uid="{00000000-0004-0000-0000-000013020000}"/>
    <hyperlink ref="J861" r:id="rId533" xr:uid="{00000000-0004-0000-0000-000014020000}"/>
    <hyperlink ref="J862" r:id="rId534" xr:uid="{00000000-0004-0000-0000-000015020000}"/>
    <hyperlink ref="J864" r:id="rId535" xr:uid="{00000000-0004-0000-0000-000016020000}"/>
    <hyperlink ref="J865" r:id="rId536" xr:uid="{00000000-0004-0000-0000-000017020000}"/>
    <hyperlink ref="J866" r:id="rId537" xr:uid="{00000000-0004-0000-0000-000018020000}"/>
    <hyperlink ref="J138" r:id="rId538" xr:uid="{08E49B8B-AB87-44CE-BD88-6A72072643F3}"/>
    <hyperlink ref="J544" r:id="rId539" xr:uid="{613E919C-99D5-4936-BD6E-E1B66FD364CC}"/>
    <hyperlink ref="J800" r:id="rId540" xr:uid="{E1E31E7C-5F84-456C-A725-1102F7BDFFA9}"/>
    <hyperlink ref="J333" r:id="rId541" xr:uid="{5B8526DA-B3CA-4EDD-8B84-1FB063CB34A6}"/>
    <hyperlink ref="J528" r:id="rId542" xr:uid="{4863D5B6-519D-4E1A-9424-9DAA192EB2F3}"/>
    <hyperlink ref="J165" r:id="rId543" xr:uid="{19307F1E-725C-4350-9F21-BBD4EC653E57}"/>
    <hyperlink ref="J229" r:id="rId544" xr:uid="{A0B1F6E9-F5A5-41CA-94C6-0DB2795B6D97}"/>
    <hyperlink ref="J827" r:id="rId545" xr:uid="{D3DC6B32-2913-4474-A207-EC23EF7C13A0}"/>
    <hyperlink ref="J687" r:id="rId546" xr:uid="{E6533295-AEB0-4582-96BC-AB1C31608544}"/>
    <hyperlink ref="J343" r:id="rId547" xr:uid="{107DEEB3-057C-4FEB-BCF1-E2DAB94E6F4E}"/>
  </hyperlinks>
  <pageMargins left="0.7" right="0.7" top="0.75" bottom="0.75" header="0.511811023622047" footer="0.511811023622047"/>
  <pageSetup orientation="portrait" horizontalDpi="300" verticalDpi="300"/>
  <tableParts count="1">
    <tablePart r:id="rId54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54"/>
  <sheetViews>
    <sheetView topLeftCell="A1210" zoomScaleNormal="100" workbookViewId="0">
      <selection activeCell="D1254" sqref="D1254"/>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7695</v>
      </c>
      <c r="C5">
        <v>2022</v>
      </c>
      <c r="E5" t="s">
        <v>7698</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353</v>
      </c>
      <c r="B64" t="s">
        <v>270</v>
      </c>
      <c r="C64">
        <v>2023</v>
      </c>
      <c r="E64" t="s">
        <v>3019</v>
      </c>
    </row>
    <row r="65" spans="1:5" x14ac:dyDescent="0.25">
      <c r="A65" t="s">
        <v>353</v>
      </c>
      <c r="B65" t="s">
        <v>391</v>
      </c>
      <c r="C65">
        <v>2023</v>
      </c>
      <c r="E65" t="s">
        <v>3020</v>
      </c>
    </row>
    <row r="66" spans="1:5" x14ac:dyDescent="0.25">
      <c r="A66" t="s">
        <v>353</v>
      </c>
      <c r="B66" t="s">
        <v>419</v>
      </c>
      <c r="C66">
        <v>2023</v>
      </c>
      <c r="E66" t="s">
        <v>3021</v>
      </c>
    </row>
    <row r="67" spans="1:5" x14ac:dyDescent="0.25">
      <c r="A67" t="s">
        <v>353</v>
      </c>
      <c r="B67" t="s">
        <v>421</v>
      </c>
      <c r="C67">
        <v>2023</v>
      </c>
      <c r="E67" t="s">
        <v>2983</v>
      </c>
    </row>
    <row r="68" spans="1:5" x14ac:dyDescent="0.25">
      <c r="A68" t="s">
        <v>353</v>
      </c>
      <c r="B68" t="s">
        <v>428</v>
      </c>
      <c r="C68">
        <v>2023</v>
      </c>
      <c r="E68" t="s">
        <v>3022</v>
      </c>
    </row>
    <row r="69" spans="1:5" x14ac:dyDescent="0.25">
      <c r="A69" t="s">
        <v>353</v>
      </c>
      <c r="B69" t="s">
        <v>543</v>
      </c>
      <c r="C69">
        <v>2023</v>
      </c>
      <c r="E69" t="s">
        <v>3023</v>
      </c>
    </row>
    <row r="70" spans="1:5" x14ac:dyDescent="0.25">
      <c r="A70" t="s">
        <v>353</v>
      </c>
      <c r="B70" t="s">
        <v>595</v>
      </c>
      <c r="C70">
        <v>2023</v>
      </c>
      <c r="E70" t="s">
        <v>3024</v>
      </c>
    </row>
    <row r="71" spans="1:5" x14ac:dyDescent="0.25">
      <c r="A71" t="s">
        <v>353</v>
      </c>
      <c r="B71" t="s">
        <v>606</v>
      </c>
      <c r="C71">
        <v>2023</v>
      </c>
      <c r="E71" t="s">
        <v>609</v>
      </c>
    </row>
    <row r="72" spans="1:5" x14ac:dyDescent="0.25">
      <c r="A72" t="s">
        <v>353</v>
      </c>
      <c r="B72" t="s">
        <v>613</v>
      </c>
      <c r="C72">
        <v>2023</v>
      </c>
      <c r="E72" t="s">
        <v>3025</v>
      </c>
    </row>
    <row r="73" spans="1:5" x14ac:dyDescent="0.25">
      <c r="A73" t="s">
        <v>353</v>
      </c>
      <c r="B73" t="s">
        <v>7694</v>
      </c>
      <c r="C73">
        <v>2023</v>
      </c>
      <c r="E73" t="s">
        <v>7690</v>
      </c>
    </row>
    <row r="74" spans="1:5" x14ac:dyDescent="0.25">
      <c r="A74" t="s">
        <v>353</v>
      </c>
      <c r="B74" t="s">
        <v>671</v>
      </c>
      <c r="C74">
        <v>2023</v>
      </c>
      <c r="E74" t="s">
        <v>2983</v>
      </c>
    </row>
    <row r="75" spans="1:5" x14ac:dyDescent="0.25">
      <c r="A75" t="s">
        <v>353</v>
      </c>
      <c r="B75" t="s">
        <v>706</v>
      </c>
      <c r="C75">
        <v>2023</v>
      </c>
      <c r="E75" t="s">
        <v>3026</v>
      </c>
    </row>
    <row r="76" spans="1:5" x14ac:dyDescent="0.25">
      <c r="A76" t="s">
        <v>353</v>
      </c>
      <c r="B76" t="s">
        <v>730</v>
      </c>
      <c r="C76">
        <v>2023</v>
      </c>
      <c r="E76" t="s">
        <v>3027</v>
      </c>
    </row>
    <row r="77" spans="1:5" x14ac:dyDescent="0.25">
      <c r="A77" t="s">
        <v>353</v>
      </c>
      <c r="B77" t="s">
        <v>767</v>
      </c>
      <c r="C77">
        <v>2023</v>
      </c>
      <c r="E77" t="s">
        <v>3028</v>
      </c>
    </row>
    <row r="78" spans="1:5" x14ac:dyDescent="0.25">
      <c r="A78" t="s">
        <v>353</v>
      </c>
      <c r="B78" t="s">
        <v>855</v>
      </c>
      <c r="C78">
        <v>2023</v>
      </c>
      <c r="E78" t="s">
        <v>3014</v>
      </c>
    </row>
    <row r="79" spans="1:5" x14ac:dyDescent="0.25">
      <c r="A79" t="s">
        <v>353</v>
      </c>
      <c r="B79" t="s">
        <v>864</v>
      </c>
      <c r="C79">
        <v>2023</v>
      </c>
      <c r="E79" t="s">
        <v>3029</v>
      </c>
    </row>
    <row r="80" spans="1:5" x14ac:dyDescent="0.25">
      <c r="A80" t="s">
        <v>353</v>
      </c>
      <c r="B80" t="s">
        <v>901</v>
      </c>
      <c r="C80">
        <v>2023</v>
      </c>
      <c r="E80" t="s">
        <v>3030</v>
      </c>
    </row>
    <row r="81" spans="1:5" x14ac:dyDescent="0.25">
      <c r="A81" t="s">
        <v>353</v>
      </c>
      <c r="B81" t="s">
        <v>955</v>
      </c>
      <c r="C81">
        <v>2023</v>
      </c>
      <c r="E81" t="s">
        <v>2983</v>
      </c>
    </row>
    <row r="82" spans="1:5" x14ac:dyDescent="0.25">
      <c r="A82" t="s">
        <v>353</v>
      </c>
      <c r="B82" t="s">
        <v>959</v>
      </c>
      <c r="C82">
        <v>2023</v>
      </c>
      <c r="E82" t="s">
        <v>3031</v>
      </c>
    </row>
    <row r="83" spans="1:5" x14ac:dyDescent="0.25">
      <c r="A83" t="s">
        <v>353</v>
      </c>
      <c r="B83" t="s">
        <v>1164</v>
      </c>
      <c r="C83">
        <v>2023</v>
      </c>
      <c r="E83" t="s">
        <v>3032</v>
      </c>
    </row>
    <row r="84" spans="1:5" x14ac:dyDescent="0.25">
      <c r="A84" t="s">
        <v>353</v>
      </c>
      <c r="B84" t="s">
        <v>1392</v>
      </c>
      <c r="C84">
        <v>2023</v>
      </c>
      <c r="E84" t="s">
        <v>3033</v>
      </c>
    </row>
    <row r="85" spans="1:5" x14ac:dyDescent="0.25">
      <c r="A85" t="s">
        <v>353</v>
      </c>
      <c r="B85" t="s">
        <v>1395</v>
      </c>
      <c r="C85">
        <v>2023</v>
      </c>
      <c r="E85" t="s">
        <v>3034</v>
      </c>
    </row>
    <row r="86" spans="1:5" x14ac:dyDescent="0.25">
      <c r="A86" t="s">
        <v>353</v>
      </c>
      <c r="B86" t="s">
        <v>1560</v>
      </c>
      <c r="C86">
        <v>2023</v>
      </c>
      <c r="E86" t="s">
        <v>3013</v>
      </c>
    </row>
    <row r="87" spans="1:5" x14ac:dyDescent="0.25">
      <c r="A87" t="s">
        <v>353</v>
      </c>
      <c r="B87" t="s">
        <v>1585</v>
      </c>
      <c r="C87">
        <v>2023</v>
      </c>
      <c r="E87" t="s">
        <v>3035</v>
      </c>
    </row>
    <row r="88" spans="1:5" x14ac:dyDescent="0.25">
      <c r="A88" t="s">
        <v>353</v>
      </c>
      <c r="B88" t="s">
        <v>1632</v>
      </c>
      <c r="C88">
        <v>2023</v>
      </c>
      <c r="E88" t="s">
        <v>3036</v>
      </c>
    </row>
    <row r="89" spans="1:5" x14ac:dyDescent="0.25">
      <c r="A89" t="s">
        <v>353</v>
      </c>
      <c r="B89" t="s">
        <v>1894</v>
      </c>
      <c r="C89">
        <v>2023</v>
      </c>
      <c r="E89" t="s">
        <v>3037</v>
      </c>
    </row>
    <row r="90" spans="1:5" x14ac:dyDescent="0.25">
      <c r="A90" t="s">
        <v>353</v>
      </c>
      <c r="B90" t="s">
        <v>1932</v>
      </c>
      <c r="C90">
        <v>2023</v>
      </c>
      <c r="E90" t="s">
        <v>3038</v>
      </c>
    </row>
    <row r="91" spans="1:5" x14ac:dyDescent="0.25">
      <c r="A91" t="s">
        <v>353</v>
      </c>
      <c r="B91" t="s">
        <v>1956</v>
      </c>
      <c r="C91">
        <v>2023</v>
      </c>
      <c r="E91" t="s">
        <v>3039</v>
      </c>
    </row>
    <row r="92" spans="1:5" x14ac:dyDescent="0.25">
      <c r="A92" t="s">
        <v>353</v>
      </c>
      <c r="B92" t="s">
        <v>1967</v>
      </c>
      <c r="C92">
        <v>2023</v>
      </c>
      <c r="E92" t="s">
        <v>1970</v>
      </c>
    </row>
    <row r="93" spans="1:5" x14ac:dyDescent="0.25">
      <c r="A93" t="s">
        <v>353</v>
      </c>
      <c r="B93" t="s">
        <v>1978</v>
      </c>
      <c r="C93">
        <v>2023</v>
      </c>
      <c r="E93" t="s">
        <v>3014</v>
      </c>
    </row>
    <row r="94" spans="1:5" x14ac:dyDescent="0.25">
      <c r="A94" t="s">
        <v>353</v>
      </c>
      <c r="B94" t="s">
        <v>2046</v>
      </c>
      <c r="C94">
        <v>2023</v>
      </c>
      <c r="E94" t="s">
        <v>3040</v>
      </c>
    </row>
    <row r="95" spans="1:5" x14ac:dyDescent="0.25">
      <c r="A95" t="s">
        <v>353</v>
      </c>
      <c r="B95" t="s">
        <v>2089</v>
      </c>
      <c r="C95">
        <v>2023</v>
      </c>
      <c r="E95" t="s">
        <v>3041</v>
      </c>
    </row>
    <row r="96" spans="1:5" x14ac:dyDescent="0.25">
      <c r="A96" t="s">
        <v>353</v>
      </c>
      <c r="B96" t="s">
        <v>2163</v>
      </c>
      <c r="C96">
        <v>2023</v>
      </c>
      <c r="E96" t="s">
        <v>2983</v>
      </c>
    </row>
    <row r="97" spans="1:5" x14ac:dyDescent="0.25">
      <c r="A97" t="s">
        <v>353</v>
      </c>
      <c r="B97" t="s">
        <v>2203</v>
      </c>
      <c r="C97">
        <v>2023</v>
      </c>
      <c r="E97" t="s">
        <v>3042</v>
      </c>
    </row>
    <row r="98" spans="1:5" x14ac:dyDescent="0.25">
      <c r="A98" t="s">
        <v>353</v>
      </c>
      <c r="B98" t="s">
        <v>2216</v>
      </c>
      <c r="C98">
        <v>2023</v>
      </c>
      <c r="E98" t="s">
        <v>3043</v>
      </c>
    </row>
    <row r="99" spans="1:5" x14ac:dyDescent="0.25">
      <c r="A99" t="s">
        <v>353</v>
      </c>
      <c r="B99" t="s">
        <v>2223</v>
      </c>
      <c r="C99">
        <v>2023</v>
      </c>
      <c r="E99" t="s">
        <v>3044</v>
      </c>
    </row>
    <row r="100" spans="1:5" x14ac:dyDescent="0.25">
      <c r="A100" t="s">
        <v>353</v>
      </c>
      <c r="B100" t="s">
        <v>2233</v>
      </c>
      <c r="C100">
        <v>2023</v>
      </c>
      <c r="E100" t="s">
        <v>3045</v>
      </c>
    </row>
    <row r="101" spans="1:5" x14ac:dyDescent="0.25">
      <c r="A101" t="s">
        <v>353</v>
      </c>
      <c r="B101" t="s">
        <v>2237</v>
      </c>
      <c r="C101">
        <v>2023</v>
      </c>
      <c r="E101" t="s">
        <v>3046</v>
      </c>
    </row>
    <row r="102" spans="1:5" x14ac:dyDescent="0.25">
      <c r="A102" t="s">
        <v>353</v>
      </c>
      <c r="B102" t="s">
        <v>2252</v>
      </c>
      <c r="C102">
        <v>2023</v>
      </c>
      <c r="E102" t="s">
        <v>2983</v>
      </c>
    </row>
    <row r="103" spans="1:5" x14ac:dyDescent="0.25">
      <c r="A103" t="s">
        <v>353</v>
      </c>
      <c r="B103" t="s">
        <v>2345</v>
      </c>
      <c r="C103">
        <v>2023</v>
      </c>
      <c r="E103" t="s">
        <v>3047</v>
      </c>
    </row>
    <row r="104" spans="1:5" x14ac:dyDescent="0.25">
      <c r="A104" t="s">
        <v>353</v>
      </c>
      <c r="B104" t="s">
        <v>2372</v>
      </c>
      <c r="C104">
        <v>2023</v>
      </c>
      <c r="E104" t="s">
        <v>3048</v>
      </c>
    </row>
    <row r="105" spans="1:5" x14ac:dyDescent="0.25">
      <c r="A105" t="s">
        <v>353</v>
      </c>
      <c r="B105" t="s">
        <v>2382</v>
      </c>
      <c r="C105">
        <v>2023</v>
      </c>
      <c r="E105" t="s">
        <v>3049</v>
      </c>
    </row>
    <row r="106" spans="1:5" x14ac:dyDescent="0.25">
      <c r="A106" t="s">
        <v>353</v>
      </c>
      <c r="B106" t="s">
        <v>2386</v>
      </c>
      <c r="C106">
        <v>2023</v>
      </c>
      <c r="E106" t="s">
        <v>3050</v>
      </c>
    </row>
    <row r="107" spans="1:5" x14ac:dyDescent="0.25">
      <c r="A107" t="s">
        <v>353</v>
      </c>
      <c r="B107" t="s">
        <v>2456</v>
      </c>
      <c r="C107">
        <v>2023</v>
      </c>
      <c r="E107" t="s">
        <v>3014</v>
      </c>
    </row>
    <row r="108" spans="1:5" x14ac:dyDescent="0.25">
      <c r="A108" t="s">
        <v>353</v>
      </c>
      <c r="B108" t="s">
        <v>2476</v>
      </c>
      <c r="C108">
        <v>2023</v>
      </c>
      <c r="E108" t="s">
        <v>3051</v>
      </c>
    </row>
    <row r="109" spans="1:5" x14ac:dyDescent="0.25">
      <c r="A109" t="s">
        <v>353</v>
      </c>
      <c r="B109" t="s">
        <v>2668</v>
      </c>
      <c r="C109">
        <v>2023</v>
      </c>
      <c r="E109" t="s">
        <v>2986</v>
      </c>
    </row>
    <row r="110" spans="1:5" x14ac:dyDescent="0.25">
      <c r="A110" t="s">
        <v>353</v>
      </c>
      <c r="B110" t="s">
        <v>2687</v>
      </c>
      <c r="C110">
        <v>2023</v>
      </c>
      <c r="E110" t="s">
        <v>3052</v>
      </c>
    </row>
    <row r="111" spans="1:5" x14ac:dyDescent="0.25">
      <c r="A111" t="s">
        <v>353</v>
      </c>
      <c r="B111" t="s">
        <v>7757</v>
      </c>
      <c r="C111">
        <v>2023</v>
      </c>
      <c r="E111" t="s">
        <v>7756</v>
      </c>
    </row>
    <row r="112" spans="1:5" x14ac:dyDescent="0.25">
      <c r="A112" t="s">
        <v>353</v>
      </c>
      <c r="B112" t="s">
        <v>2919</v>
      </c>
      <c r="C112">
        <v>2023</v>
      </c>
      <c r="E112" t="s">
        <v>3053</v>
      </c>
    </row>
    <row r="113" spans="1:5" x14ac:dyDescent="0.25">
      <c r="A113" t="s">
        <v>353</v>
      </c>
      <c r="B113" t="s">
        <v>2921</v>
      </c>
      <c r="C113">
        <v>2023</v>
      </c>
      <c r="E113" t="s">
        <v>3054</v>
      </c>
    </row>
    <row r="114" spans="1:5" x14ac:dyDescent="0.25">
      <c r="A114" t="s">
        <v>353</v>
      </c>
      <c r="B114" t="s">
        <v>2970</v>
      </c>
      <c r="C114">
        <v>2023</v>
      </c>
      <c r="E114" t="s">
        <v>3055</v>
      </c>
    </row>
    <row r="115" spans="1:5" x14ac:dyDescent="0.25">
      <c r="A115" t="s">
        <v>360</v>
      </c>
      <c r="B115" t="s">
        <v>7695</v>
      </c>
      <c r="C115">
        <v>2025</v>
      </c>
      <c r="E115" t="s">
        <v>7698</v>
      </c>
    </row>
    <row r="116" spans="1:5" x14ac:dyDescent="0.25">
      <c r="A116" t="s">
        <v>364</v>
      </c>
      <c r="B116" t="s">
        <v>1632</v>
      </c>
      <c r="C116">
        <v>2024</v>
      </c>
      <c r="E116" t="s">
        <v>3036</v>
      </c>
    </row>
    <row r="117" spans="1:5" x14ac:dyDescent="0.25">
      <c r="A117" t="s">
        <v>364</v>
      </c>
      <c r="B117" t="s">
        <v>1894</v>
      </c>
      <c r="C117">
        <v>2024</v>
      </c>
      <c r="E117" t="s">
        <v>3037</v>
      </c>
    </row>
    <row r="118" spans="1:5" x14ac:dyDescent="0.25">
      <c r="A118" t="s">
        <v>379</v>
      </c>
      <c r="B118" t="s">
        <v>381</v>
      </c>
      <c r="C118">
        <v>1998</v>
      </c>
      <c r="D118" t="s">
        <v>187</v>
      </c>
    </row>
    <row r="119" spans="1:5" x14ac:dyDescent="0.25">
      <c r="A119" t="s">
        <v>383</v>
      </c>
      <c r="B119" t="s">
        <v>1527</v>
      </c>
      <c r="C119">
        <v>2017</v>
      </c>
      <c r="E119" t="s">
        <v>3056</v>
      </c>
    </row>
    <row r="120" spans="1:5" x14ac:dyDescent="0.25">
      <c r="A120" t="s">
        <v>383</v>
      </c>
      <c r="B120" t="s">
        <v>2649</v>
      </c>
      <c r="C120">
        <v>2017</v>
      </c>
      <c r="E120" t="s">
        <v>3057</v>
      </c>
    </row>
    <row r="121" spans="1:5" x14ac:dyDescent="0.25">
      <c r="A121" t="s">
        <v>435</v>
      </c>
      <c r="B121" t="s">
        <v>2255</v>
      </c>
      <c r="C121">
        <v>2019</v>
      </c>
      <c r="E121" t="s">
        <v>2983</v>
      </c>
    </row>
    <row r="122" spans="1:5" x14ac:dyDescent="0.25">
      <c r="A122" t="s">
        <v>439</v>
      </c>
      <c r="B122" t="s">
        <v>443</v>
      </c>
      <c r="C122">
        <v>2023</v>
      </c>
      <c r="D122" t="s">
        <v>187</v>
      </c>
    </row>
    <row r="123" spans="1:5" x14ac:dyDescent="0.25">
      <c r="A123" t="s">
        <v>457</v>
      </c>
      <c r="B123" t="s">
        <v>394</v>
      </c>
      <c r="C123">
        <v>2022</v>
      </c>
      <c r="E123" t="s">
        <v>3058</v>
      </c>
    </row>
    <row r="124" spans="1:5" x14ac:dyDescent="0.25">
      <c r="A124" t="s">
        <v>457</v>
      </c>
      <c r="B124" t="s">
        <v>2839</v>
      </c>
      <c r="C124">
        <v>2022</v>
      </c>
      <c r="D124" t="s">
        <v>187</v>
      </c>
    </row>
    <row r="125" spans="1:5" x14ac:dyDescent="0.25">
      <c r="A125" t="s">
        <v>462</v>
      </c>
      <c r="B125" t="s">
        <v>1354</v>
      </c>
      <c r="C125">
        <v>2018</v>
      </c>
      <c r="D125" t="s">
        <v>187</v>
      </c>
      <c r="E125" t="s">
        <v>3059</v>
      </c>
    </row>
    <row r="126" spans="1:5" x14ac:dyDescent="0.25">
      <c r="A126" t="s">
        <v>464</v>
      </c>
      <c r="B126" t="s">
        <v>1377</v>
      </c>
      <c r="C126">
        <v>2022</v>
      </c>
      <c r="D126" t="s">
        <v>187</v>
      </c>
    </row>
    <row r="127" spans="1:5" x14ac:dyDescent="0.25">
      <c r="A127" t="s">
        <v>490</v>
      </c>
      <c r="B127" t="s">
        <v>1051</v>
      </c>
      <c r="C127">
        <v>2009</v>
      </c>
      <c r="E127" t="s">
        <v>3060</v>
      </c>
    </row>
    <row r="128" spans="1:5" x14ac:dyDescent="0.25">
      <c r="A128" t="s">
        <v>490</v>
      </c>
      <c r="B128" t="s">
        <v>1514</v>
      </c>
      <c r="C128">
        <v>2009</v>
      </c>
      <c r="E128" t="s">
        <v>3061</v>
      </c>
    </row>
    <row r="129" spans="1:5" x14ac:dyDescent="0.25">
      <c r="A129" t="s">
        <v>490</v>
      </c>
      <c r="B129" t="s">
        <v>1720</v>
      </c>
      <c r="C129">
        <v>2009</v>
      </c>
      <c r="E129" t="s">
        <v>2983</v>
      </c>
    </row>
    <row r="130" spans="1:5" x14ac:dyDescent="0.25">
      <c r="A130" t="s">
        <v>490</v>
      </c>
      <c r="B130" t="s">
        <v>1971</v>
      </c>
      <c r="C130">
        <v>2009</v>
      </c>
      <c r="E130" t="s">
        <v>3062</v>
      </c>
    </row>
    <row r="131" spans="1:5" x14ac:dyDescent="0.25">
      <c r="A131" t="s">
        <v>490</v>
      </c>
      <c r="B131" t="s">
        <v>2201</v>
      </c>
      <c r="C131">
        <v>2009</v>
      </c>
      <c r="E131" t="s">
        <v>3063</v>
      </c>
    </row>
    <row r="132" spans="1:5" x14ac:dyDescent="0.25">
      <c r="A132" t="s">
        <v>490</v>
      </c>
      <c r="B132" t="s">
        <v>2407</v>
      </c>
      <c r="C132">
        <v>2009</v>
      </c>
      <c r="E132" t="s">
        <v>3064</v>
      </c>
    </row>
    <row r="133" spans="1:5" x14ac:dyDescent="0.25">
      <c r="A133" t="s">
        <v>490</v>
      </c>
      <c r="B133" t="s">
        <v>2789</v>
      </c>
      <c r="C133">
        <v>2009</v>
      </c>
      <c r="E133" t="s">
        <v>3065</v>
      </c>
    </row>
    <row r="134" spans="1:5" x14ac:dyDescent="0.25">
      <c r="A134" t="s">
        <v>490</v>
      </c>
      <c r="B134" t="s">
        <v>2855</v>
      </c>
      <c r="C134">
        <v>2009</v>
      </c>
      <c r="E134" t="s">
        <v>3066</v>
      </c>
    </row>
    <row r="135" spans="1:5" x14ac:dyDescent="0.25">
      <c r="A135" t="s">
        <v>497</v>
      </c>
      <c r="B135" t="s">
        <v>294</v>
      </c>
      <c r="C135">
        <v>2022</v>
      </c>
      <c r="E135" t="s">
        <v>3067</v>
      </c>
    </row>
    <row r="136" spans="1:5" x14ac:dyDescent="0.25">
      <c r="A136" t="s">
        <v>497</v>
      </c>
      <c r="B136" t="s">
        <v>319</v>
      </c>
      <c r="C136">
        <v>2022</v>
      </c>
      <c r="E136" t="s">
        <v>2983</v>
      </c>
    </row>
    <row r="137" spans="1:5" x14ac:dyDescent="0.25">
      <c r="A137" t="s">
        <v>497</v>
      </c>
      <c r="B137" t="s">
        <v>610</v>
      </c>
      <c r="C137">
        <v>2022</v>
      </c>
      <c r="E137" t="s">
        <v>3068</v>
      </c>
    </row>
    <row r="138" spans="1:5" x14ac:dyDescent="0.25">
      <c r="A138" t="s">
        <v>497</v>
      </c>
      <c r="B138" t="s">
        <v>1362</v>
      </c>
      <c r="C138">
        <v>2022</v>
      </c>
      <c r="E138" t="s">
        <v>3069</v>
      </c>
    </row>
    <row r="139" spans="1:5" x14ac:dyDescent="0.25">
      <c r="A139" t="s">
        <v>497</v>
      </c>
      <c r="B139" t="s">
        <v>1392</v>
      </c>
      <c r="C139">
        <v>2022</v>
      </c>
      <c r="E139" t="s">
        <v>2983</v>
      </c>
    </row>
    <row r="140" spans="1:5" x14ac:dyDescent="0.25">
      <c r="A140" t="s">
        <v>497</v>
      </c>
      <c r="B140" t="s">
        <v>1493</v>
      </c>
      <c r="C140">
        <v>2022</v>
      </c>
      <c r="E140" t="s">
        <v>3070</v>
      </c>
    </row>
    <row r="141" spans="1:5" x14ac:dyDescent="0.25">
      <c r="A141" t="s">
        <v>497</v>
      </c>
      <c r="B141" t="s">
        <v>1597</v>
      </c>
      <c r="C141">
        <v>2022</v>
      </c>
      <c r="E141" t="s">
        <v>3071</v>
      </c>
    </row>
    <row r="142" spans="1:5" x14ac:dyDescent="0.25">
      <c r="A142" t="s">
        <v>497</v>
      </c>
      <c r="B142" t="s">
        <v>1826</v>
      </c>
      <c r="C142">
        <v>2022</v>
      </c>
      <c r="E142" t="s">
        <v>1829</v>
      </c>
    </row>
    <row r="143" spans="1:5" x14ac:dyDescent="0.25">
      <c r="A143" t="s">
        <v>497</v>
      </c>
      <c r="B143" t="s">
        <v>7695</v>
      </c>
      <c r="C143">
        <v>2022</v>
      </c>
      <c r="E143" t="s">
        <v>7698</v>
      </c>
    </row>
    <row r="144" spans="1:5" x14ac:dyDescent="0.25">
      <c r="A144" t="s">
        <v>497</v>
      </c>
      <c r="B144" t="s">
        <v>1959</v>
      </c>
      <c r="C144">
        <v>2022</v>
      </c>
      <c r="E144" t="s">
        <v>1962</v>
      </c>
    </row>
    <row r="145" spans="1:5" x14ac:dyDescent="0.25">
      <c r="A145" t="s">
        <v>497</v>
      </c>
      <c r="B145" t="s">
        <v>2050</v>
      </c>
      <c r="C145">
        <v>2022</v>
      </c>
      <c r="E145" t="s">
        <v>3009</v>
      </c>
    </row>
    <row r="146" spans="1:5" x14ac:dyDescent="0.25">
      <c r="A146" t="s">
        <v>497</v>
      </c>
      <c r="B146" t="s">
        <v>2284</v>
      </c>
      <c r="C146">
        <v>2022</v>
      </c>
      <c r="E146" t="s">
        <v>3072</v>
      </c>
    </row>
    <row r="147" spans="1:5" x14ac:dyDescent="0.25">
      <c r="A147" t="s">
        <v>497</v>
      </c>
      <c r="B147" t="s">
        <v>2839</v>
      </c>
      <c r="C147">
        <v>2022</v>
      </c>
      <c r="E147" t="s">
        <v>3073</v>
      </c>
    </row>
    <row r="148" spans="1:5" x14ac:dyDescent="0.25">
      <c r="A148" t="s">
        <v>505</v>
      </c>
      <c r="B148" t="s">
        <v>606</v>
      </c>
      <c r="C148">
        <v>2024</v>
      </c>
      <c r="E148" t="s">
        <v>609</v>
      </c>
    </row>
    <row r="149" spans="1:5" x14ac:dyDescent="0.25">
      <c r="A149" t="s">
        <v>510</v>
      </c>
      <c r="B149" t="s">
        <v>673</v>
      </c>
      <c r="C149">
        <v>2018</v>
      </c>
      <c r="D149" t="s">
        <v>187</v>
      </c>
    </row>
    <row r="150" spans="1:5" x14ac:dyDescent="0.25">
      <c r="A150" t="s">
        <v>517</v>
      </c>
      <c r="B150" t="s">
        <v>519</v>
      </c>
      <c r="C150">
        <v>2010</v>
      </c>
      <c r="D150" t="s">
        <v>187</v>
      </c>
    </row>
    <row r="151" spans="1:5" x14ac:dyDescent="0.25">
      <c r="A151" t="s">
        <v>522</v>
      </c>
      <c r="B151" t="s">
        <v>985</v>
      </c>
      <c r="C151">
        <v>1989</v>
      </c>
      <c r="E151" t="s">
        <v>3074</v>
      </c>
    </row>
    <row r="152" spans="1:5" x14ac:dyDescent="0.25">
      <c r="A152" t="s">
        <v>525</v>
      </c>
      <c r="B152" t="s">
        <v>2963</v>
      </c>
      <c r="C152">
        <v>2005</v>
      </c>
      <c r="E152" t="s">
        <v>3007</v>
      </c>
    </row>
    <row r="153" spans="1:5" x14ac:dyDescent="0.25">
      <c r="A153" t="s">
        <v>531</v>
      </c>
      <c r="B153" t="s">
        <v>534</v>
      </c>
      <c r="C153">
        <v>2010</v>
      </c>
      <c r="E153" t="s">
        <v>3075</v>
      </c>
    </row>
    <row r="154" spans="1:5" x14ac:dyDescent="0.25">
      <c r="A154" t="s">
        <v>531</v>
      </c>
      <c r="B154" t="s">
        <v>536</v>
      </c>
      <c r="C154">
        <v>2010</v>
      </c>
      <c r="E154" t="s">
        <v>3076</v>
      </c>
    </row>
    <row r="155" spans="1:5" x14ac:dyDescent="0.25">
      <c r="A155" t="s">
        <v>536</v>
      </c>
      <c r="B155" t="s">
        <v>538</v>
      </c>
      <c r="C155">
        <v>2013</v>
      </c>
      <c r="D155" t="s">
        <v>187</v>
      </c>
    </row>
    <row r="156" spans="1:5" x14ac:dyDescent="0.25">
      <c r="A156" t="s">
        <v>540</v>
      </c>
      <c r="B156" t="s">
        <v>2078</v>
      </c>
      <c r="C156">
        <v>2015</v>
      </c>
      <c r="E156" t="s">
        <v>3077</v>
      </c>
    </row>
    <row r="157" spans="1:5" x14ac:dyDescent="0.25">
      <c r="A157" t="s">
        <v>549</v>
      </c>
      <c r="B157" t="s">
        <v>2891</v>
      </c>
      <c r="C157">
        <v>2017</v>
      </c>
      <c r="E157" t="s">
        <v>3078</v>
      </c>
    </row>
    <row r="158" spans="1:5" x14ac:dyDescent="0.25">
      <c r="A158" t="s">
        <v>553</v>
      </c>
      <c r="B158" t="s">
        <v>273</v>
      </c>
      <c r="C158">
        <v>2010</v>
      </c>
      <c r="E158" t="s">
        <v>2983</v>
      </c>
    </row>
    <row r="159" spans="1:5" x14ac:dyDescent="0.25">
      <c r="A159" t="s">
        <v>553</v>
      </c>
      <c r="B159" t="s">
        <v>2448</v>
      </c>
      <c r="C159">
        <v>2010</v>
      </c>
      <c r="D159" t="s">
        <v>187</v>
      </c>
    </row>
    <row r="160" spans="1:5" x14ac:dyDescent="0.25">
      <c r="A160" t="s">
        <v>571</v>
      </c>
      <c r="B160" t="s">
        <v>1374</v>
      </c>
      <c r="C160">
        <v>2022</v>
      </c>
      <c r="D160" t="s">
        <v>187</v>
      </c>
    </row>
    <row r="161" spans="1:5" x14ac:dyDescent="0.25">
      <c r="A161" t="s">
        <v>574</v>
      </c>
      <c r="B161" t="s">
        <v>310</v>
      </c>
      <c r="C161">
        <v>2019</v>
      </c>
      <c r="E161" t="s">
        <v>3079</v>
      </c>
    </row>
    <row r="162" spans="1:5" x14ac:dyDescent="0.25">
      <c r="A162" t="s">
        <v>574</v>
      </c>
      <c r="B162" t="s">
        <v>2600</v>
      </c>
      <c r="C162">
        <v>2019</v>
      </c>
      <c r="E162" t="s">
        <v>3080</v>
      </c>
    </row>
    <row r="163" spans="1:5" x14ac:dyDescent="0.25">
      <c r="A163" t="s">
        <v>578</v>
      </c>
      <c r="B163" t="s">
        <v>1094</v>
      </c>
      <c r="C163">
        <v>1998</v>
      </c>
      <c r="D163" t="s">
        <v>187</v>
      </c>
    </row>
    <row r="164" spans="1:5" x14ac:dyDescent="0.25">
      <c r="A164" t="s">
        <v>581</v>
      </c>
      <c r="B164" t="s">
        <v>578</v>
      </c>
      <c r="C164">
        <v>1997</v>
      </c>
      <c r="D164" t="s">
        <v>187</v>
      </c>
    </row>
    <row r="165" spans="1:5" x14ac:dyDescent="0.25">
      <c r="A165" t="s">
        <v>586</v>
      </c>
      <c r="B165" t="s">
        <v>591</v>
      </c>
      <c r="C165">
        <v>2023</v>
      </c>
      <c r="D165" t="s">
        <v>187</v>
      </c>
    </row>
    <row r="166" spans="1:5" x14ac:dyDescent="0.25">
      <c r="A166" t="s">
        <v>606</v>
      </c>
      <c r="B166" t="s">
        <v>910</v>
      </c>
      <c r="C166">
        <v>2025</v>
      </c>
      <c r="E166" t="s">
        <v>2983</v>
      </c>
    </row>
    <row r="167" spans="1:5" x14ac:dyDescent="0.25">
      <c r="A167" t="s">
        <v>606</v>
      </c>
      <c r="B167" t="s">
        <v>7695</v>
      </c>
      <c r="C167">
        <v>2025</v>
      </c>
      <c r="E167" t="s">
        <v>7698</v>
      </c>
    </row>
    <row r="168" spans="1:5" x14ac:dyDescent="0.25">
      <c r="A168" t="s">
        <v>623</v>
      </c>
      <c r="B168" t="s">
        <v>1599</v>
      </c>
      <c r="C168">
        <v>2017</v>
      </c>
      <c r="E168" t="s">
        <v>3081</v>
      </c>
    </row>
    <row r="169" spans="1:5" x14ac:dyDescent="0.25">
      <c r="A169" t="s">
        <v>623</v>
      </c>
      <c r="B169" t="s">
        <v>2624</v>
      </c>
      <c r="C169">
        <v>2017</v>
      </c>
      <c r="E169" t="s">
        <v>3082</v>
      </c>
    </row>
    <row r="170" spans="1:5" x14ac:dyDescent="0.25">
      <c r="A170" t="s">
        <v>643</v>
      </c>
      <c r="B170" t="s">
        <v>403</v>
      </c>
      <c r="C170">
        <v>2020</v>
      </c>
      <c r="D170" t="s">
        <v>187</v>
      </c>
    </row>
    <row r="171" spans="1:5" x14ac:dyDescent="0.25">
      <c r="A171" t="s">
        <v>651</v>
      </c>
      <c r="B171" t="s">
        <v>1876</v>
      </c>
      <c r="C171">
        <v>2023</v>
      </c>
      <c r="E171" t="s">
        <v>3083</v>
      </c>
    </row>
    <row r="172" spans="1:5" x14ac:dyDescent="0.25">
      <c r="A172" t="s">
        <v>651</v>
      </c>
      <c r="B172" t="s">
        <v>2813</v>
      </c>
      <c r="C172">
        <v>2023</v>
      </c>
      <c r="E172" t="s">
        <v>3084</v>
      </c>
    </row>
    <row r="173" spans="1:5" x14ac:dyDescent="0.25">
      <c r="A173" t="s">
        <v>689</v>
      </c>
      <c r="B173" t="s">
        <v>190</v>
      </c>
      <c r="C173">
        <v>2015</v>
      </c>
      <c r="E173" t="s">
        <v>3085</v>
      </c>
    </row>
    <row r="174" spans="1:5" x14ac:dyDescent="0.25">
      <c r="A174" t="s">
        <v>689</v>
      </c>
      <c r="B174" t="s">
        <v>473</v>
      </c>
      <c r="C174">
        <v>2015</v>
      </c>
      <c r="E174" t="s">
        <v>3086</v>
      </c>
    </row>
    <row r="175" spans="1:5" x14ac:dyDescent="0.25">
      <c r="A175" t="s">
        <v>689</v>
      </c>
      <c r="B175" t="s">
        <v>571</v>
      </c>
      <c r="C175">
        <v>2015</v>
      </c>
      <c r="E175" t="s">
        <v>3087</v>
      </c>
    </row>
    <row r="176" spans="1:5" x14ac:dyDescent="0.25">
      <c r="A176" t="s">
        <v>689</v>
      </c>
      <c r="B176" t="s">
        <v>821</v>
      </c>
      <c r="C176">
        <v>2015</v>
      </c>
      <c r="E176" t="s">
        <v>3088</v>
      </c>
    </row>
    <row r="177" spans="1:5" x14ac:dyDescent="0.25">
      <c r="A177" t="s">
        <v>689</v>
      </c>
      <c r="B177" t="s">
        <v>1260</v>
      </c>
      <c r="C177">
        <v>2015</v>
      </c>
      <c r="E177" t="s">
        <v>2983</v>
      </c>
    </row>
    <row r="178" spans="1:5" x14ac:dyDescent="0.25">
      <c r="A178" t="s">
        <v>689</v>
      </c>
      <c r="B178" t="s">
        <v>1401</v>
      </c>
      <c r="C178">
        <v>2015</v>
      </c>
      <c r="E178" t="s">
        <v>2992</v>
      </c>
    </row>
    <row r="179" spans="1:5" x14ac:dyDescent="0.25">
      <c r="A179" t="s">
        <v>689</v>
      </c>
      <c r="B179" t="s">
        <v>1493</v>
      </c>
      <c r="C179">
        <v>2015</v>
      </c>
      <c r="E179" t="s">
        <v>3089</v>
      </c>
    </row>
    <row r="180" spans="1:5" x14ac:dyDescent="0.25">
      <c r="A180" t="s">
        <v>689</v>
      </c>
      <c r="B180" t="s">
        <v>2319</v>
      </c>
      <c r="C180">
        <v>2015</v>
      </c>
      <c r="E180" t="s">
        <v>3090</v>
      </c>
    </row>
    <row r="181" spans="1:5" x14ac:dyDescent="0.25">
      <c r="A181" t="s">
        <v>709</v>
      </c>
      <c r="B181" t="s">
        <v>602</v>
      </c>
      <c r="C181">
        <v>2022</v>
      </c>
      <c r="E181" t="s">
        <v>2983</v>
      </c>
    </row>
    <row r="182" spans="1:5" x14ac:dyDescent="0.25">
      <c r="A182" t="s">
        <v>709</v>
      </c>
      <c r="B182" t="s">
        <v>1167</v>
      </c>
      <c r="C182">
        <v>2022</v>
      </c>
      <c r="E182" t="s">
        <v>3091</v>
      </c>
    </row>
    <row r="183" spans="1:5" x14ac:dyDescent="0.25">
      <c r="A183" t="s">
        <v>717</v>
      </c>
      <c r="B183" t="s">
        <v>2046</v>
      </c>
      <c r="C183">
        <v>2024</v>
      </c>
      <c r="E183" t="s">
        <v>3068</v>
      </c>
    </row>
    <row r="184" spans="1:5" x14ac:dyDescent="0.25">
      <c r="A184" t="s">
        <v>720</v>
      </c>
      <c r="B184" t="s">
        <v>724</v>
      </c>
      <c r="C184">
        <v>2016</v>
      </c>
      <c r="D184" t="s">
        <v>187</v>
      </c>
      <c r="E184" t="s">
        <v>3078</v>
      </c>
    </row>
    <row r="185" spans="1:5" x14ac:dyDescent="0.25">
      <c r="A185" t="s">
        <v>720</v>
      </c>
      <c r="B185" t="s">
        <v>1440</v>
      </c>
      <c r="C185">
        <v>2016</v>
      </c>
      <c r="E185" t="s">
        <v>3092</v>
      </c>
    </row>
    <row r="186" spans="1:5" x14ac:dyDescent="0.25">
      <c r="A186" t="s">
        <v>720</v>
      </c>
      <c r="B186" t="s">
        <v>2245</v>
      </c>
      <c r="C186">
        <v>2016</v>
      </c>
      <c r="E186" t="s">
        <v>3093</v>
      </c>
    </row>
    <row r="187" spans="1:5" x14ac:dyDescent="0.25">
      <c r="A187" t="s">
        <v>726</v>
      </c>
      <c r="B187" t="s">
        <v>1799</v>
      </c>
      <c r="C187">
        <v>2020</v>
      </c>
      <c r="E187" t="s">
        <v>3094</v>
      </c>
    </row>
    <row r="188" spans="1:5" x14ac:dyDescent="0.25">
      <c r="A188" t="s">
        <v>726</v>
      </c>
      <c r="B188" t="s">
        <v>2066</v>
      </c>
      <c r="C188">
        <v>2020</v>
      </c>
      <c r="D188" t="s">
        <v>187</v>
      </c>
    </row>
    <row r="189" spans="1:5" x14ac:dyDescent="0.25">
      <c r="A189" t="s">
        <v>737</v>
      </c>
      <c r="B189" t="s">
        <v>310</v>
      </c>
      <c r="C189">
        <v>2019</v>
      </c>
      <c r="D189" t="s">
        <v>187</v>
      </c>
      <c r="E189" t="s">
        <v>3079</v>
      </c>
    </row>
    <row r="190" spans="1:5" x14ac:dyDescent="0.25">
      <c r="A190" t="s">
        <v>746</v>
      </c>
      <c r="B190" t="s">
        <v>237</v>
      </c>
      <c r="C190">
        <v>2015</v>
      </c>
      <c r="E190" t="s">
        <v>3095</v>
      </c>
    </row>
    <row r="191" spans="1:5" x14ac:dyDescent="0.25">
      <c r="A191" t="s">
        <v>746</v>
      </c>
      <c r="B191" t="s">
        <v>301</v>
      </c>
      <c r="C191">
        <v>2015</v>
      </c>
      <c r="D191" t="s">
        <v>3096</v>
      </c>
      <c r="E191" t="s">
        <v>3097</v>
      </c>
    </row>
    <row r="192" spans="1:5" x14ac:dyDescent="0.25">
      <c r="A192" t="s">
        <v>746</v>
      </c>
      <c r="B192" t="s">
        <v>598</v>
      </c>
      <c r="C192">
        <v>2015</v>
      </c>
      <c r="E192" t="s">
        <v>2983</v>
      </c>
    </row>
    <row r="193" spans="1:5" x14ac:dyDescent="0.25">
      <c r="A193" t="s">
        <v>746</v>
      </c>
      <c r="B193" t="s">
        <v>647</v>
      </c>
      <c r="C193">
        <v>2015</v>
      </c>
      <c r="E193" t="s">
        <v>3098</v>
      </c>
    </row>
    <row r="194" spans="1:5" x14ac:dyDescent="0.25">
      <c r="A194" t="s">
        <v>746</v>
      </c>
      <c r="B194" t="s">
        <v>726</v>
      </c>
      <c r="C194">
        <v>2015</v>
      </c>
      <c r="E194" t="s">
        <v>3099</v>
      </c>
    </row>
    <row r="195" spans="1:5" x14ac:dyDescent="0.25">
      <c r="A195" t="s">
        <v>746</v>
      </c>
      <c r="B195" t="s">
        <v>737</v>
      </c>
      <c r="C195">
        <v>2015</v>
      </c>
      <c r="E195" t="s">
        <v>3100</v>
      </c>
    </row>
    <row r="196" spans="1:5" x14ac:dyDescent="0.25">
      <c r="A196" t="s">
        <v>746</v>
      </c>
      <c r="B196" t="s">
        <v>750</v>
      </c>
      <c r="C196">
        <v>2015</v>
      </c>
    </row>
    <row r="197" spans="1:5" x14ac:dyDescent="0.25">
      <c r="A197" t="s">
        <v>746</v>
      </c>
      <c r="B197" t="s">
        <v>795</v>
      </c>
      <c r="C197">
        <v>2015</v>
      </c>
      <c r="E197" t="s">
        <v>3101</v>
      </c>
    </row>
    <row r="198" spans="1:5" x14ac:dyDescent="0.25">
      <c r="A198" t="s">
        <v>746</v>
      </c>
      <c r="B198" t="s">
        <v>813</v>
      </c>
      <c r="C198">
        <v>2015</v>
      </c>
      <c r="E198" t="s">
        <v>3102</v>
      </c>
    </row>
    <row r="199" spans="1:5" x14ac:dyDescent="0.25">
      <c r="A199" t="s">
        <v>746</v>
      </c>
      <c r="B199" t="s">
        <v>878</v>
      </c>
      <c r="C199">
        <v>2015</v>
      </c>
      <c r="E199" t="s">
        <v>3103</v>
      </c>
    </row>
    <row r="200" spans="1:5" x14ac:dyDescent="0.25">
      <c r="A200" t="s">
        <v>746</v>
      </c>
      <c r="B200" t="s">
        <v>981</v>
      </c>
      <c r="C200">
        <v>2015</v>
      </c>
      <c r="E200" t="s">
        <v>3104</v>
      </c>
    </row>
    <row r="201" spans="1:5" x14ac:dyDescent="0.25">
      <c r="A201" t="s">
        <v>746</v>
      </c>
      <c r="B201" t="s">
        <v>1051</v>
      </c>
      <c r="C201">
        <v>2015</v>
      </c>
      <c r="E201" t="s">
        <v>3105</v>
      </c>
    </row>
    <row r="202" spans="1:5" x14ac:dyDescent="0.25">
      <c r="A202" t="s">
        <v>746</v>
      </c>
      <c r="B202" t="s">
        <v>1345</v>
      </c>
      <c r="C202">
        <v>2015</v>
      </c>
      <c r="E202" t="s">
        <v>3106</v>
      </c>
    </row>
    <row r="203" spans="1:5" x14ac:dyDescent="0.25">
      <c r="A203" t="s">
        <v>746</v>
      </c>
      <c r="B203" t="s">
        <v>1451</v>
      </c>
      <c r="C203">
        <v>2015</v>
      </c>
      <c r="E203" t="s">
        <v>3107</v>
      </c>
    </row>
    <row r="204" spans="1:5" x14ac:dyDescent="0.25">
      <c r="A204" t="s">
        <v>746</v>
      </c>
      <c r="B204" t="s">
        <v>1527</v>
      </c>
      <c r="C204">
        <v>2015</v>
      </c>
      <c r="E204" t="s">
        <v>3056</v>
      </c>
    </row>
    <row r="205" spans="1:5" x14ac:dyDescent="0.25">
      <c r="A205" t="s">
        <v>746</v>
      </c>
      <c r="B205" t="s">
        <v>1575</v>
      </c>
      <c r="C205">
        <v>2015</v>
      </c>
      <c r="E205" t="s">
        <v>2983</v>
      </c>
    </row>
    <row r="206" spans="1:5" x14ac:dyDescent="0.25">
      <c r="A206" t="s">
        <v>746</v>
      </c>
      <c r="B206" t="s">
        <v>1769</v>
      </c>
      <c r="C206">
        <v>2015</v>
      </c>
      <c r="E206" t="s">
        <v>3108</v>
      </c>
    </row>
    <row r="207" spans="1:5" x14ac:dyDescent="0.25">
      <c r="A207" t="s">
        <v>746</v>
      </c>
      <c r="B207" t="s">
        <v>2245</v>
      </c>
      <c r="C207">
        <v>2015</v>
      </c>
      <c r="E207" t="s">
        <v>3093</v>
      </c>
    </row>
    <row r="208" spans="1:5" x14ac:dyDescent="0.25">
      <c r="A208" t="s">
        <v>746</v>
      </c>
      <c r="B208" t="s">
        <v>2280</v>
      </c>
      <c r="C208">
        <v>2015</v>
      </c>
      <c r="E208" t="s">
        <v>3109</v>
      </c>
    </row>
    <row r="209" spans="1:5" x14ac:dyDescent="0.25">
      <c r="A209" t="s">
        <v>746</v>
      </c>
      <c r="B209" t="s">
        <v>2319</v>
      </c>
      <c r="C209">
        <v>2015</v>
      </c>
      <c r="E209" t="s">
        <v>3090</v>
      </c>
    </row>
    <row r="210" spans="1:5" x14ac:dyDescent="0.25">
      <c r="A210" t="s">
        <v>746</v>
      </c>
      <c r="B210" t="s">
        <v>90</v>
      </c>
      <c r="C210">
        <v>2015</v>
      </c>
      <c r="E210" t="s">
        <v>3110</v>
      </c>
    </row>
    <row r="211" spans="1:5" x14ac:dyDescent="0.25">
      <c r="A211" t="s">
        <v>746</v>
      </c>
      <c r="B211" t="s">
        <v>2482</v>
      </c>
      <c r="C211">
        <v>2015</v>
      </c>
      <c r="E211" t="s">
        <v>3000</v>
      </c>
    </row>
    <row r="212" spans="1:5" x14ac:dyDescent="0.25">
      <c r="A212" t="s">
        <v>746</v>
      </c>
      <c r="B212" t="s">
        <v>2703</v>
      </c>
      <c r="C212">
        <v>2015</v>
      </c>
      <c r="E212" t="s">
        <v>2983</v>
      </c>
    </row>
    <row r="213" spans="1:5" x14ac:dyDescent="0.25">
      <c r="A213" t="s">
        <v>746</v>
      </c>
      <c r="B213" t="s">
        <v>2823</v>
      </c>
      <c r="C213">
        <v>2015</v>
      </c>
      <c r="E213" t="s">
        <v>3111</v>
      </c>
    </row>
    <row r="214" spans="1:5" x14ac:dyDescent="0.25">
      <c r="A214" t="s">
        <v>754</v>
      </c>
      <c r="B214" t="s">
        <v>894</v>
      </c>
      <c r="C214">
        <v>2022</v>
      </c>
      <c r="E214" t="s">
        <v>3112</v>
      </c>
    </row>
    <row r="215" spans="1:5" x14ac:dyDescent="0.25">
      <c r="A215" t="s">
        <v>759</v>
      </c>
      <c r="B215" t="s">
        <v>228</v>
      </c>
      <c r="C215">
        <v>2018</v>
      </c>
      <c r="E215" t="s">
        <v>3113</v>
      </c>
    </row>
    <row r="216" spans="1:5" x14ac:dyDescent="0.25">
      <c r="A216" t="s">
        <v>759</v>
      </c>
      <c r="B216" t="s">
        <v>241</v>
      </c>
      <c r="C216">
        <v>2018</v>
      </c>
      <c r="E216" t="s">
        <v>2983</v>
      </c>
    </row>
    <row r="217" spans="1:5" x14ac:dyDescent="0.25">
      <c r="A217" t="s">
        <v>759</v>
      </c>
      <c r="B217" t="s">
        <v>253</v>
      </c>
      <c r="C217">
        <v>2018</v>
      </c>
      <c r="E217" t="s">
        <v>3114</v>
      </c>
    </row>
    <row r="218" spans="1:5" x14ac:dyDescent="0.25">
      <c r="A218" t="s">
        <v>759</v>
      </c>
      <c r="B218" t="s">
        <v>310</v>
      </c>
      <c r="C218">
        <v>2018</v>
      </c>
      <c r="E218" t="s">
        <v>3079</v>
      </c>
    </row>
    <row r="219" spans="1:5" x14ac:dyDescent="0.25">
      <c r="A219" t="s">
        <v>759</v>
      </c>
      <c r="B219" t="s">
        <v>330</v>
      </c>
      <c r="C219">
        <v>2018</v>
      </c>
      <c r="E219" t="s">
        <v>3115</v>
      </c>
    </row>
    <row r="220" spans="1:5" x14ac:dyDescent="0.25">
      <c r="A220" t="s">
        <v>759</v>
      </c>
      <c r="B220" t="s">
        <v>387</v>
      </c>
      <c r="C220">
        <v>2018</v>
      </c>
      <c r="E220" t="s">
        <v>3116</v>
      </c>
    </row>
    <row r="221" spans="1:5" x14ac:dyDescent="0.25">
      <c r="A221" t="s">
        <v>759</v>
      </c>
      <c r="B221" t="s">
        <v>709</v>
      </c>
      <c r="C221">
        <v>2018</v>
      </c>
      <c r="E221" t="s">
        <v>3117</v>
      </c>
    </row>
    <row r="222" spans="1:5" x14ac:dyDescent="0.25">
      <c r="A222" t="s">
        <v>759</v>
      </c>
      <c r="B222" t="s">
        <v>846</v>
      </c>
      <c r="C222">
        <v>2018</v>
      </c>
      <c r="E222" t="s">
        <v>3118</v>
      </c>
    </row>
    <row r="223" spans="1:5" x14ac:dyDescent="0.25">
      <c r="A223" t="s">
        <v>759</v>
      </c>
      <c r="B223" t="s">
        <v>949</v>
      </c>
      <c r="C223">
        <v>2018</v>
      </c>
      <c r="E223" t="s">
        <v>3119</v>
      </c>
    </row>
    <row r="224" spans="1:5" x14ac:dyDescent="0.25">
      <c r="A224" t="s">
        <v>759</v>
      </c>
      <c r="B224" t="s">
        <v>1003</v>
      </c>
      <c r="C224">
        <v>2018</v>
      </c>
      <c r="E224" t="s">
        <v>3120</v>
      </c>
    </row>
    <row r="225" spans="1:5" x14ac:dyDescent="0.25">
      <c r="A225" t="s">
        <v>759</v>
      </c>
      <c r="B225" t="s">
        <v>1030</v>
      </c>
      <c r="C225">
        <v>2018</v>
      </c>
      <c r="E225" t="s">
        <v>2983</v>
      </c>
    </row>
    <row r="226" spans="1:5" x14ac:dyDescent="0.25">
      <c r="A226" t="s">
        <v>759</v>
      </c>
      <c r="B226" t="s">
        <v>1152</v>
      </c>
      <c r="C226">
        <v>2018</v>
      </c>
      <c r="E226" t="s">
        <v>3121</v>
      </c>
    </row>
    <row r="227" spans="1:5" x14ac:dyDescent="0.25">
      <c r="A227" t="s">
        <v>759</v>
      </c>
      <c r="B227" t="s">
        <v>1160</v>
      </c>
      <c r="C227">
        <v>2018</v>
      </c>
      <c r="E227" t="s">
        <v>3122</v>
      </c>
    </row>
    <row r="228" spans="1:5" x14ac:dyDescent="0.25">
      <c r="A228" t="s">
        <v>759</v>
      </c>
      <c r="B228" t="s">
        <v>1480</v>
      </c>
      <c r="C228">
        <v>2018</v>
      </c>
      <c r="E228" t="s">
        <v>3123</v>
      </c>
    </row>
    <row r="229" spans="1:5" x14ac:dyDescent="0.25">
      <c r="A229" t="s">
        <v>759</v>
      </c>
      <c r="B229" t="s">
        <v>1642</v>
      </c>
      <c r="C229">
        <v>2018</v>
      </c>
      <c r="E229" t="s">
        <v>3124</v>
      </c>
    </row>
    <row r="230" spans="1:5" x14ac:dyDescent="0.25">
      <c r="A230" t="s">
        <v>759</v>
      </c>
      <c r="B230" t="s">
        <v>1866</v>
      </c>
      <c r="C230">
        <v>2018</v>
      </c>
      <c r="E230" t="s">
        <v>3014</v>
      </c>
    </row>
    <row r="231" spans="1:5" x14ac:dyDescent="0.25">
      <c r="A231" t="s">
        <v>759</v>
      </c>
      <c r="B231" t="s">
        <v>2070</v>
      </c>
      <c r="C231">
        <v>2018</v>
      </c>
      <c r="E231" t="s">
        <v>2983</v>
      </c>
    </row>
    <row r="232" spans="1:5" x14ac:dyDescent="0.25">
      <c r="A232" t="s">
        <v>759</v>
      </c>
      <c r="B232" t="s">
        <v>2147</v>
      </c>
      <c r="C232">
        <v>2018</v>
      </c>
      <c r="E232" t="s">
        <v>3125</v>
      </c>
    </row>
    <row r="233" spans="1:5" x14ac:dyDescent="0.25">
      <c r="A233" t="s">
        <v>759</v>
      </c>
      <c r="B233" t="s">
        <v>2255</v>
      </c>
      <c r="C233">
        <v>2018</v>
      </c>
      <c r="E233" t="s">
        <v>2983</v>
      </c>
    </row>
    <row r="234" spans="1:5" x14ac:dyDescent="0.25">
      <c r="A234" t="s">
        <v>759</v>
      </c>
      <c r="B234" t="s">
        <v>2404</v>
      </c>
      <c r="C234">
        <v>2018</v>
      </c>
      <c r="E234" t="s">
        <v>3126</v>
      </c>
    </row>
    <row r="235" spans="1:5" x14ac:dyDescent="0.25">
      <c r="A235" t="s">
        <v>759</v>
      </c>
      <c r="B235" t="s">
        <v>2600</v>
      </c>
      <c r="C235">
        <v>2018</v>
      </c>
      <c r="E235" t="s">
        <v>3080</v>
      </c>
    </row>
    <row r="236" spans="1:5" x14ac:dyDescent="0.25">
      <c r="A236" t="s">
        <v>759</v>
      </c>
      <c r="B236" t="s">
        <v>2664</v>
      </c>
      <c r="C236">
        <v>2018</v>
      </c>
      <c r="D236" t="s">
        <v>187</v>
      </c>
      <c r="E236" t="s">
        <v>3127</v>
      </c>
    </row>
    <row r="237" spans="1:5" x14ac:dyDescent="0.25">
      <c r="A237" t="s">
        <v>759</v>
      </c>
      <c r="B237" t="s">
        <v>2767</v>
      </c>
      <c r="C237">
        <v>2018</v>
      </c>
      <c r="E237" t="s">
        <v>2983</v>
      </c>
    </row>
    <row r="238" spans="1:5" x14ac:dyDescent="0.25">
      <c r="A238" t="s">
        <v>759</v>
      </c>
      <c r="B238" t="s">
        <v>2783</v>
      </c>
      <c r="C238">
        <v>2018</v>
      </c>
      <c r="E238" t="s">
        <v>3128</v>
      </c>
    </row>
    <row r="239" spans="1:5" x14ac:dyDescent="0.25">
      <c r="A239" t="s">
        <v>759</v>
      </c>
      <c r="B239" t="s">
        <v>2895</v>
      </c>
      <c r="C239">
        <v>2018</v>
      </c>
      <c r="D239" t="s">
        <v>187</v>
      </c>
      <c r="E239" t="s">
        <v>3129</v>
      </c>
    </row>
    <row r="240" spans="1:5" x14ac:dyDescent="0.25">
      <c r="A240" t="s">
        <v>778</v>
      </c>
      <c r="B240" t="s">
        <v>394</v>
      </c>
      <c r="C240">
        <v>2023</v>
      </c>
      <c r="E240" t="s">
        <v>3058</v>
      </c>
    </row>
    <row r="241" spans="1:5" x14ac:dyDescent="0.25">
      <c r="A241" t="s">
        <v>778</v>
      </c>
      <c r="B241" t="s">
        <v>1060</v>
      </c>
      <c r="C241">
        <v>2023</v>
      </c>
      <c r="E241" t="s">
        <v>2983</v>
      </c>
    </row>
    <row r="242" spans="1:5" x14ac:dyDescent="0.25">
      <c r="A242" t="s">
        <v>778</v>
      </c>
      <c r="B242" t="s">
        <v>1464</v>
      </c>
      <c r="C242">
        <v>2023</v>
      </c>
      <c r="E242" t="s">
        <v>3130</v>
      </c>
    </row>
    <row r="243" spans="1:5" x14ac:dyDescent="0.25">
      <c r="A243" t="s">
        <v>778</v>
      </c>
      <c r="B243" t="s">
        <v>2382</v>
      </c>
      <c r="C243">
        <v>2023</v>
      </c>
      <c r="E243" t="s">
        <v>3049</v>
      </c>
    </row>
    <row r="244" spans="1:5" x14ac:dyDescent="0.25">
      <c r="A244" t="s">
        <v>778</v>
      </c>
      <c r="B244" t="s">
        <v>2670</v>
      </c>
      <c r="C244">
        <v>2023</v>
      </c>
      <c r="E244" t="s">
        <v>3131</v>
      </c>
    </row>
    <row r="245" spans="1:5" x14ac:dyDescent="0.25">
      <c r="A245" t="s">
        <v>786</v>
      </c>
      <c r="B245" t="s">
        <v>1109</v>
      </c>
      <c r="C245">
        <v>2023</v>
      </c>
      <c r="E245" t="s">
        <v>2983</v>
      </c>
    </row>
    <row r="246" spans="1:5" x14ac:dyDescent="0.25">
      <c r="A246" t="s">
        <v>811</v>
      </c>
      <c r="B246" t="s">
        <v>360</v>
      </c>
      <c r="C246">
        <v>2024</v>
      </c>
      <c r="E246" t="s">
        <v>7699</v>
      </c>
    </row>
    <row r="247" spans="1:5" x14ac:dyDescent="0.25">
      <c r="A247" t="s">
        <v>811</v>
      </c>
      <c r="B247" t="s">
        <v>1313</v>
      </c>
      <c r="C247">
        <v>2024</v>
      </c>
      <c r="E247" t="s">
        <v>2983</v>
      </c>
    </row>
    <row r="248" spans="1:5" x14ac:dyDescent="0.25">
      <c r="A248" t="s">
        <v>811</v>
      </c>
      <c r="B248" t="s">
        <v>7695</v>
      </c>
      <c r="C248">
        <v>2024</v>
      </c>
      <c r="E248" t="s">
        <v>7698</v>
      </c>
    </row>
    <row r="249" spans="1:5" x14ac:dyDescent="0.25">
      <c r="A249" t="s">
        <v>811</v>
      </c>
      <c r="B249" t="s">
        <v>2670</v>
      </c>
      <c r="C249">
        <v>2024</v>
      </c>
      <c r="E249" t="s">
        <v>3131</v>
      </c>
    </row>
    <row r="250" spans="1:5" x14ac:dyDescent="0.25">
      <c r="A250" t="s">
        <v>813</v>
      </c>
      <c r="B250" t="s">
        <v>786</v>
      </c>
      <c r="C250">
        <v>2018</v>
      </c>
      <c r="E250" t="s">
        <v>2983</v>
      </c>
    </row>
    <row r="251" spans="1:5" x14ac:dyDescent="0.25">
      <c r="A251" t="s">
        <v>826</v>
      </c>
      <c r="B251" t="s">
        <v>493</v>
      </c>
      <c r="C251">
        <v>2019</v>
      </c>
      <c r="E251" t="s">
        <v>2983</v>
      </c>
    </row>
    <row r="252" spans="1:5" x14ac:dyDescent="0.25">
      <c r="A252" t="s">
        <v>836</v>
      </c>
      <c r="B252" t="s">
        <v>1566</v>
      </c>
      <c r="C252">
        <v>2010</v>
      </c>
      <c r="E252" t="s">
        <v>3132</v>
      </c>
    </row>
    <row r="253" spans="1:5" x14ac:dyDescent="0.25">
      <c r="A253" t="s">
        <v>836</v>
      </c>
      <c r="B253" t="s">
        <v>160</v>
      </c>
      <c r="C253">
        <v>2010</v>
      </c>
      <c r="E253" t="s">
        <v>3133</v>
      </c>
    </row>
    <row r="254" spans="1:5" x14ac:dyDescent="0.25">
      <c r="A254" t="s">
        <v>842</v>
      </c>
      <c r="B254" t="s">
        <v>2340</v>
      </c>
      <c r="C254">
        <v>2021</v>
      </c>
      <c r="E254" t="s">
        <v>2983</v>
      </c>
    </row>
    <row r="255" spans="1:5" x14ac:dyDescent="0.25">
      <c r="A255" t="s">
        <v>842</v>
      </c>
      <c r="B255" t="s">
        <v>2366</v>
      </c>
      <c r="C255">
        <v>2021</v>
      </c>
      <c r="D255" t="s">
        <v>187</v>
      </c>
    </row>
    <row r="256" spans="1:5" x14ac:dyDescent="0.25">
      <c r="A256" t="s">
        <v>848</v>
      </c>
      <c r="B256" t="s">
        <v>294</v>
      </c>
      <c r="C256">
        <v>1996</v>
      </c>
      <c r="E256" t="s">
        <v>3134</v>
      </c>
    </row>
    <row r="257" spans="1:5" x14ac:dyDescent="0.25">
      <c r="A257" t="s">
        <v>848</v>
      </c>
      <c r="B257" t="s">
        <v>462</v>
      </c>
      <c r="C257">
        <v>1996</v>
      </c>
      <c r="E257" t="s">
        <v>3135</v>
      </c>
    </row>
    <row r="258" spans="1:5" x14ac:dyDescent="0.25">
      <c r="A258" t="s">
        <v>848</v>
      </c>
      <c r="B258" t="s">
        <v>517</v>
      </c>
      <c r="C258">
        <v>1996</v>
      </c>
      <c r="E258" t="s">
        <v>3001</v>
      </c>
    </row>
    <row r="259" spans="1:5" x14ac:dyDescent="0.25">
      <c r="A259" t="s">
        <v>848</v>
      </c>
      <c r="B259" t="s">
        <v>741</v>
      </c>
      <c r="C259">
        <v>1996</v>
      </c>
      <c r="E259" t="s">
        <v>3136</v>
      </c>
    </row>
    <row r="260" spans="1:5" x14ac:dyDescent="0.25">
      <c r="A260" t="s">
        <v>848</v>
      </c>
      <c r="B260" t="s">
        <v>778</v>
      </c>
      <c r="C260">
        <v>1996</v>
      </c>
      <c r="E260" t="s">
        <v>3137</v>
      </c>
    </row>
    <row r="261" spans="1:5" x14ac:dyDescent="0.25">
      <c r="A261" t="s">
        <v>848</v>
      </c>
      <c r="B261" t="s">
        <v>985</v>
      </c>
      <c r="C261">
        <v>1996</v>
      </c>
      <c r="E261" t="s">
        <v>3074</v>
      </c>
    </row>
    <row r="262" spans="1:5" x14ac:dyDescent="0.25">
      <c r="A262" t="s">
        <v>848</v>
      </c>
      <c r="B262" t="s">
        <v>1051</v>
      </c>
      <c r="C262">
        <v>1996</v>
      </c>
      <c r="E262" t="s">
        <v>3060</v>
      </c>
    </row>
    <row r="263" spans="1:5" x14ac:dyDescent="0.25">
      <c r="A263" t="s">
        <v>848</v>
      </c>
      <c r="B263" t="s">
        <v>1303</v>
      </c>
      <c r="C263">
        <v>1996</v>
      </c>
      <c r="E263" t="s">
        <v>3138</v>
      </c>
    </row>
    <row r="264" spans="1:5" x14ac:dyDescent="0.25">
      <c r="A264" t="s">
        <v>848</v>
      </c>
      <c r="B264" t="s">
        <v>1345</v>
      </c>
      <c r="C264">
        <v>1996</v>
      </c>
      <c r="E264" t="s">
        <v>3139</v>
      </c>
    </row>
    <row r="265" spans="1:5" x14ac:dyDescent="0.25">
      <c r="A265" t="s">
        <v>848</v>
      </c>
      <c r="B265" t="s">
        <v>1464</v>
      </c>
      <c r="C265">
        <v>1996</v>
      </c>
      <c r="E265" t="s">
        <v>3130</v>
      </c>
    </row>
    <row r="266" spans="1:5" x14ac:dyDescent="0.25">
      <c r="A266" t="s">
        <v>848</v>
      </c>
      <c r="B266" t="s">
        <v>1521</v>
      </c>
      <c r="C266">
        <v>1996</v>
      </c>
      <c r="E266" t="s">
        <v>3140</v>
      </c>
    </row>
    <row r="267" spans="1:5" x14ac:dyDescent="0.25">
      <c r="A267" t="s">
        <v>848</v>
      </c>
      <c r="B267" t="s">
        <v>1650</v>
      </c>
      <c r="C267">
        <v>1996</v>
      </c>
      <c r="E267" t="s">
        <v>3141</v>
      </c>
    </row>
    <row r="268" spans="1:5" x14ac:dyDescent="0.25">
      <c r="A268" t="s">
        <v>848</v>
      </c>
      <c r="B268" t="s">
        <v>2024</v>
      </c>
      <c r="C268">
        <v>1996</v>
      </c>
      <c r="E268" t="s">
        <v>2995</v>
      </c>
    </row>
    <row r="269" spans="1:5" x14ac:dyDescent="0.25">
      <c r="A269" t="s">
        <v>848</v>
      </c>
      <c r="B269" t="s">
        <v>2108</v>
      </c>
      <c r="C269">
        <v>1996</v>
      </c>
      <c r="E269" t="s">
        <v>3142</v>
      </c>
    </row>
    <row r="270" spans="1:5" x14ac:dyDescent="0.25">
      <c r="A270" t="s">
        <v>848</v>
      </c>
      <c r="B270" t="s">
        <v>2544</v>
      </c>
      <c r="C270">
        <v>1996</v>
      </c>
      <c r="E270" t="s">
        <v>3143</v>
      </c>
    </row>
    <row r="271" spans="1:5" x14ac:dyDescent="0.25">
      <c r="A271" t="s">
        <v>874</v>
      </c>
      <c r="B271" t="s">
        <v>287</v>
      </c>
      <c r="C271">
        <v>2019</v>
      </c>
      <c r="E271" t="s">
        <v>3144</v>
      </c>
    </row>
    <row r="272" spans="1:5" x14ac:dyDescent="0.25">
      <c r="A272" t="s">
        <v>874</v>
      </c>
      <c r="B272" t="s">
        <v>346</v>
      </c>
      <c r="C272">
        <v>2019</v>
      </c>
      <c r="E272" t="s">
        <v>2983</v>
      </c>
    </row>
    <row r="273" spans="1:5" x14ac:dyDescent="0.25">
      <c r="A273" t="s">
        <v>874</v>
      </c>
      <c r="B273" t="s">
        <v>851</v>
      </c>
      <c r="C273">
        <v>2019</v>
      </c>
      <c r="E273" t="s">
        <v>3145</v>
      </c>
    </row>
    <row r="274" spans="1:5" x14ac:dyDescent="0.25">
      <c r="A274" t="s">
        <v>874</v>
      </c>
      <c r="B274" t="s">
        <v>864</v>
      </c>
      <c r="C274">
        <v>2019</v>
      </c>
      <c r="E274" t="s">
        <v>3029</v>
      </c>
    </row>
    <row r="275" spans="1:5" x14ac:dyDescent="0.25">
      <c r="A275" t="s">
        <v>874</v>
      </c>
      <c r="B275" t="s">
        <v>878</v>
      </c>
      <c r="C275">
        <v>2019</v>
      </c>
      <c r="E275" t="s">
        <v>3103</v>
      </c>
    </row>
    <row r="276" spans="1:5" x14ac:dyDescent="0.25">
      <c r="A276" t="s">
        <v>874</v>
      </c>
      <c r="B276" t="s">
        <v>899</v>
      </c>
      <c r="C276">
        <v>2019</v>
      </c>
      <c r="E276" t="s">
        <v>3146</v>
      </c>
    </row>
    <row r="277" spans="1:5" x14ac:dyDescent="0.25">
      <c r="A277" t="s">
        <v>874</v>
      </c>
      <c r="B277" t="s">
        <v>961</v>
      </c>
      <c r="C277">
        <v>2019</v>
      </c>
      <c r="E277" t="s">
        <v>3147</v>
      </c>
    </row>
    <row r="278" spans="1:5" x14ac:dyDescent="0.25">
      <c r="A278" t="s">
        <v>874</v>
      </c>
      <c r="B278" t="s">
        <v>2417</v>
      </c>
      <c r="C278">
        <v>2019</v>
      </c>
      <c r="E278" t="s">
        <v>2983</v>
      </c>
    </row>
    <row r="279" spans="1:5" x14ac:dyDescent="0.25">
      <c r="A279" t="s">
        <v>905</v>
      </c>
      <c r="B279" t="s">
        <v>604</v>
      </c>
      <c r="C279">
        <v>2022</v>
      </c>
      <c r="E279" t="s">
        <v>3148</v>
      </c>
    </row>
    <row r="280" spans="1:5" x14ac:dyDescent="0.25">
      <c r="A280" t="s">
        <v>905</v>
      </c>
      <c r="B280" t="s">
        <v>1086</v>
      </c>
      <c r="C280">
        <v>2022</v>
      </c>
      <c r="E280" t="s">
        <v>1089</v>
      </c>
    </row>
    <row r="281" spans="1:5" x14ac:dyDescent="0.25">
      <c r="A281" t="s">
        <v>905</v>
      </c>
      <c r="B281" t="s">
        <v>1697</v>
      </c>
      <c r="C281">
        <v>2022</v>
      </c>
      <c r="E281" t="s">
        <v>3149</v>
      </c>
    </row>
    <row r="282" spans="1:5" x14ac:dyDescent="0.25">
      <c r="A282" t="s">
        <v>905</v>
      </c>
      <c r="B282" t="s">
        <v>2847</v>
      </c>
      <c r="C282">
        <v>2022</v>
      </c>
      <c r="E282" t="s">
        <v>3150</v>
      </c>
    </row>
    <row r="283" spans="1:5" x14ac:dyDescent="0.25">
      <c r="A283" t="s">
        <v>915</v>
      </c>
      <c r="B283" t="s">
        <v>709</v>
      </c>
      <c r="C283">
        <v>2013</v>
      </c>
      <c r="E283" t="s">
        <v>3117</v>
      </c>
    </row>
    <row r="284" spans="1:5" x14ac:dyDescent="0.25">
      <c r="A284" t="s">
        <v>915</v>
      </c>
      <c r="B284" t="s">
        <v>919</v>
      </c>
      <c r="C284">
        <v>2013</v>
      </c>
      <c r="D284" t="s">
        <v>187</v>
      </c>
    </row>
    <row r="285" spans="1:5" x14ac:dyDescent="0.25">
      <c r="A285" t="s">
        <v>915</v>
      </c>
      <c r="B285" t="s">
        <v>1395</v>
      </c>
      <c r="C285">
        <v>2013</v>
      </c>
      <c r="E285" t="s">
        <v>3034</v>
      </c>
    </row>
    <row r="286" spans="1:5" x14ac:dyDescent="0.25">
      <c r="A286" t="s">
        <v>915</v>
      </c>
      <c r="B286" t="s">
        <v>2145</v>
      </c>
      <c r="C286">
        <v>2013</v>
      </c>
      <c r="E286" t="s">
        <v>3151</v>
      </c>
    </row>
    <row r="287" spans="1:5" x14ac:dyDescent="0.25">
      <c r="A287" t="s">
        <v>915</v>
      </c>
      <c r="B287" t="s">
        <v>2631</v>
      </c>
      <c r="C287">
        <v>2013</v>
      </c>
      <c r="E287" t="s">
        <v>3152</v>
      </c>
    </row>
    <row r="288" spans="1:5" x14ac:dyDescent="0.25">
      <c r="A288" t="s">
        <v>923</v>
      </c>
      <c r="B288" t="s">
        <v>517</v>
      </c>
      <c r="C288">
        <v>2002</v>
      </c>
      <c r="E288" t="s">
        <v>3153</v>
      </c>
    </row>
    <row r="289" spans="1:5" x14ac:dyDescent="0.25">
      <c r="A289" t="s">
        <v>923</v>
      </c>
      <c r="B289" t="s">
        <v>531</v>
      </c>
      <c r="C289">
        <v>2002</v>
      </c>
      <c r="E289" t="s">
        <v>3154</v>
      </c>
    </row>
    <row r="290" spans="1:5" x14ac:dyDescent="0.25">
      <c r="A290" t="s">
        <v>923</v>
      </c>
      <c r="B290" t="s">
        <v>985</v>
      </c>
      <c r="C290">
        <v>2002</v>
      </c>
      <c r="E290" t="s">
        <v>2989</v>
      </c>
    </row>
    <row r="291" spans="1:5" x14ac:dyDescent="0.25">
      <c r="A291" t="s">
        <v>923</v>
      </c>
      <c r="B291" t="s">
        <v>1142</v>
      </c>
      <c r="C291">
        <v>2002</v>
      </c>
      <c r="E291" t="s">
        <v>2990</v>
      </c>
    </row>
    <row r="292" spans="1:5" x14ac:dyDescent="0.25">
      <c r="A292" t="s">
        <v>923</v>
      </c>
      <c r="B292" t="s">
        <v>1426</v>
      </c>
      <c r="C292">
        <v>2002</v>
      </c>
      <c r="E292" t="s">
        <v>2983</v>
      </c>
    </row>
    <row r="293" spans="1:5" x14ac:dyDescent="0.25">
      <c r="A293" t="s">
        <v>923</v>
      </c>
      <c r="B293" t="s">
        <v>1468</v>
      </c>
      <c r="C293">
        <v>2002</v>
      </c>
      <c r="D293" t="s">
        <v>187</v>
      </c>
    </row>
    <row r="294" spans="1:5" x14ac:dyDescent="0.25">
      <c r="A294" t="s">
        <v>923</v>
      </c>
      <c r="B294" t="s">
        <v>2036</v>
      </c>
      <c r="C294">
        <v>2002</v>
      </c>
      <c r="E294" t="s">
        <v>3155</v>
      </c>
    </row>
    <row r="295" spans="1:5" x14ac:dyDescent="0.25">
      <c r="A295" t="s">
        <v>923</v>
      </c>
      <c r="B295" t="s">
        <v>2407</v>
      </c>
      <c r="C295">
        <v>2002</v>
      </c>
      <c r="E295" t="s">
        <v>3064</v>
      </c>
    </row>
    <row r="296" spans="1:5" x14ac:dyDescent="0.25">
      <c r="A296" t="s">
        <v>925</v>
      </c>
      <c r="B296" t="s">
        <v>1996</v>
      </c>
      <c r="C296">
        <v>2019</v>
      </c>
    </row>
    <row r="297" spans="1:5" x14ac:dyDescent="0.25">
      <c r="A297" t="s">
        <v>925</v>
      </c>
      <c r="B297" t="s">
        <v>2507</v>
      </c>
      <c r="C297">
        <v>2019</v>
      </c>
      <c r="E297" t="s">
        <v>3156</v>
      </c>
    </row>
    <row r="298" spans="1:5" x14ac:dyDescent="0.25">
      <c r="A298" t="s">
        <v>925</v>
      </c>
      <c r="B298" t="s">
        <v>2595</v>
      </c>
      <c r="C298">
        <v>2019</v>
      </c>
      <c r="E298" t="s">
        <v>3157</v>
      </c>
    </row>
    <row r="299" spans="1:5" x14ac:dyDescent="0.25">
      <c r="A299" t="s">
        <v>925</v>
      </c>
      <c r="B299" t="s">
        <v>2615</v>
      </c>
      <c r="C299">
        <v>2019</v>
      </c>
      <c r="E299" t="s">
        <v>3158</v>
      </c>
    </row>
    <row r="300" spans="1:5" x14ac:dyDescent="0.25">
      <c r="A300" t="s">
        <v>925</v>
      </c>
      <c r="B300" t="s">
        <v>2819</v>
      </c>
      <c r="C300">
        <v>2019</v>
      </c>
      <c r="E300" t="s">
        <v>3159</v>
      </c>
    </row>
    <row r="301" spans="1:5" x14ac:dyDescent="0.25">
      <c r="A301" t="s">
        <v>931</v>
      </c>
      <c r="B301" t="s">
        <v>1236</v>
      </c>
      <c r="C301">
        <v>2015</v>
      </c>
      <c r="E301" t="s">
        <v>3160</v>
      </c>
    </row>
    <row r="302" spans="1:5" x14ac:dyDescent="0.25">
      <c r="A302" t="s">
        <v>931</v>
      </c>
      <c r="B302" t="s">
        <v>1542</v>
      </c>
      <c r="C302">
        <v>2015</v>
      </c>
      <c r="E302" t="s">
        <v>3161</v>
      </c>
    </row>
    <row r="303" spans="1:5" x14ac:dyDescent="0.25">
      <c r="A303" t="s">
        <v>931</v>
      </c>
      <c r="B303" t="s">
        <v>1554</v>
      </c>
      <c r="C303">
        <v>2015</v>
      </c>
      <c r="E303" t="s">
        <v>3162</v>
      </c>
    </row>
    <row r="304" spans="1:5" x14ac:dyDescent="0.25">
      <c r="A304" t="s">
        <v>931</v>
      </c>
      <c r="B304" t="s">
        <v>2131</v>
      </c>
      <c r="C304">
        <v>2015</v>
      </c>
      <c r="E304" t="s">
        <v>3163</v>
      </c>
    </row>
    <row r="305" spans="1:5" x14ac:dyDescent="0.25">
      <c r="A305" t="s">
        <v>931</v>
      </c>
      <c r="B305" t="s">
        <v>2255</v>
      </c>
      <c r="C305">
        <v>2015</v>
      </c>
      <c r="E305" t="s">
        <v>2983</v>
      </c>
    </row>
    <row r="306" spans="1:5" x14ac:dyDescent="0.25">
      <c r="A306" t="s">
        <v>931</v>
      </c>
      <c r="B306" t="s">
        <v>2329</v>
      </c>
      <c r="C306">
        <v>2015</v>
      </c>
      <c r="E306" t="s">
        <v>3164</v>
      </c>
    </row>
    <row r="307" spans="1:5" x14ac:dyDescent="0.25">
      <c r="A307" t="s">
        <v>931</v>
      </c>
      <c r="B307" t="s">
        <v>2745</v>
      </c>
      <c r="C307">
        <v>2015</v>
      </c>
      <c r="E307" t="s">
        <v>3165</v>
      </c>
    </row>
    <row r="308" spans="1:5" x14ac:dyDescent="0.25">
      <c r="A308" t="s">
        <v>931</v>
      </c>
      <c r="B308" t="s">
        <v>2761</v>
      </c>
      <c r="C308">
        <v>2015</v>
      </c>
      <c r="E308" t="s">
        <v>3166</v>
      </c>
    </row>
    <row r="309" spans="1:5" x14ac:dyDescent="0.25">
      <c r="A309" t="s">
        <v>947</v>
      </c>
      <c r="B309" t="s">
        <v>874</v>
      </c>
      <c r="C309">
        <v>2014</v>
      </c>
      <c r="E309" t="s">
        <v>3167</v>
      </c>
    </row>
    <row r="310" spans="1:5" x14ac:dyDescent="0.25">
      <c r="A310" t="s">
        <v>947</v>
      </c>
      <c r="B310" t="s">
        <v>1687</v>
      </c>
      <c r="C310">
        <v>2014</v>
      </c>
      <c r="E310" t="s">
        <v>1690</v>
      </c>
    </row>
    <row r="311" spans="1:5" x14ac:dyDescent="0.25">
      <c r="A311" t="s">
        <v>947</v>
      </c>
      <c r="B311" t="s">
        <v>1848</v>
      </c>
      <c r="C311">
        <v>2014</v>
      </c>
      <c r="E311" t="s">
        <v>3168</v>
      </c>
    </row>
    <row r="312" spans="1:5" x14ac:dyDescent="0.25">
      <c r="A312" t="s">
        <v>947</v>
      </c>
      <c r="B312" t="s">
        <v>90</v>
      </c>
      <c r="C312">
        <v>2014</v>
      </c>
      <c r="E312" t="s">
        <v>3169</v>
      </c>
    </row>
    <row r="313" spans="1:5" x14ac:dyDescent="0.25">
      <c r="A313" t="s">
        <v>961</v>
      </c>
      <c r="B313" t="s">
        <v>2220</v>
      </c>
      <c r="C313">
        <v>2024</v>
      </c>
      <c r="E313" t="s">
        <v>2983</v>
      </c>
    </row>
    <row r="314" spans="1:5" x14ac:dyDescent="0.25">
      <c r="A314" t="s">
        <v>965</v>
      </c>
      <c r="B314" t="s">
        <v>531</v>
      </c>
      <c r="C314">
        <v>2006</v>
      </c>
      <c r="E314" t="s">
        <v>3154</v>
      </c>
    </row>
    <row r="315" spans="1:5" x14ac:dyDescent="0.25">
      <c r="A315" t="s">
        <v>965</v>
      </c>
      <c r="B315" t="s">
        <v>623</v>
      </c>
      <c r="C315">
        <v>2006</v>
      </c>
      <c r="E315" t="s">
        <v>3170</v>
      </c>
    </row>
    <row r="316" spans="1:5" x14ac:dyDescent="0.25">
      <c r="A316" t="s">
        <v>965</v>
      </c>
      <c r="B316" t="s">
        <v>836</v>
      </c>
      <c r="C316">
        <v>2006</v>
      </c>
      <c r="E316" t="s">
        <v>3171</v>
      </c>
    </row>
    <row r="317" spans="1:5" x14ac:dyDescent="0.25">
      <c r="A317" t="s">
        <v>965</v>
      </c>
      <c r="B317" t="s">
        <v>985</v>
      </c>
      <c r="C317">
        <v>2006</v>
      </c>
      <c r="E317" t="s">
        <v>3074</v>
      </c>
    </row>
    <row r="318" spans="1:5" x14ac:dyDescent="0.25">
      <c r="A318" t="s">
        <v>965</v>
      </c>
      <c r="B318" t="s">
        <v>1224</v>
      </c>
      <c r="C318">
        <v>2006</v>
      </c>
      <c r="E318" t="s">
        <v>2983</v>
      </c>
    </row>
    <row r="319" spans="1:5" x14ac:dyDescent="0.25">
      <c r="A319" t="s">
        <v>965</v>
      </c>
      <c r="B319" t="s">
        <v>1938</v>
      </c>
      <c r="C319">
        <v>2006</v>
      </c>
      <c r="E319" t="s">
        <v>1941</v>
      </c>
    </row>
    <row r="320" spans="1:5" x14ac:dyDescent="0.25">
      <c r="A320" t="s">
        <v>965</v>
      </c>
      <c r="B320" t="s">
        <v>2108</v>
      </c>
      <c r="C320">
        <v>2006</v>
      </c>
      <c r="E320" t="s">
        <v>3142</v>
      </c>
    </row>
    <row r="321" spans="1:5" x14ac:dyDescent="0.25">
      <c r="A321" t="s">
        <v>965</v>
      </c>
      <c r="B321" t="s">
        <v>2725</v>
      </c>
      <c r="C321">
        <v>2006</v>
      </c>
      <c r="E321" t="s">
        <v>2728</v>
      </c>
    </row>
    <row r="322" spans="1:5" x14ac:dyDescent="0.25">
      <c r="A322" t="s">
        <v>965</v>
      </c>
      <c r="B322" t="s">
        <v>2797</v>
      </c>
      <c r="C322">
        <v>2018</v>
      </c>
      <c r="E322" t="s">
        <v>3172</v>
      </c>
    </row>
    <row r="323" spans="1:5" x14ac:dyDescent="0.25">
      <c r="A323" t="s">
        <v>965</v>
      </c>
      <c r="B323" t="s">
        <v>2963</v>
      </c>
      <c r="C323">
        <v>2006</v>
      </c>
      <c r="E323" t="s">
        <v>3007</v>
      </c>
    </row>
    <row r="324" spans="1:5" x14ac:dyDescent="0.25">
      <c r="A324" t="s">
        <v>985</v>
      </c>
      <c r="B324" t="s">
        <v>2579</v>
      </c>
      <c r="C324">
        <v>2010</v>
      </c>
      <c r="E324" t="s">
        <v>3173</v>
      </c>
    </row>
    <row r="325" spans="1:5" x14ac:dyDescent="0.25">
      <c r="A325" t="s">
        <v>995</v>
      </c>
      <c r="B325" t="s">
        <v>1408</v>
      </c>
      <c r="C325">
        <v>2011</v>
      </c>
      <c r="E325" t="s">
        <v>3174</v>
      </c>
    </row>
    <row r="326" spans="1:5" x14ac:dyDescent="0.25">
      <c r="A326" t="s">
        <v>995</v>
      </c>
      <c r="B326" t="s">
        <v>2040</v>
      </c>
      <c r="C326">
        <v>2011</v>
      </c>
      <c r="E326" t="s">
        <v>2982</v>
      </c>
    </row>
    <row r="327" spans="1:5" x14ac:dyDescent="0.25">
      <c r="A327" t="s">
        <v>995</v>
      </c>
      <c r="B327" t="s">
        <v>2191</v>
      </c>
      <c r="C327">
        <v>2011</v>
      </c>
      <c r="E327" t="s">
        <v>3175</v>
      </c>
    </row>
    <row r="328" spans="1:5" x14ac:dyDescent="0.25">
      <c r="A328" t="s">
        <v>995</v>
      </c>
      <c r="B328" t="s">
        <v>2624</v>
      </c>
      <c r="C328">
        <v>2011</v>
      </c>
      <c r="E328" t="s">
        <v>3082</v>
      </c>
    </row>
    <row r="329" spans="1:5" x14ac:dyDescent="0.25">
      <c r="A329" t="s">
        <v>999</v>
      </c>
      <c r="B329" t="s">
        <v>2268</v>
      </c>
      <c r="C329">
        <v>2018</v>
      </c>
      <c r="D329" t="s">
        <v>187</v>
      </c>
    </row>
    <row r="330" spans="1:5" x14ac:dyDescent="0.25">
      <c r="A330" t="s">
        <v>1005</v>
      </c>
      <c r="B330" t="s">
        <v>985</v>
      </c>
      <c r="C330">
        <v>2006</v>
      </c>
      <c r="E330" t="s">
        <v>2989</v>
      </c>
    </row>
    <row r="331" spans="1:5" x14ac:dyDescent="0.25">
      <c r="A331" t="s">
        <v>1005</v>
      </c>
      <c r="B331" t="s">
        <v>1483</v>
      </c>
      <c r="C331">
        <v>2006</v>
      </c>
      <c r="E331" t="s">
        <v>3176</v>
      </c>
    </row>
    <row r="332" spans="1:5" x14ac:dyDescent="0.25">
      <c r="A332" t="s">
        <v>1005</v>
      </c>
      <c r="B332" t="s">
        <v>2396</v>
      </c>
      <c r="C332">
        <v>2006</v>
      </c>
      <c r="E332" t="s">
        <v>3177</v>
      </c>
    </row>
    <row r="333" spans="1:5" x14ac:dyDescent="0.25">
      <c r="A333" t="s">
        <v>1005</v>
      </c>
      <c r="B333" t="s">
        <v>2515</v>
      </c>
      <c r="C333">
        <v>2006</v>
      </c>
      <c r="E333" t="s">
        <v>3178</v>
      </c>
    </row>
    <row r="334" spans="1:5" x14ac:dyDescent="0.25">
      <c r="A334" t="s">
        <v>1005</v>
      </c>
      <c r="B334" t="s">
        <v>2624</v>
      </c>
      <c r="C334">
        <v>2006</v>
      </c>
      <c r="E334" t="s">
        <v>3179</v>
      </c>
    </row>
    <row r="335" spans="1:5" x14ac:dyDescent="0.25">
      <c r="A335" t="s">
        <v>1005</v>
      </c>
      <c r="B335" t="s">
        <v>2770</v>
      </c>
      <c r="C335">
        <v>2006</v>
      </c>
      <c r="E335" t="s">
        <v>3180</v>
      </c>
    </row>
    <row r="336" spans="1:5" x14ac:dyDescent="0.25">
      <c r="A336" t="s">
        <v>1005</v>
      </c>
      <c r="B336" t="s">
        <v>2833</v>
      </c>
      <c r="C336">
        <v>2006</v>
      </c>
      <c r="E336" t="s">
        <v>3181</v>
      </c>
    </row>
    <row r="337" spans="1:5" x14ac:dyDescent="0.25">
      <c r="A337" t="s">
        <v>1005</v>
      </c>
      <c r="B337" t="s">
        <v>2861</v>
      </c>
      <c r="C337">
        <v>2006</v>
      </c>
      <c r="E337" t="s">
        <v>3182</v>
      </c>
    </row>
    <row r="338" spans="1:5" x14ac:dyDescent="0.25">
      <c r="A338" t="s">
        <v>1005</v>
      </c>
      <c r="B338" t="s">
        <v>2865</v>
      </c>
      <c r="C338">
        <v>2006</v>
      </c>
      <c r="E338" t="s">
        <v>3183</v>
      </c>
    </row>
    <row r="339" spans="1:5" x14ac:dyDescent="0.25">
      <c r="A339" t="s">
        <v>1011</v>
      </c>
      <c r="B339" t="s">
        <v>2274</v>
      </c>
      <c r="C339">
        <v>2025</v>
      </c>
      <c r="E339" t="s">
        <v>3184</v>
      </c>
    </row>
    <row r="340" spans="1:5" x14ac:dyDescent="0.25">
      <c r="A340" t="s">
        <v>1028</v>
      </c>
      <c r="B340" t="s">
        <v>985</v>
      </c>
      <c r="C340">
        <v>2008</v>
      </c>
      <c r="E340" t="s">
        <v>2989</v>
      </c>
    </row>
    <row r="341" spans="1:5" x14ac:dyDescent="0.25">
      <c r="A341" t="s">
        <v>1028</v>
      </c>
      <c r="B341" t="s">
        <v>1026</v>
      </c>
      <c r="C341">
        <v>2008</v>
      </c>
      <c r="D341" t="s">
        <v>187</v>
      </c>
    </row>
    <row r="342" spans="1:5" x14ac:dyDescent="0.25">
      <c r="A342" t="s">
        <v>1030</v>
      </c>
      <c r="B342" t="s">
        <v>2813</v>
      </c>
      <c r="C342">
        <v>2022</v>
      </c>
      <c r="E342" t="s">
        <v>3084</v>
      </c>
    </row>
    <row r="343" spans="1:5" x14ac:dyDescent="0.25">
      <c r="A343" t="s">
        <v>1047</v>
      </c>
      <c r="B343" t="s">
        <v>226</v>
      </c>
      <c r="C343">
        <v>2016</v>
      </c>
      <c r="E343" t="s">
        <v>3185</v>
      </c>
    </row>
    <row r="344" spans="1:5" x14ac:dyDescent="0.25">
      <c r="A344" t="s">
        <v>1047</v>
      </c>
      <c r="B344" t="s">
        <v>245</v>
      </c>
      <c r="C344">
        <v>2016</v>
      </c>
      <c r="E344" t="s">
        <v>3186</v>
      </c>
    </row>
    <row r="345" spans="1:5" x14ac:dyDescent="0.25">
      <c r="A345" t="s">
        <v>1047</v>
      </c>
      <c r="B345" t="s">
        <v>308</v>
      </c>
      <c r="C345">
        <v>2016</v>
      </c>
      <c r="E345" t="s">
        <v>3187</v>
      </c>
    </row>
    <row r="346" spans="1:5" x14ac:dyDescent="0.25">
      <c r="A346" t="s">
        <v>1047</v>
      </c>
      <c r="B346" t="s">
        <v>319</v>
      </c>
      <c r="C346">
        <v>2016</v>
      </c>
      <c r="E346" t="s">
        <v>2983</v>
      </c>
    </row>
    <row r="347" spans="1:5" x14ac:dyDescent="0.25">
      <c r="A347" t="s">
        <v>1047</v>
      </c>
      <c r="B347" t="s">
        <v>333</v>
      </c>
      <c r="C347">
        <v>2016</v>
      </c>
      <c r="E347" t="s">
        <v>3188</v>
      </c>
    </row>
    <row r="348" spans="1:5" x14ac:dyDescent="0.25">
      <c r="A348" t="s">
        <v>1047</v>
      </c>
      <c r="B348" t="s">
        <v>415</v>
      </c>
      <c r="C348">
        <v>2016</v>
      </c>
      <c r="E348" t="s">
        <v>3189</v>
      </c>
    </row>
    <row r="349" spans="1:5" x14ac:dyDescent="0.25">
      <c r="A349" t="s">
        <v>1047</v>
      </c>
      <c r="B349" t="s">
        <v>501</v>
      </c>
      <c r="C349">
        <v>2016</v>
      </c>
      <c r="E349" t="s">
        <v>3190</v>
      </c>
    </row>
    <row r="350" spans="1:5" x14ac:dyDescent="0.25">
      <c r="A350" t="s">
        <v>1047</v>
      </c>
      <c r="B350" t="s">
        <v>709</v>
      </c>
      <c r="C350">
        <v>2016</v>
      </c>
      <c r="E350" t="s">
        <v>3117</v>
      </c>
    </row>
    <row r="351" spans="1:5" x14ac:dyDescent="0.25">
      <c r="A351" t="s">
        <v>1047</v>
      </c>
      <c r="B351" t="s">
        <v>1051</v>
      </c>
      <c r="C351">
        <v>2016</v>
      </c>
      <c r="E351" t="s">
        <v>3105</v>
      </c>
    </row>
    <row r="352" spans="1:5" x14ac:dyDescent="0.25">
      <c r="A352" t="s">
        <v>1047</v>
      </c>
      <c r="B352" t="s">
        <v>1068</v>
      </c>
      <c r="C352">
        <v>2016</v>
      </c>
      <c r="D352" t="s">
        <v>187</v>
      </c>
    </row>
    <row r="353" spans="1:5" x14ac:dyDescent="0.25">
      <c r="A353" t="s">
        <v>1047</v>
      </c>
      <c r="B353" t="s">
        <v>1160</v>
      </c>
      <c r="C353">
        <v>2016</v>
      </c>
      <c r="E353" t="s">
        <v>3122</v>
      </c>
    </row>
    <row r="354" spans="1:5" x14ac:dyDescent="0.25">
      <c r="A354" t="s">
        <v>1047</v>
      </c>
      <c r="B354" t="s">
        <v>1220</v>
      </c>
      <c r="C354">
        <v>2016</v>
      </c>
      <c r="E354" t="s">
        <v>2983</v>
      </c>
    </row>
    <row r="355" spans="1:5" x14ac:dyDescent="0.25">
      <c r="A355" t="s">
        <v>1047</v>
      </c>
      <c r="B355" t="s">
        <v>1273</v>
      </c>
      <c r="C355">
        <v>2016</v>
      </c>
      <c r="E355" t="s">
        <v>3191</v>
      </c>
    </row>
    <row r="356" spans="1:5" x14ac:dyDescent="0.25">
      <c r="A356" t="s">
        <v>1047</v>
      </c>
      <c r="B356" t="s">
        <v>1517</v>
      </c>
      <c r="C356">
        <v>2016</v>
      </c>
      <c r="E356" t="s">
        <v>2983</v>
      </c>
    </row>
    <row r="357" spans="1:5" x14ac:dyDescent="0.25">
      <c r="A357" t="s">
        <v>1047</v>
      </c>
      <c r="B357" t="s">
        <v>1772</v>
      </c>
      <c r="C357">
        <v>2016</v>
      </c>
      <c r="E357" t="s">
        <v>3192</v>
      </c>
    </row>
    <row r="358" spans="1:5" x14ac:dyDescent="0.25">
      <c r="A358" t="s">
        <v>1047</v>
      </c>
      <c r="B358" t="s">
        <v>1878</v>
      </c>
      <c r="C358">
        <v>2016</v>
      </c>
      <c r="E358" t="s">
        <v>3193</v>
      </c>
    </row>
    <row r="359" spans="1:5" x14ac:dyDescent="0.25">
      <c r="A359" t="s">
        <v>1047</v>
      </c>
      <c r="B359" t="s">
        <v>1942</v>
      </c>
      <c r="C359">
        <v>2016</v>
      </c>
      <c r="E359" t="s">
        <v>3194</v>
      </c>
    </row>
    <row r="360" spans="1:5" x14ac:dyDescent="0.25">
      <c r="A360" t="s">
        <v>1047</v>
      </c>
      <c r="B360" t="s">
        <v>2057</v>
      </c>
      <c r="C360">
        <v>2016</v>
      </c>
      <c r="E360" t="s">
        <v>3195</v>
      </c>
    </row>
    <row r="361" spans="1:5" x14ac:dyDescent="0.25">
      <c r="A361" t="s">
        <v>1047</v>
      </c>
      <c r="B361" t="s">
        <v>2268</v>
      </c>
      <c r="C361">
        <v>2016</v>
      </c>
      <c r="E361" t="s">
        <v>2983</v>
      </c>
    </row>
    <row r="362" spans="1:5" x14ac:dyDescent="0.25">
      <c r="A362" t="s">
        <v>1047</v>
      </c>
      <c r="B362" t="s">
        <v>2538</v>
      </c>
      <c r="C362">
        <v>2016</v>
      </c>
      <c r="E362" t="s">
        <v>3011</v>
      </c>
    </row>
    <row r="363" spans="1:5" x14ac:dyDescent="0.25">
      <c r="A363" t="s">
        <v>1047</v>
      </c>
      <c r="B363" t="s">
        <v>2676</v>
      </c>
      <c r="C363">
        <v>2016</v>
      </c>
      <c r="E363" t="s">
        <v>3196</v>
      </c>
    </row>
    <row r="364" spans="1:5" x14ac:dyDescent="0.25">
      <c r="A364" t="s">
        <v>1047</v>
      </c>
      <c r="B364" t="s">
        <v>2699</v>
      </c>
      <c r="C364">
        <v>2016</v>
      </c>
      <c r="E364" t="s">
        <v>3197</v>
      </c>
    </row>
    <row r="365" spans="1:5" x14ac:dyDescent="0.25">
      <c r="A365" t="s">
        <v>1047</v>
      </c>
      <c r="B365" t="s">
        <v>2712</v>
      </c>
      <c r="C365">
        <v>2016</v>
      </c>
      <c r="E365" t="s">
        <v>3198</v>
      </c>
    </row>
    <row r="366" spans="1:5" x14ac:dyDescent="0.25">
      <c r="A366" t="s">
        <v>1056</v>
      </c>
      <c r="B366" t="s">
        <v>1058</v>
      </c>
      <c r="C366">
        <v>2015</v>
      </c>
      <c r="D366" t="s">
        <v>187</v>
      </c>
    </row>
    <row r="367" spans="1:5" x14ac:dyDescent="0.25">
      <c r="A367" t="s">
        <v>1081</v>
      </c>
      <c r="B367" t="s">
        <v>935</v>
      </c>
      <c r="C367">
        <v>1990</v>
      </c>
      <c r="D367" t="s">
        <v>187</v>
      </c>
      <c r="E367" t="s">
        <v>3199</v>
      </c>
    </row>
    <row r="368" spans="1:5" x14ac:dyDescent="0.25">
      <c r="A368" t="s">
        <v>1090</v>
      </c>
      <c r="B368" t="s">
        <v>181</v>
      </c>
      <c r="C368">
        <v>2021</v>
      </c>
      <c r="D368" t="s">
        <v>187</v>
      </c>
    </row>
    <row r="369" spans="1:5" x14ac:dyDescent="0.25">
      <c r="A369" t="s">
        <v>1090</v>
      </c>
      <c r="B369" t="s">
        <v>1109</v>
      </c>
      <c r="C369">
        <v>2021</v>
      </c>
      <c r="E369" t="s">
        <v>2983</v>
      </c>
    </row>
    <row r="370" spans="1:5" x14ac:dyDescent="0.25">
      <c r="A370" t="s">
        <v>1090</v>
      </c>
      <c r="B370" t="s">
        <v>1508</v>
      </c>
      <c r="C370">
        <v>2021</v>
      </c>
      <c r="D370" t="s">
        <v>187</v>
      </c>
    </row>
    <row r="371" spans="1:5" x14ac:dyDescent="0.25">
      <c r="A371" t="s">
        <v>1094</v>
      </c>
      <c r="B371" t="s">
        <v>584</v>
      </c>
      <c r="C371">
        <v>2007</v>
      </c>
      <c r="D371" t="s">
        <v>187</v>
      </c>
    </row>
    <row r="372" spans="1:5" x14ac:dyDescent="0.25">
      <c r="A372" t="s">
        <v>1101</v>
      </c>
      <c r="B372" t="s">
        <v>563</v>
      </c>
      <c r="C372">
        <v>2022</v>
      </c>
      <c r="E372" t="s">
        <v>566</v>
      </c>
    </row>
    <row r="373" spans="1:5" x14ac:dyDescent="0.25">
      <c r="A373" t="s">
        <v>1116</v>
      </c>
      <c r="B373" t="s">
        <v>1120</v>
      </c>
      <c r="C373">
        <v>2018</v>
      </c>
      <c r="D373" t="s">
        <v>187</v>
      </c>
    </row>
    <row r="374" spans="1:5" x14ac:dyDescent="0.25">
      <c r="A374" t="s">
        <v>1116</v>
      </c>
      <c r="B374" t="s">
        <v>1527</v>
      </c>
      <c r="C374">
        <v>2018</v>
      </c>
      <c r="E374" t="s">
        <v>3056</v>
      </c>
    </row>
    <row r="375" spans="1:5" x14ac:dyDescent="0.25">
      <c r="A375" t="s">
        <v>1116</v>
      </c>
      <c r="B375" t="s">
        <v>2245</v>
      </c>
      <c r="C375">
        <v>2018</v>
      </c>
      <c r="E375" t="s">
        <v>3093</v>
      </c>
    </row>
    <row r="376" spans="1:5" x14ac:dyDescent="0.25">
      <c r="A376" t="s">
        <v>1124</v>
      </c>
      <c r="B376" t="s">
        <v>276</v>
      </c>
      <c r="C376">
        <v>2020</v>
      </c>
      <c r="D376" t="s">
        <v>187</v>
      </c>
    </row>
    <row r="377" spans="1:5" x14ac:dyDescent="0.25">
      <c r="A377" t="s">
        <v>1130</v>
      </c>
      <c r="B377" t="s">
        <v>851</v>
      </c>
      <c r="C377">
        <v>2022</v>
      </c>
      <c r="E377" t="s">
        <v>2983</v>
      </c>
    </row>
    <row r="378" spans="1:5" x14ac:dyDescent="0.25">
      <c r="A378" t="s">
        <v>1145</v>
      </c>
      <c r="B378" t="s">
        <v>221</v>
      </c>
      <c r="C378">
        <v>2012</v>
      </c>
      <c r="E378" t="s">
        <v>3200</v>
      </c>
    </row>
    <row r="379" spans="1:5" x14ac:dyDescent="0.25">
      <c r="A379" t="s">
        <v>1145</v>
      </c>
      <c r="B379" t="s">
        <v>283</v>
      </c>
      <c r="C379">
        <v>2018</v>
      </c>
      <c r="E379" t="s">
        <v>3201</v>
      </c>
    </row>
    <row r="380" spans="1:5" x14ac:dyDescent="0.25">
      <c r="A380" t="s">
        <v>1145</v>
      </c>
      <c r="B380" t="s">
        <v>484</v>
      </c>
      <c r="C380">
        <v>2012</v>
      </c>
      <c r="E380" t="s">
        <v>3202</v>
      </c>
    </row>
    <row r="381" spans="1:5" x14ac:dyDescent="0.25">
      <c r="A381" t="s">
        <v>1145</v>
      </c>
      <c r="B381" t="s">
        <v>493</v>
      </c>
      <c r="C381">
        <v>2012</v>
      </c>
      <c r="E381" t="s">
        <v>2983</v>
      </c>
    </row>
    <row r="382" spans="1:5" x14ac:dyDescent="0.25">
      <c r="A382" t="s">
        <v>1145</v>
      </c>
      <c r="B382" t="s">
        <v>639</v>
      </c>
      <c r="C382">
        <v>2012</v>
      </c>
      <c r="E382" t="s">
        <v>642</v>
      </c>
    </row>
    <row r="383" spans="1:5" x14ac:dyDescent="0.25">
      <c r="A383" t="s">
        <v>1145</v>
      </c>
      <c r="B383" t="s">
        <v>685</v>
      </c>
      <c r="C383">
        <v>2012</v>
      </c>
      <c r="E383" t="s">
        <v>3203</v>
      </c>
    </row>
    <row r="384" spans="1:5" x14ac:dyDescent="0.25">
      <c r="A384" t="s">
        <v>1145</v>
      </c>
      <c r="B384" t="s">
        <v>713</v>
      </c>
      <c r="C384">
        <v>2012</v>
      </c>
      <c r="E384" t="s">
        <v>3204</v>
      </c>
    </row>
    <row r="385" spans="1:5" x14ac:dyDescent="0.25">
      <c r="A385" t="s">
        <v>1145</v>
      </c>
      <c r="B385" t="s">
        <v>786</v>
      </c>
      <c r="C385">
        <v>2012</v>
      </c>
      <c r="E385" t="s">
        <v>2983</v>
      </c>
    </row>
    <row r="386" spans="1:5" x14ac:dyDescent="0.25">
      <c r="A386" t="s">
        <v>1145</v>
      </c>
      <c r="B386" t="s">
        <v>791</v>
      </c>
      <c r="C386">
        <v>2012</v>
      </c>
      <c r="E386" t="s">
        <v>3205</v>
      </c>
    </row>
    <row r="387" spans="1:5" x14ac:dyDescent="0.25">
      <c r="A387" t="s">
        <v>1145</v>
      </c>
      <c r="B387" t="s">
        <v>813</v>
      </c>
      <c r="C387">
        <v>2012</v>
      </c>
      <c r="E387" t="s">
        <v>3102</v>
      </c>
    </row>
    <row r="388" spans="1:5" x14ac:dyDescent="0.25">
      <c r="A388" t="s">
        <v>1145</v>
      </c>
      <c r="B388" t="s">
        <v>866</v>
      </c>
      <c r="C388">
        <v>2012</v>
      </c>
      <c r="E388" t="s">
        <v>3206</v>
      </c>
    </row>
    <row r="389" spans="1:5" x14ac:dyDescent="0.25">
      <c r="A389" t="s">
        <v>1145</v>
      </c>
      <c r="B389" t="s">
        <v>1124</v>
      </c>
      <c r="C389">
        <v>2012</v>
      </c>
      <c r="E389" t="s">
        <v>3207</v>
      </c>
    </row>
    <row r="390" spans="1:5" x14ac:dyDescent="0.25">
      <c r="A390" t="s">
        <v>1145</v>
      </c>
      <c r="B390" t="s">
        <v>1307</v>
      </c>
      <c r="C390">
        <v>2012</v>
      </c>
      <c r="E390" t="s">
        <v>3208</v>
      </c>
    </row>
    <row r="391" spans="1:5" x14ac:dyDescent="0.25">
      <c r="A391" t="s">
        <v>1145</v>
      </c>
      <c r="B391" t="s">
        <v>1321</v>
      </c>
      <c r="C391">
        <v>2012</v>
      </c>
      <c r="E391" t="s">
        <v>3209</v>
      </c>
    </row>
    <row r="392" spans="1:5" x14ac:dyDescent="0.25">
      <c r="A392" t="s">
        <v>1145</v>
      </c>
      <c r="B392" t="s">
        <v>1440</v>
      </c>
      <c r="C392">
        <v>2012</v>
      </c>
      <c r="E392" t="s">
        <v>3092</v>
      </c>
    </row>
    <row r="393" spans="1:5" x14ac:dyDescent="0.25">
      <c r="A393" t="s">
        <v>1145</v>
      </c>
      <c r="B393" t="s">
        <v>1444</v>
      </c>
      <c r="C393">
        <v>2012</v>
      </c>
      <c r="D393" t="s">
        <v>187</v>
      </c>
      <c r="E393" t="s">
        <v>3210</v>
      </c>
    </row>
    <row r="394" spans="1:5" x14ac:dyDescent="0.25">
      <c r="A394" t="s">
        <v>1145</v>
      </c>
      <c r="B394" t="s">
        <v>1546</v>
      </c>
      <c r="C394">
        <v>2012</v>
      </c>
      <c r="E394" t="s">
        <v>3014</v>
      </c>
    </row>
    <row r="395" spans="1:5" x14ac:dyDescent="0.25">
      <c r="A395" t="s">
        <v>1145</v>
      </c>
      <c r="B395" t="s">
        <v>1701</v>
      </c>
      <c r="C395">
        <v>2012</v>
      </c>
      <c r="E395" t="s">
        <v>3211</v>
      </c>
    </row>
    <row r="396" spans="1:5" x14ac:dyDescent="0.25">
      <c r="A396" t="s">
        <v>1145</v>
      </c>
      <c r="B396" t="s">
        <v>1848</v>
      </c>
      <c r="C396">
        <v>2012</v>
      </c>
      <c r="E396" t="s">
        <v>3212</v>
      </c>
    </row>
    <row r="397" spans="1:5" x14ac:dyDescent="0.25">
      <c r="A397" t="s">
        <v>1145</v>
      </c>
      <c r="B397" t="s">
        <v>1896</v>
      </c>
      <c r="C397">
        <v>2012</v>
      </c>
      <c r="E397" t="s">
        <v>3213</v>
      </c>
    </row>
    <row r="398" spans="1:5" x14ac:dyDescent="0.25">
      <c r="A398" t="s">
        <v>1145</v>
      </c>
      <c r="B398" t="s">
        <v>1912</v>
      </c>
      <c r="C398">
        <v>2012</v>
      </c>
      <c r="E398" t="s">
        <v>3214</v>
      </c>
    </row>
    <row r="399" spans="1:5" x14ac:dyDescent="0.25">
      <c r="A399" t="s">
        <v>1145</v>
      </c>
      <c r="B399" t="s">
        <v>2081</v>
      </c>
      <c r="C399">
        <v>2012</v>
      </c>
      <c r="E399" t="s">
        <v>3215</v>
      </c>
    </row>
    <row r="400" spans="1:5" x14ac:dyDescent="0.25">
      <c r="A400" t="s">
        <v>1145</v>
      </c>
      <c r="B400" t="s">
        <v>2145</v>
      </c>
      <c r="C400">
        <v>2012</v>
      </c>
      <c r="E400" t="s">
        <v>3151</v>
      </c>
    </row>
    <row r="401" spans="1:5" x14ac:dyDescent="0.25">
      <c r="A401" t="s">
        <v>1145</v>
      </c>
      <c r="B401" t="s">
        <v>2188</v>
      </c>
      <c r="C401">
        <v>2012</v>
      </c>
      <c r="E401" t="s">
        <v>3018</v>
      </c>
    </row>
    <row r="402" spans="1:5" x14ac:dyDescent="0.25">
      <c r="A402" t="s">
        <v>1145</v>
      </c>
      <c r="B402" t="s">
        <v>2282</v>
      </c>
      <c r="C402">
        <v>2012</v>
      </c>
      <c r="E402" t="s">
        <v>3216</v>
      </c>
    </row>
    <row r="403" spans="1:5" x14ac:dyDescent="0.25">
      <c r="A403" t="s">
        <v>1145</v>
      </c>
      <c r="B403" t="s">
        <v>90</v>
      </c>
      <c r="C403">
        <v>2012</v>
      </c>
      <c r="E403" t="s">
        <v>3217</v>
      </c>
    </row>
    <row r="404" spans="1:5" x14ac:dyDescent="0.25">
      <c r="A404" t="s">
        <v>1145</v>
      </c>
      <c r="B404" t="s">
        <v>2362</v>
      </c>
      <c r="C404">
        <v>2012</v>
      </c>
      <c r="E404" t="s">
        <v>2983</v>
      </c>
    </row>
    <row r="405" spans="1:5" x14ac:dyDescent="0.25">
      <c r="A405" t="s">
        <v>1145</v>
      </c>
      <c r="B405" t="s">
        <v>2390</v>
      </c>
      <c r="C405">
        <v>2012</v>
      </c>
      <c r="E405" t="s">
        <v>3218</v>
      </c>
    </row>
    <row r="406" spans="1:5" x14ac:dyDescent="0.25">
      <c r="A406" t="s">
        <v>1145</v>
      </c>
      <c r="B406" t="s">
        <v>2503</v>
      </c>
      <c r="C406">
        <v>2012</v>
      </c>
      <c r="E406" t="s">
        <v>3204</v>
      </c>
    </row>
    <row r="407" spans="1:5" x14ac:dyDescent="0.25">
      <c r="A407" t="s">
        <v>1145</v>
      </c>
      <c r="B407" t="s">
        <v>2531</v>
      </c>
      <c r="C407">
        <v>2012</v>
      </c>
      <c r="E407" t="s">
        <v>3219</v>
      </c>
    </row>
    <row r="408" spans="1:5" x14ac:dyDescent="0.25">
      <c r="A408" t="s">
        <v>1145</v>
      </c>
      <c r="B408" t="s">
        <v>2606</v>
      </c>
      <c r="C408">
        <v>2012</v>
      </c>
      <c r="E408" t="s">
        <v>2983</v>
      </c>
    </row>
    <row r="409" spans="1:5" x14ac:dyDescent="0.25">
      <c r="A409" t="s">
        <v>1145</v>
      </c>
      <c r="B409" t="s">
        <v>2752</v>
      </c>
      <c r="C409">
        <v>2012</v>
      </c>
      <c r="E409" t="s">
        <v>2983</v>
      </c>
    </row>
    <row r="410" spans="1:5" x14ac:dyDescent="0.25">
      <c r="A410" t="s">
        <v>1145</v>
      </c>
      <c r="B410" t="s">
        <v>2758</v>
      </c>
      <c r="C410">
        <v>2012</v>
      </c>
      <c r="E410" t="s">
        <v>2983</v>
      </c>
    </row>
    <row r="411" spans="1:5" x14ac:dyDescent="0.25">
      <c r="A411" t="s">
        <v>1145</v>
      </c>
      <c r="B411" t="s">
        <v>2825</v>
      </c>
      <c r="C411">
        <v>2012</v>
      </c>
      <c r="E411" t="s">
        <v>3220</v>
      </c>
    </row>
    <row r="412" spans="1:5" x14ac:dyDescent="0.25">
      <c r="A412" t="s">
        <v>1145</v>
      </c>
      <c r="B412" t="s">
        <v>2833</v>
      </c>
      <c r="C412">
        <v>2012</v>
      </c>
      <c r="E412" t="s">
        <v>3181</v>
      </c>
    </row>
    <row r="413" spans="1:5" x14ac:dyDescent="0.25">
      <c r="A413" t="s">
        <v>1145</v>
      </c>
      <c r="B413" t="s">
        <v>2855</v>
      </c>
      <c r="C413">
        <v>2012</v>
      </c>
      <c r="E413" t="s">
        <v>3066</v>
      </c>
    </row>
    <row r="414" spans="1:5" x14ac:dyDescent="0.25">
      <c r="A414" t="s">
        <v>1156</v>
      </c>
      <c r="B414" t="s">
        <v>327</v>
      </c>
      <c r="C414">
        <v>2010</v>
      </c>
      <c r="D414" t="s">
        <v>187</v>
      </c>
    </row>
    <row r="415" spans="1:5" x14ac:dyDescent="0.25">
      <c r="A415" t="s">
        <v>1156</v>
      </c>
      <c r="B415" t="s">
        <v>1662</v>
      </c>
      <c r="C415">
        <v>2010</v>
      </c>
      <c r="D415" t="s">
        <v>187</v>
      </c>
    </row>
    <row r="416" spans="1:5" x14ac:dyDescent="0.25">
      <c r="A416" t="s">
        <v>1156</v>
      </c>
      <c r="B416" t="s">
        <v>1747</v>
      </c>
      <c r="C416">
        <v>2010</v>
      </c>
      <c r="D416" t="s">
        <v>187</v>
      </c>
    </row>
    <row r="417" spans="1:5" x14ac:dyDescent="0.25">
      <c r="A417" t="s">
        <v>1156</v>
      </c>
      <c r="B417" t="s">
        <v>2243</v>
      </c>
      <c r="C417">
        <v>2010</v>
      </c>
      <c r="D417" t="s">
        <v>187</v>
      </c>
    </row>
    <row r="418" spans="1:5" x14ac:dyDescent="0.25">
      <c r="A418" t="s">
        <v>1158</v>
      </c>
      <c r="B418" t="s">
        <v>2729</v>
      </c>
      <c r="C418">
        <v>2014</v>
      </c>
      <c r="D418" t="s">
        <v>187</v>
      </c>
    </row>
    <row r="419" spans="1:5" x14ac:dyDescent="0.25">
      <c r="A419" t="s">
        <v>1172</v>
      </c>
      <c r="B419" t="s">
        <v>1175</v>
      </c>
      <c r="C419">
        <v>2002</v>
      </c>
      <c r="D419" t="s">
        <v>187</v>
      </c>
    </row>
    <row r="420" spans="1:5" x14ac:dyDescent="0.25">
      <c r="A420" t="s">
        <v>1175</v>
      </c>
      <c r="B420" t="s">
        <v>1178</v>
      </c>
      <c r="C420">
        <v>2007</v>
      </c>
      <c r="D420" t="s">
        <v>187</v>
      </c>
    </row>
    <row r="421" spans="1:5" x14ac:dyDescent="0.25">
      <c r="A421" t="s">
        <v>1181</v>
      </c>
      <c r="B421" t="s">
        <v>561</v>
      </c>
      <c r="C421">
        <v>2024</v>
      </c>
      <c r="D421" t="s">
        <v>187</v>
      </c>
    </row>
    <row r="422" spans="1:5" x14ac:dyDescent="0.25">
      <c r="A422" t="s">
        <v>1181</v>
      </c>
      <c r="B422" t="s">
        <v>1185</v>
      </c>
      <c r="C422">
        <v>2024</v>
      </c>
      <c r="D422" t="s">
        <v>187</v>
      </c>
    </row>
    <row r="423" spans="1:5" x14ac:dyDescent="0.25">
      <c r="A423" t="s">
        <v>1188</v>
      </c>
      <c r="B423" t="s">
        <v>1192</v>
      </c>
      <c r="C423">
        <v>2020</v>
      </c>
      <c r="D423" t="s">
        <v>187</v>
      </c>
    </row>
    <row r="424" spans="1:5" x14ac:dyDescent="0.25">
      <c r="A424" t="s">
        <v>1236</v>
      </c>
      <c r="B424" t="s">
        <v>1240</v>
      </c>
      <c r="C424">
        <v>2026</v>
      </c>
      <c r="D424" t="s">
        <v>187</v>
      </c>
    </row>
    <row r="425" spans="1:5" x14ac:dyDescent="0.25">
      <c r="A425" t="s">
        <v>1256</v>
      </c>
      <c r="B425" t="s">
        <v>2966</v>
      </c>
      <c r="C425">
        <v>2020</v>
      </c>
      <c r="E425" t="s">
        <v>3221</v>
      </c>
    </row>
    <row r="426" spans="1:5" x14ac:dyDescent="0.25">
      <c r="A426" t="s">
        <v>1260</v>
      </c>
      <c r="B426" t="s">
        <v>1263</v>
      </c>
      <c r="C426">
        <v>2021</v>
      </c>
      <c r="D426" t="s">
        <v>187</v>
      </c>
    </row>
    <row r="427" spans="1:5" x14ac:dyDescent="0.25">
      <c r="A427" t="s">
        <v>1266</v>
      </c>
      <c r="B427" t="s">
        <v>795</v>
      </c>
      <c r="C427">
        <v>2015</v>
      </c>
      <c r="E427" t="s">
        <v>3101</v>
      </c>
    </row>
    <row r="428" spans="1:5" x14ac:dyDescent="0.25">
      <c r="A428" t="s">
        <v>1273</v>
      </c>
      <c r="B428" t="s">
        <v>488</v>
      </c>
      <c r="C428">
        <v>2020</v>
      </c>
      <c r="E428" t="s">
        <v>3222</v>
      </c>
    </row>
    <row r="429" spans="1:5" x14ac:dyDescent="0.25">
      <c r="A429" t="s">
        <v>1273</v>
      </c>
      <c r="B429" t="s">
        <v>744</v>
      </c>
      <c r="C429">
        <v>2020</v>
      </c>
      <c r="E429" t="s">
        <v>3223</v>
      </c>
    </row>
    <row r="430" spans="1:5" x14ac:dyDescent="0.25">
      <c r="A430" t="s">
        <v>1273</v>
      </c>
      <c r="B430" t="s">
        <v>2147</v>
      </c>
      <c r="C430">
        <v>2020</v>
      </c>
      <c r="E430" t="s">
        <v>3125</v>
      </c>
    </row>
    <row r="431" spans="1:5" x14ac:dyDescent="0.25">
      <c r="A431" t="s">
        <v>1273</v>
      </c>
      <c r="B431" t="s">
        <v>2813</v>
      </c>
      <c r="C431">
        <v>2020</v>
      </c>
      <c r="E431" t="s">
        <v>3084</v>
      </c>
    </row>
    <row r="432" spans="1:5" x14ac:dyDescent="0.25">
      <c r="A432" t="s">
        <v>1277</v>
      </c>
      <c r="B432" t="s">
        <v>1281</v>
      </c>
      <c r="C432">
        <v>2022</v>
      </c>
      <c r="D432" t="s">
        <v>187</v>
      </c>
    </row>
    <row r="433" spans="1:5" x14ac:dyDescent="0.25">
      <c r="A433" t="s">
        <v>1285</v>
      </c>
      <c r="B433" t="s">
        <v>256</v>
      </c>
      <c r="C433">
        <v>1984</v>
      </c>
      <c r="E433" t="s">
        <v>3224</v>
      </c>
    </row>
    <row r="434" spans="1:5" x14ac:dyDescent="0.25">
      <c r="A434" t="s">
        <v>1285</v>
      </c>
      <c r="B434" t="s">
        <v>1005</v>
      </c>
      <c r="C434">
        <v>1984</v>
      </c>
      <c r="E434" t="s">
        <v>3225</v>
      </c>
    </row>
    <row r="435" spans="1:5" x14ac:dyDescent="0.25">
      <c r="A435" t="s">
        <v>1285</v>
      </c>
      <c r="B435" t="s">
        <v>1172</v>
      </c>
      <c r="C435">
        <v>1984</v>
      </c>
      <c r="E435" t="s">
        <v>3226</v>
      </c>
    </row>
    <row r="436" spans="1:5" x14ac:dyDescent="0.25">
      <c r="A436" t="s">
        <v>1285</v>
      </c>
      <c r="B436" t="s">
        <v>1178</v>
      </c>
      <c r="C436">
        <v>1984</v>
      </c>
      <c r="E436" t="s">
        <v>2991</v>
      </c>
    </row>
    <row r="437" spans="1:5" x14ac:dyDescent="0.25">
      <c r="A437" t="s">
        <v>1285</v>
      </c>
      <c r="B437" t="s">
        <v>1573</v>
      </c>
      <c r="C437">
        <v>1984</v>
      </c>
      <c r="E437" t="s">
        <v>3227</v>
      </c>
    </row>
    <row r="438" spans="1:5" x14ac:dyDescent="0.25">
      <c r="A438" t="s">
        <v>1285</v>
      </c>
      <c r="B438" t="s">
        <v>1796</v>
      </c>
      <c r="C438">
        <v>1984</v>
      </c>
      <c r="E438" t="s">
        <v>3228</v>
      </c>
    </row>
    <row r="439" spans="1:5" x14ac:dyDescent="0.25">
      <c r="A439" t="s">
        <v>1288</v>
      </c>
      <c r="B439" t="s">
        <v>2963</v>
      </c>
      <c r="C439">
        <v>2022</v>
      </c>
      <c r="E439" t="s">
        <v>3007</v>
      </c>
    </row>
    <row r="440" spans="1:5" x14ac:dyDescent="0.25">
      <c r="A440" t="s">
        <v>1295</v>
      </c>
      <c r="B440" t="s">
        <v>175</v>
      </c>
      <c r="C440">
        <v>2019</v>
      </c>
      <c r="E440" t="s">
        <v>3014</v>
      </c>
    </row>
    <row r="441" spans="1:5" x14ac:dyDescent="0.25">
      <c r="A441" t="s">
        <v>1295</v>
      </c>
      <c r="B441" t="s">
        <v>253</v>
      </c>
      <c r="C441">
        <v>2019</v>
      </c>
      <c r="E441" t="s">
        <v>3114</v>
      </c>
    </row>
    <row r="442" spans="1:5" x14ac:dyDescent="0.25">
      <c r="A442" t="s">
        <v>1295</v>
      </c>
      <c r="B442" t="s">
        <v>303</v>
      </c>
      <c r="C442">
        <v>2019</v>
      </c>
      <c r="E442" t="s">
        <v>3229</v>
      </c>
    </row>
    <row r="443" spans="1:5" x14ac:dyDescent="0.25">
      <c r="A443" t="s">
        <v>1295</v>
      </c>
      <c r="B443" t="s">
        <v>310</v>
      </c>
      <c r="C443">
        <v>2019</v>
      </c>
      <c r="E443" t="s">
        <v>3079</v>
      </c>
    </row>
    <row r="444" spans="1:5" x14ac:dyDescent="0.25">
      <c r="A444" t="s">
        <v>1295</v>
      </c>
      <c r="B444" t="s">
        <v>387</v>
      </c>
      <c r="C444">
        <v>2019</v>
      </c>
      <c r="E444" t="s">
        <v>3116</v>
      </c>
    </row>
    <row r="445" spans="1:5" x14ac:dyDescent="0.25">
      <c r="A445" t="s">
        <v>1295</v>
      </c>
      <c r="B445" t="s">
        <v>428</v>
      </c>
      <c r="C445">
        <v>2019</v>
      </c>
      <c r="E445" t="s">
        <v>3022</v>
      </c>
    </row>
    <row r="446" spans="1:5" x14ac:dyDescent="0.25">
      <c r="A446" t="s">
        <v>1295</v>
      </c>
      <c r="B446" t="s">
        <v>447</v>
      </c>
      <c r="C446">
        <v>2019</v>
      </c>
      <c r="E446" t="s">
        <v>2983</v>
      </c>
    </row>
    <row r="447" spans="1:5" x14ac:dyDescent="0.25">
      <c r="A447" t="s">
        <v>1295</v>
      </c>
      <c r="B447" t="s">
        <v>488</v>
      </c>
      <c r="C447">
        <v>2019</v>
      </c>
      <c r="E447" t="s">
        <v>3222</v>
      </c>
    </row>
    <row r="448" spans="1:5" x14ac:dyDescent="0.25">
      <c r="A448" t="s">
        <v>1295</v>
      </c>
      <c r="B448" t="s">
        <v>602</v>
      </c>
      <c r="C448">
        <v>2019</v>
      </c>
      <c r="E448" t="s">
        <v>2983</v>
      </c>
    </row>
    <row r="449" spans="1:5" x14ac:dyDescent="0.25">
      <c r="A449" t="s">
        <v>1295</v>
      </c>
      <c r="B449" t="s">
        <v>709</v>
      </c>
      <c r="C449">
        <v>2019</v>
      </c>
      <c r="E449" t="s">
        <v>3117</v>
      </c>
    </row>
    <row r="450" spans="1:5" x14ac:dyDescent="0.25">
      <c r="A450" t="s">
        <v>1295</v>
      </c>
      <c r="B450" t="s">
        <v>744</v>
      </c>
      <c r="C450">
        <v>2019</v>
      </c>
      <c r="E450" t="s">
        <v>3223</v>
      </c>
    </row>
    <row r="451" spans="1:5" x14ac:dyDescent="0.25">
      <c r="A451" t="s">
        <v>1295</v>
      </c>
      <c r="B451" t="s">
        <v>778</v>
      </c>
      <c r="C451">
        <v>2019</v>
      </c>
      <c r="E451" t="s">
        <v>3230</v>
      </c>
    </row>
    <row r="452" spans="1:5" x14ac:dyDescent="0.25">
      <c r="A452" t="s">
        <v>1295</v>
      </c>
      <c r="B452" t="s">
        <v>821</v>
      </c>
      <c r="C452">
        <v>2019</v>
      </c>
      <c r="E452" t="s">
        <v>3088</v>
      </c>
    </row>
    <row r="453" spans="1:5" x14ac:dyDescent="0.25">
      <c r="A453" t="s">
        <v>1295</v>
      </c>
      <c r="B453" t="s">
        <v>949</v>
      </c>
      <c r="C453">
        <v>2019</v>
      </c>
      <c r="E453" t="s">
        <v>3119</v>
      </c>
    </row>
    <row r="454" spans="1:5" x14ac:dyDescent="0.25">
      <c r="A454" t="s">
        <v>1295</v>
      </c>
      <c r="B454" t="s">
        <v>1003</v>
      </c>
      <c r="C454">
        <v>2019</v>
      </c>
      <c r="E454" t="s">
        <v>3120</v>
      </c>
    </row>
    <row r="455" spans="1:5" x14ac:dyDescent="0.25">
      <c r="A455" t="s">
        <v>1295</v>
      </c>
      <c r="B455" t="s">
        <v>1030</v>
      </c>
      <c r="C455">
        <v>2019</v>
      </c>
      <c r="E455" t="s">
        <v>2983</v>
      </c>
    </row>
    <row r="456" spans="1:5" x14ac:dyDescent="0.25">
      <c r="A456" t="s">
        <v>1295</v>
      </c>
      <c r="B456" t="s">
        <v>1130</v>
      </c>
      <c r="C456">
        <v>2019</v>
      </c>
      <c r="E456" t="s">
        <v>3231</v>
      </c>
    </row>
    <row r="457" spans="1:5" x14ac:dyDescent="0.25">
      <c r="A457" t="s">
        <v>1295</v>
      </c>
      <c r="B457" t="s">
        <v>1167</v>
      </c>
      <c r="C457">
        <v>2019</v>
      </c>
      <c r="E457" t="s">
        <v>3091</v>
      </c>
    </row>
    <row r="458" spans="1:5" x14ac:dyDescent="0.25">
      <c r="A458" t="s">
        <v>1295</v>
      </c>
      <c r="B458" t="s">
        <v>1220</v>
      </c>
      <c r="C458">
        <v>2019</v>
      </c>
      <c r="E458" t="s">
        <v>2983</v>
      </c>
    </row>
    <row r="459" spans="1:5" x14ac:dyDescent="0.25">
      <c r="A459" t="s">
        <v>1295</v>
      </c>
      <c r="B459" t="s">
        <v>1299</v>
      </c>
      <c r="C459">
        <v>2019</v>
      </c>
      <c r="D459" t="s">
        <v>187</v>
      </c>
    </row>
    <row r="460" spans="1:5" x14ac:dyDescent="0.25">
      <c r="A460" t="s">
        <v>1295</v>
      </c>
      <c r="B460" t="s">
        <v>1327</v>
      </c>
      <c r="C460">
        <v>2019</v>
      </c>
      <c r="E460" t="s">
        <v>3232</v>
      </c>
    </row>
    <row r="461" spans="1:5" x14ac:dyDescent="0.25">
      <c r="A461" t="s">
        <v>1295</v>
      </c>
      <c r="B461" t="s">
        <v>1345</v>
      </c>
      <c r="C461">
        <v>2019</v>
      </c>
      <c r="E461" t="s">
        <v>3106</v>
      </c>
    </row>
    <row r="462" spans="1:5" x14ac:dyDescent="0.25">
      <c r="A462" t="s">
        <v>1295</v>
      </c>
      <c r="B462" t="s">
        <v>1349</v>
      </c>
      <c r="C462">
        <v>2019</v>
      </c>
      <c r="E462" t="s">
        <v>3233</v>
      </c>
    </row>
    <row r="463" spans="1:5" x14ac:dyDescent="0.25">
      <c r="A463" t="s">
        <v>1295</v>
      </c>
      <c r="B463" t="s">
        <v>1358</v>
      </c>
      <c r="C463">
        <v>2019</v>
      </c>
      <c r="E463" t="s">
        <v>3234</v>
      </c>
    </row>
    <row r="464" spans="1:5" x14ac:dyDescent="0.25">
      <c r="A464" t="s">
        <v>1295</v>
      </c>
      <c r="B464" t="s">
        <v>1493</v>
      </c>
      <c r="C464">
        <v>2019</v>
      </c>
      <c r="E464" t="s">
        <v>3089</v>
      </c>
    </row>
    <row r="465" spans="1:5" x14ac:dyDescent="0.25">
      <c r="A465" t="s">
        <v>1295</v>
      </c>
      <c r="B465" t="s">
        <v>1571</v>
      </c>
      <c r="C465">
        <v>2019</v>
      </c>
      <c r="E465" t="s">
        <v>3235</v>
      </c>
    </row>
    <row r="466" spans="1:5" x14ac:dyDescent="0.25">
      <c r="A466" t="s">
        <v>1295</v>
      </c>
      <c r="B466" t="s">
        <v>1607</v>
      </c>
      <c r="C466">
        <v>2019</v>
      </c>
      <c r="E466" t="s">
        <v>3236</v>
      </c>
    </row>
    <row r="467" spans="1:5" x14ac:dyDescent="0.25">
      <c r="A467" t="s">
        <v>1295</v>
      </c>
      <c r="B467" t="s">
        <v>1799</v>
      </c>
      <c r="C467">
        <v>2019</v>
      </c>
      <c r="E467" t="s">
        <v>3094</v>
      </c>
    </row>
    <row r="468" spans="1:5" x14ac:dyDescent="0.25">
      <c r="A468" t="s">
        <v>1295</v>
      </c>
      <c r="B468" t="s">
        <v>1802</v>
      </c>
      <c r="C468">
        <v>2019</v>
      </c>
      <c r="E468" t="s">
        <v>3014</v>
      </c>
    </row>
    <row r="469" spans="1:5" x14ac:dyDescent="0.25">
      <c r="A469" t="s">
        <v>1295</v>
      </c>
      <c r="B469" t="s">
        <v>1860</v>
      </c>
      <c r="C469">
        <v>2019</v>
      </c>
      <c r="E469" t="s">
        <v>3014</v>
      </c>
    </row>
    <row r="470" spans="1:5" x14ac:dyDescent="0.25">
      <c r="A470" t="s">
        <v>1295</v>
      </c>
      <c r="B470" t="s">
        <v>2032</v>
      </c>
      <c r="C470">
        <v>2019</v>
      </c>
      <c r="E470" t="s">
        <v>3237</v>
      </c>
    </row>
    <row r="471" spans="1:5" x14ac:dyDescent="0.25">
      <c r="A471" t="s">
        <v>1295</v>
      </c>
      <c r="B471" t="s">
        <v>2070</v>
      </c>
      <c r="C471">
        <v>2019</v>
      </c>
      <c r="E471" t="s">
        <v>2983</v>
      </c>
    </row>
    <row r="472" spans="1:5" x14ac:dyDescent="0.25">
      <c r="A472" t="s">
        <v>1295</v>
      </c>
      <c r="B472" t="s">
        <v>2072</v>
      </c>
      <c r="C472">
        <v>2019</v>
      </c>
      <c r="E472" t="s">
        <v>3238</v>
      </c>
    </row>
    <row r="473" spans="1:5" x14ac:dyDescent="0.25">
      <c r="A473" t="s">
        <v>1295</v>
      </c>
      <c r="B473" t="s">
        <v>2274</v>
      </c>
      <c r="C473">
        <v>2019</v>
      </c>
      <c r="E473" t="s">
        <v>2983</v>
      </c>
    </row>
    <row r="474" spans="1:5" x14ac:dyDescent="0.25">
      <c r="A474" t="s">
        <v>1295</v>
      </c>
      <c r="B474" t="s">
        <v>2289</v>
      </c>
      <c r="C474">
        <v>2019</v>
      </c>
      <c r="E474" t="s">
        <v>2983</v>
      </c>
    </row>
    <row r="475" spans="1:5" x14ac:dyDescent="0.25">
      <c r="A475" t="s">
        <v>1295</v>
      </c>
      <c r="B475" t="s">
        <v>2398</v>
      </c>
      <c r="C475">
        <v>2019</v>
      </c>
      <c r="E475" t="s">
        <v>3239</v>
      </c>
    </row>
    <row r="476" spans="1:5" x14ac:dyDescent="0.25">
      <c r="A476" t="s">
        <v>1295</v>
      </c>
      <c r="B476" t="s">
        <v>2440</v>
      </c>
      <c r="C476">
        <v>2019</v>
      </c>
      <c r="E476" t="s">
        <v>2983</v>
      </c>
    </row>
    <row r="477" spans="1:5" x14ac:dyDescent="0.25">
      <c r="A477" t="s">
        <v>1295</v>
      </c>
      <c r="B477" t="s">
        <v>2468</v>
      </c>
      <c r="C477">
        <v>2019</v>
      </c>
      <c r="E477" t="s">
        <v>3240</v>
      </c>
    </row>
    <row r="478" spans="1:5" x14ac:dyDescent="0.25">
      <c r="A478" t="s">
        <v>1295</v>
      </c>
      <c r="B478" t="s">
        <v>2515</v>
      </c>
      <c r="C478">
        <v>2019</v>
      </c>
      <c r="E478" t="s">
        <v>3178</v>
      </c>
    </row>
    <row r="479" spans="1:5" x14ac:dyDescent="0.25">
      <c r="A479" t="s">
        <v>1295</v>
      </c>
      <c r="B479" t="s">
        <v>2551</v>
      </c>
      <c r="C479">
        <v>2019</v>
      </c>
      <c r="E479" t="s">
        <v>3241</v>
      </c>
    </row>
    <row r="480" spans="1:5" x14ac:dyDescent="0.25">
      <c r="A480" t="s">
        <v>1295</v>
      </c>
      <c r="B480" t="s">
        <v>2591</v>
      </c>
      <c r="C480">
        <v>2019</v>
      </c>
      <c r="E480" t="s">
        <v>3242</v>
      </c>
    </row>
    <row r="481" spans="1:5" x14ac:dyDescent="0.25">
      <c r="A481" t="s">
        <v>1295</v>
      </c>
      <c r="B481" t="s">
        <v>2600</v>
      </c>
      <c r="C481">
        <v>2019</v>
      </c>
      <c r="E481" t="s">
        <v>3243</v>
      </c>
    </row>
    <row r="482" spans="1:5" x14ac:dyDescent="0.25">
      <c r="A482" t="s">
        <v>1295</v>
      </c>
      <c r="B482" t="s">
        <v>2676</v>
      </c>
      <c r="C482">
        <v>2019</v>
      </c>
      <c r="E482" t="s">
        <v>3196</v>
      </c>
    </row>
    <row r="483" spans="1:5" x14ac:dyDescent="0.25">
      <c r="A483" t="s">
        <v>1295</v>
      </c>
      <c r="B483" t="s">
        <v>2699</v>
      </c>
      <c r="C483">
        <v>2019</v>
      </c>
      <c r="E483" t="s">
        <v>3197</v>
      </c>
    </row>
    <row r="484" spans="1:5" x14ac:dyDescent="0.25">
      <c r="A484" t="s">
        <v>1295</v>
      </c>
      <c r="B484" t="s">
        <v>2813</v>
      </c>
      <c r="C484">
        <v>2019</v>
      </c>
      <c r="E484" t="s">
        <v>3084</v>
      </c>
    </row>
    <row r="485" spans="1:5" x14ac:dyDescent="0.25">
      <c r="A485" t="s">
        <v>1295</v>
      </c>
      <c r="B485" t="s">
        <v>2932</v>
      </c>
      <c r="C485">
        <v>2019</v>
      </c>
      <c r="E485" t="s">
        <v>3014</v>
      </c>
    </row>
    <row r="486" spans="1:5" x14ac:dyDescent="0.25">
      <c r="A486" t="s">
        <v>1295</v>
      </c>
      <c r="B486" t="s">
        <v>2951</v>
      </c>
      <c r="C486">
        <v>2019</v>
      </c>
      <c r="E486" t="s">
        <v>2983</v>
      </c>
    </row>
    <row r="487" spans="1:5" x14ac:dyDescent="0.25">
      <c r="A487" t="s">
        <v>1303</v>
      </c>
      <c r="B487" t="s">
        <v>394</v>
      </c>
      <c r="C487">
        <v>2023</v>
      </c>
      <c r="E487" t="s">
        <v>3058</v>
      </c>
    </row>
    <row r="488" spans="1:5" x14ac:dyDescent="0.25">
      <c r="A488" t="s">
        <v>1303</v>
      </c>
      <c r="B488" t="s">
        <v>1349</v>
      </c>
      <c r="C488">
        <v>2023</v>
      </c>
      <c r="E488" t="s">
        <v>3244</v>
      </c>
    </row>
    <row r="489" spans="1:5" x14ac:dyDescent="0.25">
      <c r="A489" t="s">
        <v>1303</v>
      </c>
      <c r="B489" t="s">
        <v>1464</v>
      </c>
      <c r="C489">
        <v>2023</v>
      </c>
      <c r="E489" t="s">
        <v>3130</v>
      </c>
    </row>
    <row r="490" spans="1:5" x14ac:dyDescent="0.25">
      <c r="A490" t="s">
        <v>1307</v>
      </c>
      <c r="B490" t="s">
        <v>1311</v>
      </c>
      <c r="C490">
        <v>2014</v>
      </c>
    </row>
    <row r="491" spans="1:5" x14ac:dyDescent="0.25">
      <c r="A491" t="s">
        <v>1307</v>
      </c>
      <c r="B491" t="s">
        <v>1313</v>
      </c>
      <c r="C491">
        <v>2014</v>
      </c>
      <c r="D491" t="s">
        <v>187</v>
      </c>
    </row>
    <row r="492" spans="1:5" x14ac:dyDescent="0.25">
      <c r="A492" t="s">
        <v>1307</v>
      </c>
      <c r="B492" t="s">
        <v>1433</v>
      </c>
      <c r="C492">
        <v>2014</v>
      </c>
      <c r="E492" t="s">
        <v>2983</v>
      </c>
    </row>
    <row r="493" spans="1:5" x14ac:dyDescent="0.25">
      <c r="A493" t="s">
        <v>1366</v>
      </c>
      <c r="B493" t="s">
        <v>1051</v>
      </c>
      <c r="C493">
        <v>2018</v>
      </c>
      <c r="E493" t="s">
        <v>3105</v>
      </c>
    </row>
    <row r="494" spans="1:5" x14ac:dyDescent="0.25">
      <c r="A494" t="s">
        <v>1366</v>
      </c>
      <c r="B494" t="s">
        <v>1370</v>
      </c>
      <c r="C494">
        <v>2018</v>
      </c>
      <c r="D494" t="s">
        <v>187</v>
      </c>
    </row>
    <row r="495" spans="1:5" x14ac:dyDescent="0.25">
      <c r="A495" t="s">
        <v>1366</v>
      </c>
      <c r="B495" t="s">
        <v>2743</v>
      </c>
      <c r="C495">
        <v>2018</v>
      </c>
      <c r="E495" t="s">
        <v>2983</v>
      </c>
    </row>
    <row r="496" spans="1:5" x14ac:dyDescent="0.25">
      <c r="A496" t="s">
        <v>1386</v>
      </c>
      <c r="B496" t="s">
        <v>1401</v>
      </c>
      <c r="C496">
        <v>2013</v>
      </c>
      <c r="E496" t="s">
        <v>2992</v>
      </c>
    </row>
    <row r="497" spans="1:5" x14ac:dyDescent="0.25">
      <c r="A497" t="s">
        <v>1386</v>
      </c>
      <c r="B497" t="s">
        <v>1444</v>
      </c>
      <c r="C497">
        <v>2013</v>
      </c>
      <c r="E497" t="s">
        <v>3245</v>
      </c>
    </row>
    <row r="498" spans="1:5" x14ac:dyDescent="0.25">
      <c r="A498" t="s">
        <v>1421</v>
      </c>
      <c r="B498" t="s">
        <v>2635</v>
      </c>
      <c r="C498">
        <v>2007</v>
      </c>
      <c r="E498" t="s">
        <v>3005</v>
      </c>
    </row>
    <row r="499" spans="1:5" x14ac:dyDescent="0.25">
      <c r="A499" t="s">
        <v>1436</v>
      </c>
      <c r="B499" t="s">
        <v>346</v>
      </c>
      <c r="C499">
        <v>2021</v>
      </c>
      <c r="E499" t="s">
        <v>2983</v>
      </c>
    </row>
    <row r="500" spans="1:5" x14ac:dyDescent="0.25">
      <c r="A500" t="s">
        <v>1436</v>
      </c>
      <c r="B500" t="s">
        <v>428</v>
      </c>
      <c r="C500">
        <v>2021</v>
      </c>
      <c r="E500" t="s">
        <v>3022</v>
      </c>
    </row>
    <row r="501" spans="1:5" x14ac:dyDescent="0.25">
      <c r="A501" t="s">
        <v>1436</v>
      </c>
      <c r="B501" t="s">
        <v>619</v>
      </c>
      <c r="C501">
        <v>2021</v>
      </c>
      <c r="E501" t="s">
        <v>3246</v>
      </c>
    </row>
    <row r="502" spans="1:5" x14ac:dyDescent="0.25">
      <c r="A502" t="s">
        <v>1436</v>
      </c>
      <c r="B502" t="s">
        <v>730</v>
      </c>
      <c r="C502">
        <v>2021</v>
      </c>
      <c r="E502" t="s">
        <v>3027</v>
      </c>
    </row>
    <row r="503" spans="1:5" x14ac:dyDescent="0.25">
      <c r="A503" t="s">
        <v>1436</v>
      </c>
      <c r="B503" t="s">
        <v>864</v>
      </c>
      <c r="C503">
        <v>2021</v>
      </c>
      <c r="E503" t="s">
        <v>3029</v>
      </c>
    </row>
    <row r="504" spans="1:5" x14ac:dyDescent="0.25">
      <c r="A504" t="s">
        <v>1436</v>
      </c>
      <c r="B504" t="s">
        <v>1138</v>
      </c>
      <c r="C504">
        <v>2021</v>
      </c>
      <c r="E504" t="s">
        <v>3247</v>
      </c>
    </row>
    <row r="505" spans="1:5" x14ac:dyDescent="0.25">
      <c r="A505" t="s">
        <v>1436</v>
      </c>
      <c r="B505" t="s">
        <v>1433</v>
      </c>
      <c r="C505">
        <v>2021</v>
      </c>
      <c r="E505" t="s">
        <v>2983</v>
      </c>
    </row>
    <row r="506" spans="1:5" x14ac:dyDescent="0.25">
      <c r="A506" t="s">
        <v>1436</v>
      </c>
      <c r="B506" t="s">
        <v>1611</v>
      </c>
      <c r="C506">
        <v>2021</v>
      </c>
      <c r="E506" t="s">
        <v>3248</v>
      </c>
    </row>
    <row r="507" spans="1:5" x14ac:dyDescent="0.25">
      <c r="A507" t="s">
        <v>1436</v>
      </c>
      <c r="B507" t="s">
        <v>1757</v>
      </c>
      <c r="C507">
        <v>2021</v>
      </c>
      <c r="E507" t="s">
        <v>2983</v>
      </c>
    </row>
    <row r="508" spans="1:5" x14ac:dyDescent="0.25">
      <c r="A508" t="s">
        <v>1436</v>
      </c>
      <c r="B508" t="s">
        <v>1985</v>
      </c>
      <c r="C508">
        <v>2021</v>
      </c>
      <c r="E508" t="s">
        <v>3249</v>
      </c>
    </row>
    <row r="509" spans="1:5" x14ac:dyDescent="0.25">
      <c r="A509" t="s">
        <v>1436</v>
      </c>
      <c r="B509" t="s">
        <v>2019</v>
      </c>
      <c r="C509">
        <v>2021</v>
      </c>
      <c r="E509" t="s">
        <v>3250</v>
      </c>
    </row>
    <row r="510" spans="1:5" x14ac:dyDescent="0.25">
      <c r="A510" t="s">
        <v>1436</v>
      </c>
      <c r="B510" t="s">
        <v>2668</v>
      </c>
      <c r="C510">
        <v>2021</v>
      </c>
      <c r="E510" t="s">
        <v>2986</v>
      </c>
    </row>
    <row r="511" spans="1:5" x14ac:dyDescent="0.25">
      <c r="A511" t="s">
        <v>1444</v>
      </c>
      <c r="B511" t="s">
        <v>249</v>
      </c>
      <c r="C511">
        <v>2018</v>
      </c>
      <c r="E511" t="s">
        <v>3251</v>
      </c>
    </row>
    <row r="512" spans="1:5" x14ac:dyDescent="0.25">
      <c r="A512" t="s">
        <v>1444</v>
      </c>
      <c r="B512" t="s">
        <v>276</v>
      </c>
      <c r="C512">
        <v>2018</v>
      </c>
      <c r="E512" t="s">
        <v>3014</v>
      </c>
    </row>
    <row r="513" spans="1:5" x14ac:dyDescent="0.25">
      <c r="A513" t="s">
        <v>1444</v>
      </c>
      <c r="B513" t="s">
        <v>346</v>
      </c>
      <c r="C513">
        <v>2018</v>
      </c>
      <c r="E513" t="s">
        <v>3252</v>
      </c>
    </row>
    <row r="514" spans="1:5" x14ac:dyDescent="0.25">
      <c r="A514" t="s">
        <v>1444</v>
      </c>
      <c r="B514" t="s">
        <v>561</v>
      </c>
      <c r="C514">
        <v>2018</v>
      </c>
      <c r="E514" t="s">
        <v>2983</v>
      </c>
    </row>
    <row r="515" spans="1:5" x14ac:dyDescent="0.25">
      <c r="A515" t="s">
        <v>1444</v>
      </c>
      <c r="B515" t="s">
        <v>671</v>
      </c>
      <c r="C515">
        <v>2018</v>
      </c>
      <c r="E515" t="s">
        <v>2983</v>
      </c>
    </row>
    <row r="516" spans="1:5" x14ac:dyDescent="0.25">
      <c r="A516" t="s">
        <v>1444</v>
      </c>
      <c r="B516" t="s">
        <v>771</v>
      </c>
      <c r="C516">
        <v>2018</v>
      </c>
      <c r="E516" t="s">
        <v>3253</v>
      </c>
    </row>
    <row r="517" spans="1:5" x14ac:dyDescent="0.25">
      <c r="A517" t="s">
        <v>1444</v>
      </c>
      <c r="B517" t="s">
        <v>786</v>
      </c>
      <c r="C517">
        <v>2018</v>
      </c>
      <c r="E517" t="s">
        <v>2983</v>
      </c>
    </row>
    <row r="518" spans="1:5" x14ac:dyDescent="0.25">
      <c r="A518" t="s">
        <v>1444</v>
      </c>
      <c r="B518" t="s">
        <v>866</v>
      </c>
      <c r="C518">
        <v>2018</v>
      </c>
      <c r="E518" t="s">
        <v>3206</v>
      </c>
    </row>
    <row r="519" spans="1:5" x14ac:dyDescent="0.25">
      <c r="A519" t="s">
        <v>1444</v>
      </c>
      <c r="B519" t="s">
        <v>972</v>
      </c>
      <c r="C519">
        <v>2018</v>
      </c>
      <c r="E519" t="s">
        <v>2983</v>
      </c>
    </row>
    <row r="520" spans="1:5" x14ac:dyDescent="0.25">
      <c r="A520" t="s">
        <v>1444</v>
      </c>
      <c r="B520" t="s">
        <v>1090</v>
      </c>
      <c r="C520">
        <v>2018</v>
      </c>
      <c r="E520" t="s">
        <v>3254</v>
      </c>
    </row>
    <row r="521" spans="1:5" x14ac:dyDescent="0.25">
      <c r="A521" t="s">
        <v>1444</v>
      </c>
      <c r="B521" t="s">
        <v>1109</v>
      </c>
      <c r="C521">
        <v>2018</v>
      </c>
      <c r="E521" t="s">
        <v>3255</v>
      </c>
    </row>
    <row r="522" spans="1:5" x14ac:dyDescent="0.25">
      <c r="A522" t="s">
        <v>1444</v>
      </c>
      <c r="B522" t="s">
        <v>1611</v>
      </c>
      <c r="C522">
        <v>2018</v>
      </c>
      <c r="E522" t="s">
        <v>3248</v>
      </c>
    </row>
    <row r="523" spans="1:5" x14ac:dyDescent="0.25">
      <c r="A523" t="s">
        <v>1444</v>
      </c>
      <c r="B523" t="s">
        <v>1638</v>
      </c>
      <c r="C523">
        <v>2018</v>
      </c>
      <c r="E523" t="s">
        <v>3256</v>
      </c>
    </row>
    <row r="524" spans="1:5" x14ac:dyDescent="0.25">
      <c r="A524" t="s">
        <v>1444</v>
      </c>
      <c r="B524" t="s">
        <v>1948</v>
      </c>
      <c r="C524">
        <v>2018</v>
      </c>
      <c r="E524" t="s">
        <v>3257</v>
      </c>
    </row>
    <row r="525" spans="1:5" x14ac:dyDescent="0.25">
      <c r="A525" t="s">
        <v>1444</v>
      </c>
      <c r="B525" t="s">
        <v>2188</v>
      </c>
      <c r="C525">
        <v>2018</v>
      </c>
      <c r="E525" t="s">
        <v>3018</v>
      </c>
    </row>
    <row r="526" spans="1:5" x14ac:dyDescent="0.25">
      <c r="A526" t="s">
        <v>1444</v>
      </c>
      <c r="B526" t="s">
        <v>2319</v>
      </c>
      <c r="C526">
        <v>2018</v>
      </c>
      <c r="E526" t="s">
        <v>3090</v>
      </c>
    </row>
    <row r="527" spans="1:5" x14ac:dyDescent="0.25">
      <c r="A527" t="s">
        <v>1444</v>
      </c>
      <c r="B527" t="s">
        <v>2415</v>
      </c>
      <c r="C527">
        <v>2018</v>
      </c>
      <c r="E527" t="s">
        <v>3258</v>
      </c>
    </row>
    <row r="528" spans="1:5" x14ac:dyDescent="0.25">
      <c r="A528" t="s">
        <v>1444</v>
      </c>
      <c r="B528" t="s">
        <v>2547</v>
      </c>
      <c r="C528">
        <v>2018</v>
      </c>
      <c r="E528" t="s">
        <v>2983</v>
      </c>
    </row>
    <row r="529" spans="1:5" x14ac:dyDescent="0.25">
      <c r="A529" t="s">
        <v>1444</v>
      </c>
      <c r="B529" t="s">
        <v>2649</v>
      </c>
      <c r="C529">
        <v>2018</v>
      </c>
      <c r="E529" t="s">
        <v>3057</v>
      </c>
    </row>
    <row r="530" spans="1:5" x14ac:dyDescent="0.25">
      <c r="A530" t="s">
        <v>1444</v>
      </c>
      <c r="B530" t="s">
        <v>2660</v>
      </c>
      <c r="C530">
        <v>2018</v>
      </c>
      <c r="E530" t="s">
        <v>3259</v>
      </c>
    </row>
    <row r="531" spans="1:5" x14ac:dyDescent="0.25">
      <c r="A531" t="s">
        <v>1455</v>
      </c>
      <c r="B531" t="s">
        <v>540</v>
      </c>
      <c r="C531">
        <v>2001</v>
      </c>
      <c r="E531" t="s">
        <v>3260</v>
      </c>
    </row>
    <row r="532" spans="1:5" x14ac:dyDescent="0.25">
      <c r="A532" t="s">
        <v>1461</v>
      </c>
      <c r="B532" t="s">
        <v>1458</v>
      </c>
      <c r="C532">
        <v>2006</v>
      </c>
      <c r="D532" t="s">
        <v>187</v>
      </c>
    </row>
    <row r="533" spans="1:5" x14ac:dyDescent="0.25">
      <c r="A533" t="s">
        <v>1497</v>
      </c>
      <c r="B533" t="s">
        <v>905</v>
      </c>
      <c r="C533">
        <v>2016</v>
      </c>
      <c r="E533" t="s">
        <v>2983</v>
      </c>
    </row>
    <row r="534" spans="1:5" x14ac:dyDescent="0.25">
      <c r="A534" t="s">
        <v>1497</v>
      </c>
      <c r="B534" t="s">
        <v>953</v>
      </c>
      <c r="C534">
        <v>2016</v>
      </c>
      <c r="E534" t="s">
        <v>3261</v>
      </c>
    </row>
    <row r="535" spans="1:5" x14ac:dyDescent="0.25">
      <c r="A535" t="s">
        <v>1497</v>
      </c>
      <c r="B535" t="s">
        <v>2062</v>
      </c>
      <c r="C535">
        <v>2016</v>
      </c>
      <c r="E535" t="s">
        <v>3014</v>
      </c>
    </row>
    <row r="536" spans="1:5" x14ac:dyDescent="0.25">
      <c r="A536" t="s">
        <v>1517</v>
      </c>
      <c r="B536" t="s">
        <v>1880</v>
      </c>
      <c r="C536">
        <v>2024</v>
      </c>
      <c r="D536" t="s">
        <v>187</v>
      </c>
    </row>
    <row r="537" spans="1:5" x14ac:dyDescent="0.25">
      <c r="A537" t="s">
        <v>1539</v>
      </c>
      <c r="B537" t="s">
        <v>965</v>
      </c>
      <c r="C537">
        <v>1995</v>
      </c>
      <c r="E537" t="s">
        <v>3262</v>
      </c>
    </row>
    <row r="538" spans="1:5" x14ac:dyDescent="0.25">
      <c r="A538" t="s">
        <v>1539</v>
      </c>
      <c r="B538" t="s">
        <v>1142</v>
      </c>
      <c r="C538">
        <v>1995</v>
      </c>
      <c r="E538" t="s">
        <v>2990</v>
      </c>
    </row>
    <row r="539" spans="1:5" x14ac:dyDescent="0.25">
      <c r="A539" t="s">
        <v>1539</v>
      </c>
      <c r="B539" t="s">
        <v>2024</v>
      </c>
      <c r="C539">
        <v>1995</v>
      </c>
      <c r="E539" t="s">
        <v>2995</v>
      </c>
    </row>
    <row r="540" spans="1:5" x14ac:dyDescent="0.25">
      <c r="A540" t="s">
        <v>1539</v>
      </c>
      <c r="B540" t="s">
        <v>2490</v>
      </c>
      <c r="C540">
        <v>1995</v>
      </c>
      <c r="E540" t="s">
        <v>3263</v>
      </c>
    </row>
    <row r="541" spans="1:5" x14ac:dyDescent="0.25">
      <c r="A541" t="s">
        <v>1550</v>
      </c>
      <c r="B541" t="s">
        <v>2240</v>
      </c>
      <c r="C541">
        <v>2021</v>
      </c>
      <c r="E541" t="s">
        <v>2242</v>
      </c>
    </row>
    <row r="542" spans="1:5" x14ac:dyDescent="0.25">
      <c r="A542" t="s">
        <v>1550</v>
      </c>
      <c r="B542" t="s">
        <v>2515</v>
      </c>
      <c r="C542">
        <v>2021</v>
      </c>
      <c r="E542" t="s">
        <v>3178</v>
      </c>
    </row>
    <row r="543" spans="1:5" x14ac:dyDescent="0.25">
      <c r="A543" t="s">
        <v>1550</v>
      </c>
      <c r="B543" t="s">
        <v>2897</v>
      </c>
      <c r="C543">
        <v>2021</v>
      </c>
      <c r="E543" t="s">
        <v>3264</v>
      </c>
    </row>
    <row r="544" spans="1:5" x14ac:dyDescent="0.25">
      <c r="A544" t="s">
        <v>1566</v>
      </c>
      <c r="B544" t="s">
        <v>2370</v>
      </c>
      <c r="C544">
        <v>2023</v>
      </c>
      <c r="E544" t="s">
        <v>3265</v>
      </c>
    </row>
    <row r="545" spans="1:5" x14ac:dyDescent="0.25">
      <c r="A545" t="s">
        <v>1573</v>
      </c>
      <c r="B545" t="s">
        <v>1408</v>
      </c>
      <c r="C545">
        <v>2001</v>
      </c>
      <c r="E545" t="s">
        <v>3174</v>
      </c>
    </row>
    <row r="546" spans="1:5" x14ac:dyDescent="0.25">
      <c r="A546" t="s">
        <v>1577</v>
      </c>
      <c r="B546" t="s">
        <v>346</v>
      </c>
      <c r="C546">
        <v>2021</v>
      </c>
      <c r="E546" t="s">
        <v>2983</v>
      </c>
    </row>
    <row r="547" spans="1:5" x14ac:dyDescent="0.25">
      <c r="A547" t="s">
        <v>1577</v>
      </c>
      <c r="B547" t="s">
        <v>353</v>
      </c>
      <c r="C547">
        <v>2021</v>
      </c>
      <c r="E547" t="s">
        <v>3266</v>
      </c>
    </row>
    <row r="548" spans="1:5" x14ac:dyDescent="0.25">
      <c r="A548" t="s">
        <v>1577</v>
      </c>
      <c r="B548" t="s">
        <v>364</v>
      </c>
      <c r="C548">
        <v>2021</v>
      </c>
      <c r="E548" t="s">
        <v>2983</v>
      </c>
    </row>
    <row r="549" spans="1:5" x14ac:dyDescent="0.25">
      <c r="A549" t="s">
        <v>1577</v>
      </c>
      <c r="B549" t="s">
        <v>421</v>
      </c>
      <c r="C549">
        <v>2021</v>
      </c>
      <c r="E549" t="s">
        <v>2983</v>
      </c>
    </row>
    <row r="550" spans="1:5" x14ac:dyDescent="0.25">
      <c r="A550" t="s">
        <v>1577</v>
      </c>
      <c r="B550" t="s">
        <v>493</v>
      </c>
      <c r="C550">
        <v>2021</v>
      </c>
      <c r="E550" t="s">
        <v>2983</v>
      </c>
    </row>
    <row r="551" spans="1:5" x14ac:dyDescent="0.25">
      <c r="A551" t="s">
        <v>1577</v>
      </c>
      <c r="B551" t="s">
        <v>528</v>
      </c>
      <c r="C551">
        <v>2021</v>
      </c>
      <c r="E551" t="s">
        <v>3267</v>
      </c>
    </row>
    <row r="552" spans="1:5" x14ac:dyDescent="0.25">
      <c r="A552" t="s">
        <v>7691</v>
      </c>
      <c r="B552" t="s">
        <v>7694</v>
      </c>
      <c r="C552">
        <v>2021</v>
      </c>
      <c r="E552" t="s">
        <v>7690</v>
      </c>
    </row>
    <row r="553" spans="1:5" x14ac:dyDescent="0.25">
      <c r="A553" t="s">
        <v>1577</v>
      </c>
      <c r="B553" t="s">
        <v>667</v>
      </c>
      <c r="C553">
        <v>2021</v>
      </c>
      <c r="E553" t="s">
        <v>2983</v>
      </c>
    </row>
    <row r="554" spans="1:5" x14ac:dyDescent="0.25">
      <c r="A554" t="s">
        <v>1577</v>
      </c>
      <c r="B554" t="s">
        <v>717</v>
      </c>
      <c r="C554">
        <v>2021</v>
      </c>
      <c r="E554" t="s">
        <v>3268</v>
      </c>
    </row>
    <row r="555" spans="1:5" x14ac:dyDescent="0.25">
      <c r="A555" t="s">
        <v>1577</v>
      </c>
      <c r="B555" t="s">
        <v>897</v>
      </c>
      <c r="C555">
        <v>2021</v>
      </c>
      <c r="E555" t="s">
        <v>3269</v>
      </c>
    </row>
    <row r="556" spans="1:5" x14ac:dyDescent="0.25">
      <c r="A556" t="s">
        <v>1577</v>
      </c>
      <c r="B556" t="s">
        <v>989</v>
      </c>
      <c r="C556">
        <v>2021</v>
      </c>
      <c r="E556" t="s">
        <v>2983</v>
      </c>
    </row>
    <row r="557" spans="1:5" x14ac:dyDescent="0.25">
      <c r="A557" t="s">
        <v>1577</v>
      </c>
      <c r="B557" t="s">
        <v>1039</v>
      </c>
      <c r="C557">
        <v>2021</v>
      </c>
      <c r="E557" t="s">
        <v>3014</v>
      </c>
    </row>
    <row r="558" spans="1:5" x14ac:dyDescent="0.25">
      <c r="A558" t="s">
        <v>1577</v>
      </c>
      <c r="B558" t="s">
        <v>1581</v>
      </c>
      <c r="C558">
        <v>2021</v>
      </c>
      <c r="E558" t="s">
        <v>3014</v>
      </c>
    </row>
    <row r="559" spans="1:5" x14ac:dyDescent="0.25">
      <c r="A559" t="s">
        <v>1577</v>
      </c>
      <c r="B559" t="s">
        <v>1812</v>
      </c>
      <c r="C559">
        <v>2021</v>
      </c>
      <c r="E559" t="s">
        <v>2983</v>
      </c>
    </row>
    <row r="560" spans="1:5" x14ac:dyDescent="0.25">
      <c r="A560" t="s">
        <v>1577</v>
      </c>
      <c r="B560" t="s">
        <v>1894</v>
      </c>
      <c r="C560">
        <v>2021</v>
      </c>
      <c r="E560" t="s">
        <v>3037</v>
      </c>
    </row>
    <row r="561" spans="1:5" x14ac:dyDescent="0.25">
      <c r="A561" t="s">
        <v>1577</v>
      </c>
      <c r="B561" t="s">
        <v>1981</v>
      </c>
      <c r="C561">
        <v>2021</v>
      </c>
      <c r="E561" t="s">
        <v>3270</v>
      </c>
    </row>
    <row r="562" spans="1:5" x14ac:dyDescent="0.25">
      <c r="A562" t="s">
        <v>1577</v>
      </c>
      <c r="B562" t="s">
        <v>2223</v>
      </c>
      <c r="C562">
        <v>2021</v>
      </c>
      <c r="E562" t="s">
        <v>3044</v>
      </c>
    </row>
    <row r="563" spans="1:5" x14ac:dyDescent="0.25">
      <c r="A563" t="s">
        <v>1577</v>
      </c>
      <c r="B563" t="s">
        <v>2233</v>
      </c>
      <c r="C563">
        <v>2021</v>
      </c>
      <c r="E563" t="s">
        <v>3271</v>
      </c>
    </row>
    <row r="564" spans="1:5" x14ac:dyDescent="0.25">
      <c r="A564" t="s">
        <v>1577</v>
      </c>
      <c r="B564" t="s">
        <v>2370</v>
      </c>
      <c r="C564">
        <v>2021</v>
      </c>
      <c r="E564" t="s">
        <v>3265</v>
      </c>
    </row>
    <row r="565" spans="1:5" x14ac:dyDescent="0.25">
      <c r="A565" t="s">
        <v>1577</v>
      </c>
      <c r="B565" t="s">
        <v>2432</v>
      </c>
      <c r="C565">
        <v>2021</v>
      </c>
      <c r="E565" t="s">
        <v>2983</v>
      </c>
    </row>
    <row r="566" spans="1:5" x14ac:dyDescent="0.25">
      <c r="A566" t="s">
        <v>1577</v>
      </c>
      <c r="B566" t="s">
        <v>2476</v>
      </c>
      <c r="C566">
        <v>2021</v>
      </c>
      <c r="E566" t="s">
        <v>3051</v>
      </c>
    </row>
    <row r="567" spans="1:5" x14ac:dyDescent="0.25">
      <c r="A567" t="s">
        <v>1577</v>
      </c>
      <c r="B567" t="s">
        <v>2523</v>
      </c>
      <c r="C567">
        <v>2021</v>
      </c>
      <c r="E567" t="s">
        <v>3272</v>
      </c>
    </row>
    <row r="568" spans="1:5" x14ac:dyDescent="0.25">
      <c r="A568" t="s">
        <v>1593</v>
      </c>
      <c r="B568" t="s">
        <v>2805</v>
      </c>
      <c r="C568">
        <v>2019</v>
      </c>
      <c r="E568" t="s">
        <v>3273</v>
      </c>
    </row>
    <row r="569" spans="1:5" x14ac:dyDescent="0.25">
      <c r="A569" t="s">
        <v>1595</v>
      </c>
      <c r="B569" t="s">
        <v>319</v>
      </c>
      <c r="C569">
        <v>2023</v>
      </c>
      <c r="E569" t="s">
        <v>2983</v>
      </c>
    </row>
    <row r="570" spans="1:5" x14ac:dyDescent="0.25">
      <c r="A570" t="s">
        <v>1622</v>
      </c>
      <c r="B570" t="s">
        <v>7695</v>
      </c>
      <c r="C570">
        <v>2025</v>
      </c>
      <c r="E570" t="s">
        <v>7698</v>
      </c>
    </row>
    <row r="571" spans="1:5" x14ac:dyDescent="0.25">
      <c r="A571" t="s">
        <v>1656</v>
      </c>
      <c r="B571" t="s">
        <v>1533</v>
      </c>
      <c r="C571">
        <v>2024</v>
      </c>
      <c r="D571" t="s">
        <v>187</v>
      </c>
    </row>
    <row r="572" spans="1:5" x14ac:dyDescent="0.25">
      <c r="A572" t="s">
        <v>1660</v>
      </c>
      <c r="B572" t="s">
        <v>2732</v>
      </c>
      <c r="C572">
        <v>2012</v>
      </c>
      <c r="D572" t="s">
        <v>187</v>
      </c>
    </row>
    <row r="573" spans="1:5" x14ac:dyDescent="0.25">
      <c r="A573" t="s">
        <v>1662</v>
      </c>
      <c r="B573" t="s">
        <v>1158</v>
      </c>
      <c r="C573">
        <v>2011</v>
      </c>
      <c r="D573" t="s">
        <v>187</v>
      </c>
    </row>
    <row r="574" spans="1:5" x14ac:dyDescent="0.25">
      <c r="A574" t="s">
        <v>1662</v>
      </c>
      <c r="B574" t="s">
        <v>1660</v>
      </c>
      <c r="C574">
        <v>2011</v>
      </c>
      <c r="D574" t="s">
        <v>187</v>
      </c>
    </row>
    <row r="575" spans="1:5" x14ac:dyDescent="0.25">
      <c r="A575" t="s">
        <v>1677</v>
      </c>
      <c r="B575" t="s">
        <v>972</v>
      </c>
      <c r="C575">
        <v>2002</v>
      </c>
      <c r="E575" t="s">
        <v>2983</v>
      </c>
    </row>
    <row r="576" spans="1:5" x14ac:dyDescent="0.25">
      <c r="A576" t="s">
        <v>1677</v>
      </c>
      <c r="B576" t="s">
        <v>1680</v>
      </c>
      <c r="C576">
        <v>2002</v>
      </c>
      <c r="D576" t="s">
        <v>187</v>
      </c>
    </row>
    <row r="577" spans="1:5" x14ac:dyDescent="0.25">
      <c r="A577" t="s">
        <v>1683</v>
      </c>
      <c r="B577" t="s">
        <v>1685</v>
      </c>
      <c r="C577">
        <v>2022</v>
      </c>
      <c r="D577" t="s">
        <v>187</v>
      </c>
    </row>
    <row r="578" spans="1:5" x14ac:dyDescent="0.25">
      <c r="A578" t="s">
        <v>1687</v>
      </c>
      <c r="B578" t="s">
        <v>795</v>
      </c>
      <c r="C578">
        <v>2017</v>
      </c>
      <c r="E578" t="s">
        <v>3101</v>
      </c>
    </row>
    <row r="579" spans="1:5" x14ac:dyDescent="0.25">
      <c r="A579" t="s">
        <v>1691</v>
      </c>
      <c r="B579" t="s">
        <v>673</v>
      </c>
      <c r="C579">
        <v>2020</v>
      </c>
      <c r="E579" t="s">
        <v>2983</v>
      </c>
    </row>
    <row r="580" spans="1:5" x14ac:dyDescent="0.25">
      <c r="A580" t="s">
        <v>1691</v>
      </c>
      <c r="B580" t="s">
        <v>864</v>
      </c>
      <c r="C580">
        <v>2020</v>
      </c>
      <c r="E580" t="s">
        <v>3029</v>
      </c>
    </row>
    <row r="581" spans="1:5" x14ac:dyDescent="0.25">
      <c r="A581" t="s">
        <v>1691</v>
      </c>
      <c r="B581" t="s">
        <v>866</v>
      </c>
      <c r="C581">
        <v>2020</v>
      </c>
      <c r="E581" t="s">
        <v>3206</v>
      </c>
    </row>
    <row r="582" spans="1:5" x14ac:dyDescent="0.25">
      <c r="A582" t="s">
        <v>1691</v>
      </c>
      <c r="B582" t="s">
        <v>1429</v>
      </c>
      <c r="C582">
        <v>2020</v>
      </c>
      <c r="D582" t="s">
        <v>187</v>
      </c>
    </row>
    <row r="583" spans="1:5" x14ac:dyDescent="0.25">
      <c r="A583" t="s">
        <v>1691</v>
      </c>
      <c r="B583" t="s">
        <v>1436</v>
      </c>
      <c r="C583">
        <v>2020</v>
      </c>
      <c r="E583" t="s">
        <v>3274</v>
      </c>
    </row>
    <row r="584" spans="1:5" x14ac:dyDescent="0.25">
      <c r="A584" t="s">
        <v>1691</v>
      </c>
      <c r="B584" t="s">
        <v>1611</v>
      </c>
      <c r="C584">
        <v>2020</v>
      </c>
      <c r="E584" t="s">
        <v>3248</v>
      </c>
    </row>
    <row r="585" spans="1:5" x14ac:dyDescent="0.25">
      <c r="A585" t="s">
        <v>1691</v>
      </c>
      <c r="B585" t="s">
        <v>1695</v>
      </c>
      <c r="C585">
        <v>2020</v>
      </c>
      <c r="D585" t="s">
        <v>187</v>
      </c>
    </row>
    <row r="586" spans="1:5" x14ac:dyDescent="0.25">
      <c r="A586" t="s">
        <v>1691</v>
      </c>
      <c r="B586" t="s">
        <v>2159</v>
      </c>
      <c r="C586">
        <v>2020</v>
      </c>
      <c r="E586" t="s">
        <v>2984</v>
      </c>
    </row>
    <row r="587" spans="1:5" x14ac:dyDescent="0.25">
      <c r="A587" t="s">
        <v>1691</v>
      </c>
      <c r="B587" t="s">
        <v>2289</v>
      </c>
      <c r="C587">
        <v>2020</v>
      </c>
      <c r="E587" t="s">
        <v>2983</v>
      </c>
    </row>
    <row r="588" spans="1:5" x14ac:dyDescent="0.25">
      <c r="A588" t="s">
        <v>1691</v>
      </c>
      <c r="B588" t="s">
        <v>2668</v>
      </c>
      <c r="C588">
        <v>2020</v>
      </c>
      <c r="E588" t="s">
        <v>2986</v>
      </c>
    </row>
    <row r="589" spans="1:5" x14ac:dyDescent="0.25">
      <c r="A589" t="s">
        <v>1691</v>
      </c>
      <c r="B589" t="s">
        <v>2739</v>
      </c>
      <c r="C589">
        <v>2020</v>
      </c>
      <c r="E589" t="s">
        <v>2983</v>
      </c>
    </row>
    <row r="590" spans="1:5" x14ac:dyDescent="0.25">
      <c r="A590" t="s">
        <v>1691</v>
      </c>
      <c r="B590" t="s">
        <v>2891</v>
      </c>
      <c r="C590">
        <v>2020</v>
      </c>
      <c r="E590" t="s">
        <v>3078</v>
      </c>
    </row>
    <row r="591" spans="1:5" x14ac:dyDescent="0.25">
      <c r="A591" t="s">
        <v>1708</v>
      </c>
      <c r="B591" t="s">
        <v>469</v>
      </c>
      <c r="C591">
        <v>2016</v>
      </c>
      <c r="D591" t="s">
        <v>187</v>
      </c>
    </row>
    <row r="592" spans="1:5" x14ac:dyDescent="0.25">
      <c r="A592" t="s">
        <v>1714</v>
      </c>
      <c r="B592" t="s">
        <v>1607</v>
      </c>
      <c r="C592">
        <v>2018</v>
      </c>
      <c r="E592" t="s">
        <v>3236</v>
      </c>
    </row>
    <row r="593" spans="1:5" x14ac:dyDescent="0.25">
      <c r="A593" t="s">
        <v>1714</v>
      </c>
      <c r="B593" t="s">
        <v>1718</v>
      </c>
      <c r="C593">
        <v>2018</v>
      </c>
      <c r="D593" t="s">
        <v>187</v>
      </c>
    </row>
    <row r="594" spans="1:5" x14ac:dyDescent="0.25">
      <c r="A594" t="s">
        <v>1726</v>
      </c>
      <c r="B594" t="s">
        <v>260</v>
      </c>
      <c r="C594">
        <v>1983</v>
      </c>
      <c r="E594" t="s">
        <v>3275</v>
      </c>
    </row>
    <row r="595" spans="1:5" x14ac:dyDescent="0.25">
      <c r="A595" t="s">
        <v>1726</v>
      </c>
      <c r="B595" t="s">
        <v>848</v>
      </c>
      <c r="C595">
        <v>1983</v>
      </c>
      <c r="E595" t="s">
        <v>3003</v>
      </c>
    </row>
    <row r="596" spans="1:5" x14ac:dyDescent="0.25">
      <c r="A596" t="s">
        <v>1726</v>
      </c>
      <c r="B596" t="s">
        <v>2024</v>
      </c>
      <c r="C596">
        <v>1983</v>
      </c>
      <c r="E596" t="s">
        <v>2995</v>
      </c>
    </row>
    <row r="597" spans="1:5" x14ac:dyDescent="0.25">
      <c r="A597" t="s">
        <v>1739</v>
      </c>
      <c r="B597" t="s">
        <v>1743</v>
      </c>
      <c r="C597">
        <v>2018</v>
      </c>
      <c r="D597" t="s">
        <v>187</v>
      </c>
    </row>
    <row r="598" spans="1:5" x14ac:dyDescent="0.25">
      <c r="A598" t="s">
        <v>1747</v>
      </c>
      <c r="B598" t="s">
        <v>1158</v>
      </c>
      <c r="C598">
        <v>2011</v>
      </c>
      <c r="D598" t="s">
        <v>187</v>
      </c>
    </row>
    <row r="599" spans="1:5" x14ac:dyDescent="0.25">
      <c r="A599" t="s">
        <v>1753</v>
      </c>
      <c r="B599" t="s">
        <v>1562</v>
      </c>
      <c r="C599">
        <v>2021</v>
      </c>
      <c r="E599" t="s">
        <v>3276</v>
      </c>
    </row>
    <row r="600" spans="1:5" x14ac:dyDescent="0.25">
      <c r="A600" t="s">
        <v>1753</v>
      </c>
      <c r="B600" t="s">
        <v>1622</v>
      </c>
      <c r="C600">
        <v>2021</v>
      </c>
      <c r="D600" t="s">
        <v>187</v>
      </c>
    </row>
    <row r="601" spans="1:5" x14ac:dyDescent="0.25">
      <c r="A601" t="s">
        <v>1762</v>
      </c>
      <c r="B601" t="s">
        <v>178</v>
      </c>
      <c r="C601">
        <v>1995</v>
      </c>
      <c r="E601" t="s">
        <v>3277</v>
      </c>
    </row>
    <row r="602" spans="1:5" x14ac:dyDescent="0.25">
      <c r="A602" t="s">
        <v>1762</v>
      </c>
      <c r="B602" t="s">
        <v>972</v>
      </c>
      <c r="C602">
        <v>1995</v>
      </c>
      <c r="E602" t="s">
        <v>2983</v>
      </c>
    </row>
    <row r="603" spans="1:5" x14ac:dyDescent="0.25">
      <c r="A603" t="s">
        <v>1762</v>
      </c>
      <c r="B603" t="s">
        <v>1389</v>
      </c>
      <c r="C603">
        <v>1995</v>
      </c>
      <c r="E603" t="s">
        <v>3278</v>
      </c>
    </row>
    <row r="604" spans="1:5" x14ac:dyDescent="0.25">
      <c r="A604" t="s">
        <v>1762</v>
      </c>
      <c r="B604" t="s">
        <v>1900</v>
      </c>
      <c r="C604">
        <v>1995</v>
      </c>
      <c r="E604" t="s">
        <v>3279</v>
      </c>
    </row>
    <row r="605" spans="1:5" x14ac:dyDescent="0.25">
      <c r="A605" t="s">
        <v>1762</v>
      </c>
      <c r="B605" t="s">
        <v>2296</v>
      </c>
      <c r="C605">
        <v>1995</v>
      </c>
      <c r="D605" t="s">
        <v>187</v>
      </c>
    </row>
    <row r="606" spans="1:5" x14ac:dyDescent="0.25">
      <c r="A606" t="s">
        <v>1762</v>
      </c>
      <c r="B606" t="s">
        <v>2305</v>
      </c>
      <c r="C606">
        <v>1995</v>
      </c>
      <c r="D606" t="s">
        <v>187</v>
      </c>
    </row>
    <row r="607" spans="1:5" x14ac:dyDescent="0.25">
      <c r="A607" t="s">
        <v>1762</v>
      </c>
      <c r="B607" t="s">
        <v>2370</v>
      </c>
      <c r="C607">
        <v>1995</v>
      </c>
      <c r="E607" t="s">
        <v>3265</v>
      </c>
    </row>
    <row r="608" spans="1:5" x14ac:dyDescent="0.25">
      <c r="A608" t="s">
        <v>1762</v>
      </c>
      <c r="B608" t="s">
        <v>2579</v>
      </c>
      <c r="C608">
        <v>1995</v>
      </c>
      <c r="E608" t="s">
        <v>3280</v>
      </c>
    </row>
    <row r="609" spans="1:5" x14ac:dyDescent="0.25">
      <c r="A609" t="s">
        <v>1780</v>
      </c>
      <c r="B609" t="s">
        <v>394</v>
      </c>
      <c r="C609">
        <v>2022</v>
      </c>
      <c r="E609" t="s">
        <v>3058</v>
      </c>
    </row>
    <row r="610" spans="1:5" x14ac:dyDescent="0.25">
      <c r="A610" t="s">
        <v>1780</v>
      </c>
      <c r="B610" t="s">
        <v>1784</v>
      </c>
      <c r="C610">
        <v>2022</v>
      </c>
      <c r="D610" t="s">
        <v>187</v>
      </c>
    </row>
    <row r="611" spans="1:5" x14ac:dyDescent="0.25">
      <c r="A611" t="s">
        <v>1788</v>
      </c>
      <c r="B611" t="s">
        <v>1792</v>
      </c>
      <c r="C611">
        <v>2019</v>
      </c>
      <c r="D611" t="s">
        <v>187</v>
      </c>
    </row>
    <row r="612" spans="1:5" x14ac:dyDescent="0.25">
      <c r="A612" t="s">
        <v>1796</v>
      </c>
      <c r="B612" t="s">
        <v>375</v>
      </c>
      <c r="C612">
        <v>1987</v>
      </c>
      <c r="E612" t="s">
        <v>3281</v>
      </c>
    </row>
    <row r="613" spans="1:5" x14ac:dyDescent="0.25">
      <c r="A613" t="s">
        <v>1796</v>
      </c>
      <c r="B613" t="s">
        <v>807</v>
      </c>
      <c r="C613">
        <v>1987</v>
      </c>
      <c r="E613" t="s">
        <v>3282</v>
      </c>
    </row>
    <row r="614" spans="1:5" x14ac:dyDescent="0.25">
      <c r="A614" t="s">
        <v>1796</v>
      </c>
      <c r="B614" t="s">
        <v>848</v>
      </c>
      <c r="C614">
        <v>1987</v>
      </c>
      <c r="E614" t="s">
        <v>3003</v>
      </c>
    </row>
    <row r="615" spans="1:5" x14ac:dyDescent="0.25">
      <c r="A615" t="s">
        <v>1796</v>
      </c>
      <c r="B615" t="s">
        <v>941</v>
      </c>
      <c r="C615">
        <v>1987</v>
      </c>
      <c r="E615" t="s">
        <v>3283</v>
      </c>
    </row>
    <row r="616" spans="1:5" x14ac:dyDescent="0.25">
      <c r="A616" t="s">
        <v>1796</v>
      </c>
      <c r="B616" t="s">
        <v>995</v>
      </c>
      <c r="C616">
        <v>1987</v>
      </c>
      <c r="E616" t="s">
        <v>3284</v>
      </c>
    </row>
    <row r="617" spans="1:5" x14ac:dyDescent="0.25">
      <c r="A617" t="s">
        <v>1796</v>
      </c>
      <c r="B617" t="s">
        <v>1028</v>
      </c>
      <c r="C617">
        <v>1987</v>
      </c>
    </row>
    <row r="618" spans="1:5" x14ac:dyDescent="0.25">
      <c r="A618" t="s">
        <v>1796</v>
      </c>
      <c r="B618" t="s">
        <v>1084</v>
      </c>
      <c r="C618">
        <v>1987</v>
      </c>
      <c r="E618" t="s">
        <v>3285</v>
      </c>
    </row>
    <row r="619" spans="1:5" x14ac:dyDescent="0.25">
      <c r="A619" t="s">
        <v>1796</v>
      </c>
      <c r="B619" t="s">
        <v>1142</v>
      </c>
      <c r="C619">
        <v>1987</v>
      </c>
      <c r="E619" t="s">
        <v>2990</v>
      </c>
    </row>
    <row r="620" spans="1:5" x14ac:dyDescent="0.25">
      <c r="A620" t="s">
        <v>1796</v>
      </c>
      <c r="B620" t="s">
        <v>1198</v>
      </c>
      <c r="C620">
        <v>1987</v>
      </c>
      <c r="E620" t="s">
        <v>3286</v>
      </c>
    </row>
    <row r="621" spans="1:5" x14ac:dyDescent="0.25">
      <c r="A621" t="s">
        <v>1796</v>
      </c>
      <c r="B621" t="s">
        <v>1318</v>
      </c>
      <c r="C621">
        <v>1987</v>
      </c>
      <c r="E621" t="s">
        <v>3287</v>
      </c>
    </row>
    <row r="622" spans="1:5" x14ac:dyDescent="0.25">
      <c r="A622" t="s">
        <v>1796</v>
      </c>
      <c r="B622" t="s">
        <v>1401</v>
      </c>
      <c r="C622">
        <v>1987</v>
      </c>
      <c r="E622" t="s">
        <v>2992</v>
      </c>
    </row>
    <row r="623" spans="1:5" x14ac:dyDescent="0.25">
      <c r="A623" t="s">
        <v>1796</v>
      </c>
      <c r="B623" t="s">
        <v>1421</v>
      </c>
      <c r="C623">
        <v>1987</v>
      </c>
      <c r="E623" t="s">
        <v>2993</v>
      </c>
    </row>
    <row r="624" spans="1:5" x14ac:dyDescent="0.25">
      <c r="A624" t="s">
        <v>1796</v>
      </c>
      <c r="B624" t="s">
        <v>1455</v>
      </c>
      <c r="C624">
        <v>1987</v>
      </c>
      <c r="E624" t="s">
        <v>3288</v>
      </c>
    </row>
    <row r="625" spans="1:5" x14ac:dyDescent="0.25">
      <c r="A625" t="s">
        <v>1796</v>
      </c>
      <c r="B625" t="s">
        <v>1483</v>
      </c>
      <c r="C625">
        <v>1987</v>
      </c>
      <c r="E625" t="s">
        <v>2983</v>
      </c>
    </row>
    <row r="626" spans="1:5" x14ac:dyDescent="0.25">
      <c r="A626" t="s">
        <v>1796</v>
      </c>
      <c r="B626" t="s">
        <v>1521</v>
      </c>
      <c r="C626">
        <v>1987</v>
      </c>
      <c r="E626" t="s">
        <v>2994</v>
      </c>
    </row>
    <row r="627" spans="1:5" x14ac:dyDescent="0.25">
      <c r="A627" t="s">
        <v>1796</v>
      </c>
      <c r="B627" t="s">
        <v>1539</v>
      </c>
      <c r="C627">
        <v>1987</v>
      </c>
      <c r="E627" t="s">
        <v>3289</v>
      </c>
    </row>
    <row r="628" spans="1:5" x14ac:dyDescent="0.25">
      <c r="A628" t="s">
        <v>1796</v>
      </c>
      <c r="B628" t="s">
        <v>1564</v>
      </c>
      <c r="C628">
        <v>1987</v>
      </c>
      <c r="E628" t="s">
        <v>2983</v>
      </c>
    </row>
    <row r="629" spans="1:5" x14ac:dyDescent="0.25">
      <c r="A629" t="s">
        <v>1796</v>
      </c>
      <c r="B629" t="s">
        <v>1720</v>
      </c>
      <c r="C629">
        <v>1987</v>
      </c>
      <c r="E629" t="s">
        <v>2983</v>
      </c>
    </row>
    <row r="630" spans="1:5" x14ac:dyDescent="0.25">
      <c r="A630" t="s">
        <v>3290</v>
      </c>
      <c r="B630" t="s">
        <v>1919</v>
      </c>
      <c r="C630">
        <v>1987</v>
      </c>
      <c r="E630" t="s">
        <v>2983</v>
      </c>
    </row>
    <row r="631" spans="1:5" x14ac:dyDescent="0.25">
      <c r="A631" t="s">
        <v>1796</v>
      </c>
      <c r="B631" t="s">
        <v>1945</v>
      </c>
      <c r="C631">
        <v>1987</v>
      </c>
      <c r="E631" t="s">
        <v>3291</v>
      </c>
    </row>
    <row r="632" spans="1:5" x14ac:dyDescent="0.25">
      <c r="A632" t="s">
        <v>1796</v>
      </c>
      <c r="B632" t="s">
        <v>2024</v>
      </c>
      <c r="C632">
        <v>1987</v>
      </c>
      <c r="E632" t="s">
        <v>3292</v>
      </c>
    </row>
    <row r="633" spans="1:5" x14ac:dyDescent="0.25">
      <c r="A633" t="s">
        <v>1796</v>
      </c>
      <c r="B633" t="s">
        <v>2054</v>
      </c>
      <c r="C633">
        <v>1987</v>
      </c>
      <c r="E633" t="s">
        <v>3293</v>
      </c>
    </row>
    <row r="634" spans="1:5" x14ac:dyDescent="0.25">
      <c r="A634" t="s">
        <v>1796</v>
      </c>
      <c r="B634" t="s">
        <v>2108</v>
      </c>
      <c r="C634">
        <v>1987</v>
      </c>
      <c r="E634" t="s">
        <v>3142</v>
      </c>
    </row>
    <row r="635" spans="1:5" x14ac:dyDescent="0.25">
      <c r="A635" t="s">
        <v>1796</v>
      </c>
      <c r="B635" t="s">
        <v>2349</v>
      </c>
      <c r="C635">
        <v>1987</v>
      </c>
      <c r="E635" t="s">
        <v>3294</v>
      </c>
    </row>
    <row r="636" spans="1:5" x14ac:dyDescent="0.25">
      <c r="A636" t="s">
        <v>1796</v>
      </c>
      <c r="B636" t="s">
        <v>2429</v>
      </c>
      <c r="C636">
        <v>1987</v>
      </c>
      <c r="E636" t="s">
        <v>3295</v>
      </c>
    </row>
    <row r="637" spans="1:5" x14ac:dyDescent="0.25">
      <c r="A637" t="s">
        <v>1796</v>
      </c>
      <c r="B637" t="s">
        <v>2490</v>
      </c>
      <c r="C637">
        <v>1987</v>
      </c>
      <c r="E637" t="s">
        <v>3263</v>
      </c>
    </row>
    <row r="638" spans="1:5" x14ac:dyDescent="0.25">
      <c r="A638" t="s">
        <v>1796</v>
      </c>
      <c r="B638" t="s">
        <v>2544</v>
      </c>
      <c r="C638">
        <v>1987</v>
      </c>
      <c r="E638" t="s">
        <v>3296</v>
      </c>
    </row>
    <row r="639" spans="1:5" x14ac:dyDescent="0.25">
      <c r="A639" t="s">
        <v>1796</v>
      </c>
      <c r="B639" t="s">
        <v>2793</v>
      </c>
      <c r="C639">
        <v>1987</v>
      </c>
      <c r="E639" t="s">
        <v>3297</v>
      </c>
    </row>
    <row r="640" spans="1:5" x14ac:dyDescent="0.25">
      <c r="A640" t="s">
        <v>1796</v>
      </c>
      <c r="B640" t="s">
        <v>2867</v>
      </c>
      <c r="C640">
        <v>1987</v>
      </c>
      <c r="E640" t="s">
        <v>3298</v>
      </c>
    </row>
    <row r="641" spans="1:5" x14ac:dyDescent="0.25">
      <c r="A641" t="s">
        <v>1814</v>
      </c>
      <c r="B641" t="s">
        <v>1812</v>
      </c>
      <c r="C641">
        <v>2024</v>
      </c>
      <c r="D641" t="s">
        <v>187</v>
      </c>
    </row>
    <row r="642" spans="1:5" x14ac:dyDescent="0.25">
      <c r="A642" t="s">
        <v>1818</v>
      </c>
      <c r="B642" t="s">
        <v>604</v>
      </c>
      <c r="C642">
        <v>2019</v>
      </c>
      <c r="E642" t="s">
        <v>3299</v>
      </c>
    </row>
    <row r="643" spans="1:5" x14ac:dyDescent="0.25">
      <c r="A643" t="s">
        <v>1818</v>
      </c>
      <c r="B643" t="s">
        <v>1595</v>
      </c>
      <c r="C643">
        <v>2019</v>
      </c>
      <c r="E643" t="s">
        <v>3300</v>
      </c>
    </row>
    <row r="644" spans="1:5" x14ac:dyDescent="0.25">
      <c r="A644" t="s">
        <v>1818</v>
      </c>
      <c r="B644" t="s">
        <v>1942</v>
      </c>
      <c r="C644">
        <v>2019</v>
      </c>
      <c r="E644" t="s">
        <v>3301</v>
      </c>
    </row>
    <row r="645" spans="1:5" x14ac:dyDescent="0.25">
      <c r="A645" t="s">
        <v>1818</v>
      </c>
      <c r="B645" t="s">
        <v>2027</v>
      </c>
      <c r="C645">
        <v>2019</v>
      </c>
      <c r="E645" t="s">
        <v>3302</v>
      </c>
    </row>
    <row r="646" spans="1:5" x14ac:dyDescent="0.25">
      <c r="A646" t="s">
        <v>1818</v>
      </c>
      <c r="B646" t="s">
        <v>2497</v>
      </c>
      <c r="C646">
        <v>2019</v>
      </c>
      <c r="E646" t="s">
        <v>3303</v>
      </c>
    </row>
    <row r="647" spans="1:5" x14ac:dyDescent="0.25">
      <c r="A647" t="s">
        <v>1852</v>
      </c>
      <c r="B647" t="s">
        <v>730</v>
      </c>
      <c r="C647">
        <v>2024</v>
      </c>
      <c r="E647" t="s">
        <v>3027</v>
      </c>
    </row>
    <row r="648" spans="1:5" x14ac:dyDescent="0.25">
      <c r="A648" t="s">
        <v>1852</v>
      </c>
      <c r="B648" t="s">
        <v>1956</v>
      </c>
      <c r="C648">
        <v>2024</v>
      </c>
      <c r="E648" t="s">
        <v>3039</v>
      </c>
    </row>
    <row r="649" spans="1:5" x14ac:dyDescent="0.25">
      <c r="A649" t="s">
        <v>1856</v>
      </c>
      <c r="B649" t="s">
        <v>245</v>
      </c>
      <c r="C649">
        <v>2015</v>
      </c>
      <c r="E649" t="s">
        <v>3186</v>
      </c>
    </row>
    <row r="650" spans="1:5" x14ac:dyDescent="0.25">
      <c r="A650" t="s">
        <v>1856</v>
      </c>
      <c r="B650" t="s">
        <v>319</v>
      </c>
      <c r="C650">
        <v>2015</v>
      </c>
      <c r="E650" t="s">
        <v>2983</v>
      </c>
    </row>
    <row r="651" spans="1:5" x14ac:dyDescent="0.25">
      <c r="A651" t="s">
        <v>1856</v>
      </c>
      <c r="B651" t="s">
        <v>333</v>
      </c>
      <c r="C651">
        <v>2015</v>
      </c>
      <c r="E651" t="s">
        <v>3188</v>
      </c>
    </row>
    <row r="652" spans="1:5" x14ac:dyDescent="0.25">
      <c r="A652" t="s">
        <v>1856</v>
      </c>
      <c r="B652" t="s">
        <v>431</v>
      </c>
      <c r="C652">
        <v>2015</v>
      </c>
      <c r="E652" t="s">
        <v>2983</v>
      </c>
    </row>
    <row r="653" spans="1:5" x14ac:dyDescent="0.25">
      <c r="A653" t="s">
        <v>1856</v>
      </c>
      <c r="B653" t="s">
        <v>629</v>
      </c>
      <c r="C653">
        <v>2015</v>
      </c>
      <c r="E653" t="s">
        <v>3304</v>
      </c>
    </row>
    <row r="654" spans="1:5" x14ac:dyDescent="0.25">
      <c r="A654" t="s">
        <v>1856</v>
      </c>
      <c r="B654" t="s">
        <v>763</v>
      </c>
      <c r="C654">
        <v>2015</v>
      </c>
      <c r="E654" t="s">
        <v>3305</v>
      </c>
    </row>
    <row r="655" spans="1:5" x14ac:dyDescent="0.25">
      <c r="A655" t="s">
        <v>1856</v>
      </c>
      <c r="B655" t="s">
        <v>1047</v>
      </c>
      <c r="C655">
        <v>2015</v>
      </c>
      <c r="E655" t="s">
        <v>3306</v>
      </c>
    </row>
    <row r="656" spans="1:5" x14ac:dyDescent="0.25">
      <c r="A656" t="s">
        <v>1856</v>
      </c>
      <c r="B656" t="s">
        <v>1236</v>
      </c>
      <c r="C656">
        <v>2015</v>
      </c>
      <c r="E656" t="s">
        <v>3307</v>
      </c>
    </row>
    <row r="657" spans="1:5" x14ac:dyDescent="0.25">
      <c r="A657" t="s">
        <v>1856</v>
      </c>
      <c r="B657" t="s">
        <v>7760</v>
      </c>
      <c r="C657">
        <v>2015</v>
      </c>
      <c r="E657" t="s">
        <v>7763</v>
      </c>
    </row>
    <row r="658" spans="1:5" x14ac:dyDescent="0.25">
      <c r="A658" t="s">
        <v>1856</v>
      </c>
      <c r="B658" t="s">
        <v>1318</v>
      </c>
      <c r="C658">
        <v>2015</v>
      </c>
      <c r="E658" t="s">
        <v>3010</v>
      </c>
    </row>
    <row r="659" spans="1:5" x14ac:dyDescent="0.25">
      <c r="A659" t="s">
        <v>1856</v>
      </c>
      <c r="B659" t="s">
        <v>1542</v>
      </c>
      <c r="C659">
        <v>2015</v>
      </c>
      <c r="E659" t="s">
        <v>3161</v>
      </c>
    </row>
    <row r="660" spans="1:5" x14ac:dyDescent="0.25">
      <c r="A660" t="s">
        <v>1856</v>
      </c>
      <c r="B660" t="s">
        <v>1772</v>
      </c>
      <c r="C660">
        <v>2015</v>
      </c>
      <c r="E660" t="s">
        <v>3192</v>
      </c>
    </row>
    <row r="661" spans="1:5" x14ac:dyDescent="0.25">
      <c r="A661" t="s">
        <v>1856</v>
      </c>
      <c r="B661" t="s">
        <v>1878</v>
      </c>
      <c r="C661">
        <v>2015</v>
      </c>
      <c r="E661" t="s">
        <v>3193</v>
      </c>
    </row>
    <row r="662" spans="1:5" x14ac:dyDescent="0.25">
      <c r="A662" t="s">
        <v>1856</v>
      </c>
      <c r="B662" t="s">
        <v>1880</v>
      </c>
      <c r="C662">
        <v>2015</v>
      </c>
      <c r="E662" t="s">
        <v>3308</v>
      </c>
    </row>
    <row r="663" spans="1:5" x14ac:dyDescent="0.25">
      <c r="A663" t="s">
        <v>1856</v>
      </c>
      <c r="B663" t="s">
        <v>1896</v>
      </c>
      <c r="C663">
        <v>2015</v>
      </c>
      <c r="E663" t="s">
        <v>3213</v>
      </c>
    </row>
    <row r="664" spans="1:5" x14ac:dyDescent="0.25">
      <c r="A664" t="s">
        <v>1856</v>
      </c>
      <c r="B664" t="s">
        <v>2057</v>
      </c>
      <c r="C664">
        <v>2015</v>
      </c>
      <c r="E664" t="s">
        <v>3195</v>
      </c>
    </row>
    <row r="665" spans="1:5" x14ac:dyDescent="0.25">
      <c r="A665" t="s">
        <v>1856</v>
      </c>
      <c r="B665" t="s">
        <v>2085</v>
      </c>
      <c r="C665">
        <v>2015</v>
      </c>
      <c r="E665" t="s">
        <v>2983</v>
      </c>
    </row>
    <row r="666" spans="1:5" x14ac:dyDescent="0.25">
      <c r="A666" t="s">
        <v>1856</v>
      </c>
      <c r="B666" t="s">
        <v>2147</v>
      </c>
      <c r="C666">
        <v>2015</v>
      </c>
      <c r="E666" t="s">
        <v>3125</v>
      </c>
    </row>
    <row r="667" spans="1:5" x14ac:dyDescent="0.25">
      <c r="A667" t="s">
        <v>1856</v>
      </c>
      <c r="B667" t="s">
        <v>2151</v>
      </c>
      <c r="C667">
        <v>2015</v>
      </c>
      <c r="E667" t="s">
        <v>2983</v>
      </c>
    </row>
    <row r="668" spans="1:5" x14ac:dyDescent="0.25">
      <c r="A668" t="s">
        <v>1856</v>
      </c>
      <c r="B668" t="s">
        <v>2493</v>
      </c>
      <c r="C668">
        <v>2015</v>
      </c>
      <c r="E668" t="s">
        <v>2496</v>
      </c>
    </row>
    <row r="669" spans="1:5" x14ac:dyDescent="0.25">
      <c r="A669" t="s">
        <v>1856</v>
      </c>
      <c r="B669" t="s">
        <v>2699</v>
      </c>
      <c r="C669">
        <v>2015</v>
      </c>
      <c r="E669" t="s">
        <v>3197</v>
      </c>
    </row>
    <row r="670" spans="1:5" x14ac:dyDescent="0.25">
      <c r="A670" t="s">
        <v>1856</v>
      </c>
      <c r="B670" t="s">
        <v>2835</v>
      </c>
      <c r="C670">
        <v>2015</v>
      </c>
      <c r="E670" t="s">
        <v>3309</v>
      </c>
    </row>
    <row r="671" spans="1:5" x14ac:dyDescent="0.25">
      <c r="A671" t="s">
        <v>1883</v>
      </c>
      <c r="B671" t="s">
        <v>1421</v>
      </c>
      <c r="C671">
        <v>1987</v>
      </c>
      <c r="E671" t="s">
        <v>2993</v>
      </c>
    </row>
    <row r="672" spans="1:5" x14ac:dyDescent="0.25">
      <c r="A672" t="s">
        <v>1883</v>
      </c>
      <c r="B672" t="s">
        <v>2277</v>
      </c>
      <c r="C672">
        <v>1987</v>
      </c>
      <c r="E672" t="s">
        <v>2997</v>
      </c>
    </row>
    <row r="673" spans="1:5" x14ac:dyDescent="0.25">
      <c r="A673" t="s">
        <v>1883</v>
      </c>
      <c r="B673" t="s">
        <v>2793</v>
      </c>
      <c r="C673">
        <v>1987</v>
      </c>
      <c r="E673" t="s">
        <v>3297</v>
      </c>
    </row>
    <row r="674" spans="1:5" x14ac:dyDescent="0.25">
      <c r="A674" t="s">
        <v>1886</v>
      </c>
      <c r="B674" t="s">
        <v>1892</v>
      </c>
      <c r="C674">
        <v>2015</v>
      </c>
      <c r="D674" t="s">
        <v>187</v>
      </c>
    </row>
    <row r="675" spans="1:5" x14ac:dyDescent="0.25">
      <c r="A675" t="s">
        <v>1892</v>
      </c>
      <c r="B675" t="s">
        <v>1888</v>
      </c>
      <c r="C675">
        <v>2017</v>
      </c>
      <c r="D675" t="s">
        <v>187</v>
      </c>
    </row>
    <row r="676" spans="1:5" x14ac:dyDescent="0.25">
      <c r="A676" t="s">
        <v>1900</v>
      </c>
      <c r="B676" t="s">
        <v>1759</v>
      </c>
      <c r="C676">
        <v>2014</v>
      </c>
      <c r="D676" t="s">
        <v>187</v>
      </c>
    </row>
    <row r="677" spans="1:5" x14ac:dyDescent="0.25">
      <c r="A677" t="s">
        <v>1934</v>
      </c>
      <c r="B677" t="s">
        <v>1476</v>
      </c>
      <c r="C677">
        <v>2021</v>
      </c>
      <c r="E677" t="s">
        <v>2983</v>
      </c>
    </row>
    <row r="678" spans="1:5" x14ac:dyDescent="0.25">
      <c r="A678" t="s">
        <v>1948</v>
      </c>
      <c r="B678" t="s">
        <v>2660</v>
      </c>
      <c r="C678">
        <v>2021</v>
      </c>
      <c r="E678" t="s">
        <v>3259</v>
      </c>
    </row>
    <row r="679" spans="1:5" x14ac:dyDescent="0.25">
      <c r="A679" t="s">
        <v>1952</v>
      </c>
      <c r="B679" t="s">
        <v>299</v>
      </c>
      <c r="C679">
        <v>2022</v>
      </c>
      <c r="E679" t="s">
        <v>3310</v>
      </c>
    </row>
    <row r="680" spans="1:5" x14ac:dyDescent="0.25">
      <c r="A680" t="s">
        <v>1952</v>
      </c>
      <c r="B680" t="s">
        <v>706</v>
      </c>
      <c r="C680">
        <v>2022</v>
      </c>
      <c r="E680" t="s">
        <v>3026</v>
      </c>
    </row>
    <row r="681" spans="1:5" x14ac:dyDescent="0.25">
      <c r="A681" t="s">
        <v>1952</v>
      </c>
      <c r="B681" t="s">
        <v>961</v>
      </c>
      <c r="C681">
        <v>2022</v>
      </c>
      <c r="E681" t="s">
        <v>3147</v>
      </c>
    </row>
    <row r="682" spans="1:5" x14ac:dyDescent="0.25">
      <c r="A682" t="s">
        <v>1952</v>
      </c>
      <c r="B682" t="s">
        <v>1956</v>
      </c>
      <c r="C682">
        <v>2022</v>
      </c>
      <c r="E682" t="s">
        <v>3039</v>
      </c>
    </row>
    <row r="683" spans="1:5" x14ac:dyDescent="0.25">
      <c r="A683" t="s">
        <v>1952</v>
      </c>
      <c r="B683" t="s">
        <v>2230</v>
      </c>
      <c r="C683">
        <v>2022</v>
      </c>
      <c r="E683" t="s">
        <v>3311</v>
      </c>
    </row>
    <row r="684" spans="1:5" x14ac:dyDescent="0.25">
      <c r="A684" t="s">
        <v>1952</v>
      </c>
      <c r="B684" t="s">
        <v>2476</v>
      </c>
      <c r="C684">
        <v>2022</v>
      </c>
      <c r="E684" t="s">
        <v>3051</v>
      </c>
    </row>
    <row r="685" spans="1:5" x14ac:dyDescent="0.25">
      <c r="A685" t="s">
        <v>1971</v>
      </c>
      <c r="B685" t="s">
        <v>1904</v>
      </c>
      <c r="C685">
        <v>2012</v>
      </c>
      <c r="E685" t="s">
        <v>3312</v>
      </c>
    </row>
    <row r="686" spans="1:5" x14ac:dyDescent="0.25">
      <c r="A686" t="s">
        <v>1971</v>
      </c>
      <c r="B686" t="s">
        <v>2287</v>
      </c>
      <c r="C686">
        <v>2012</v>
      </c>
      <c r="D686" t="s">
        <v>187</v>
      </c>
    </row>
    <row r="687" spans="1:5" x14ac:dyDescent="0.25">
      <c r="A687" t="s">
        <v>1996</v>
      </c>
      <c r="B687" t="s">
        <v>1999</v>
      </c>
      <c r="C687">
        <v>2021</v>
      </c>
    </row>
    <row r="688" spans="1:5" x14ac:dyDescent="0.25">
      <c r="A688" t="s">
        <v>2005</v>
      </c>
      <c r="B688" t="s">
        <v>2002</v>
      </c>
      <c r="C688">
        <v>2007</v>
      </c>
      <c r="D688" t="s">
        <v>187</v>
      </c>
    </row>
    <row r="689" spans="1:5" x14ac:dyDescent="0.25">
      <c r="A689" t="s">
        <v>2010</v>
      </c>
      <c r="B689" t="s">
        <v>1926</v>
      </c>
      <c r="C689">
        <v>2005</v>
      </c>
      <c r="E689" t="s">
        <v>3313</v>
      </c>
    </row>
    <row r="690" spans="1:5" x14ac:dyDescent="0.25">
      <c r="A690" t="s">
        <v>2010</v>
      </c>
      <c r="B690" t="s">
        <v>2005</v>
      </c>
      <c r="C690">
        <v>2005</v>
      </c>
      <c r="D690" t="s">
        <v>187</v>
      </c>
    </row>
    <row r="691" spans="1:5" x14ac:dyDescent="0.25">
      <c r="A691" t="s">
        <v>2010</v>
      </c>
      <c r="B691" t="s">
        <v>2008</v>
      </c>
      <c r="C691">
        <v>2005</v>
      </c>
      <c r="D691" t="s">
        <v>187</v>
      </c>
    </row>
    <row r="692" spans="1:5" x14ac:dyDescent="0.25">
      <c r="A692" t="s">
        <v>2010</v>
      </c>
      <c r="B692" t="s">
        <v>2013</v>
      </c>
      <c r="C692">
        <v>2005</v>
      </c>
      <c r="D692" t="s">
        <v>187</v>
      </c>
    </row>
    <row r="693" spans="1:5" x14ac:dyDescent="0.25">
      <c r="A693" t="s">
        <v>2010</v>
      </c>
      <c r="B693" t="s">
        <v>2015</v>
      </c>
      <c r="C693">
        <v>2005</v>
      </c>
      <c r="D693" t="s">
        <v>187</v>
      </c>
    </row>
    <row r="694" spans="1:5" x14ac:dyDescent="0.25">
      <c r="A694" t="s">
        <v>2017</v>
      </c>
      <c r="B694" t="s">
        <v>1705</v>
      </c>
      <c r="C694">
        <v>2024</v>
      </c>
      <c r="E694" t="s">
        <v>2987</v>
      </c>
    </row>
    <row r="695" spans="1:5" x14ac:dyDescent="0.25">
      <c r="A695" t="s">
        <v>2017</v>
      </c>
      <c r="B695" t="s">
        <v>2019</v>
      </c>
      <c r="C695">
        <v>2024</v>
      </c>
      <c r="E695" t="s">
        <v>3250</v>
      </c>
    </row>
    <row r="696" spans="1:5" x14ac:dyDescent="0.25">
      <c r="A696" t="s">
        <v>2022</v>
      </c>
      <c r="B696" t="s">
        <v>233</v>
      </c>
      <c r="C696">
        <v>2020</v>
      </c>
      <c r="E696" t="s">
        <v>3314</v>
      </c>
    </row>
    <row r="697" spans="1:5" x14ac:dyDescent="0.25">
      <c r="A697" t="s">
        <v>2024</v>
      </c>
      <c r="B697" t="s">
        <v>178</v>
      </c>
      <c r="C697">
        <v>2003</v>
      </c>
      <c r="E697" t="s">
        <v>3277</v>
      </c>
    </row>
    <row r="698" spans="1:5" x14ac:dyDescent="0.25">
      <c r="A698" t="s">
        <v>2024</v>
      </c>
      <c r="B698" t="s">
        <v>540</v>
      </c>
      <c r="C698">
        <v>2003</v>
      </c>
      <c r="E698" t="s">
        <v>3260</v>
      </c>
    </row>
    <row r="699" spans="1:5" x14ac:dyDescent="0.25">
      <c r="A699" t="s">
        <v>2024</v>
      </c>
      <c r="B699" t="s">
        <v>1318</v>
      </c>
      <c r="C699">
        <v>2003</v>
      </c>
      <c r="E699" t="s">
        <v>3315</v>
      </c>
    </row>
    <row r="700" spans="1:5" x14ac:dyDescent="0.25">
      <c r="A700" t="s">
        <v>2024</v>
      </c>
      <c r="B700" t="s">
        <v>2635</v>
      </c>
      <c r="C700">
        <v>2003</v>
      </c>
      <c r="E700" t="s">
        <v>3005</v>
      </c>
    </row>
    <row r="701" spans="1:5" x14ac:dyDescent="0.25">
      <c r="A701" t="s">
        <v>2024</v>
      </c>
      <c r="B701" t="s">
        <v>2865</v>
      </c>
      <c r="C701">
        <v>2003</v>
      </c>
      <c r="E701" t="s">
        <v>3316</v>
      </c>
    </row>
    <row r="702" spans="1:5" x14ac:dyDescent="0.25">
      <c r="A702" t="s">
        <v>2054</v>
      </c>
      <c r="B702" t="s">
        <v>1401</v>
      </c>
      <c r="C702">
        <v>1992</v>
      </c>
      <c r="E702" t="s">
        <v>2992</v>
      </c>
    </row>
    <row r="703" spans="1:5" x14ac:dyDescent="0.25">
      <c r="A703" t="s">
        <v>2066</v>
      </c>
      <c r="B703" t="s">
        <v>2282</v>
      </c>
      <c r="C703">
        <v>2023</v>
      </c>
      <c r="E703" t="s">
        <v>3216</v>
      </c>
    </row>
    <row r="704" spans="1:5" x14ac:dyDescent="0.25">
      <c r="A704" t="s">
        <v>2074</v>
      </c>
      <c r="B704" t="s">
        <v>198</v>
      </c>
      <c r="C704">
        <v>2010</v>
      </c>
      <c r="E704" t="s">
        <v>2983</v>
      </c>
    </row>
    <row r="705" spans="1:5" x14ac:dyDescent="0.25">
      <c r="A705" t="s">
        <v>2074</v>
      </c>
      <c r="B705" t="s">
        <v>2568</v>
      </c>
      <c r="C705">
        <v>2010</v>
      </c>
      <c r="E705" t="s">
        <v>2983</v>
      </c>
    </row>
    <row r="706" spans="1:5" x14ac:dyDescent="0.25">
      <c r="A706" t="s">
        <v>2081</v>
      </c>
      <c r="B706" t="s">
        <v>2929</v>
      </c>
      <c r="C706">
        <v>2015</v>
      </c>
      <c r="E706" t="s">
        <v>2983</v>
      </c>
    </row>
    <row r="707" spans="1:5" x14ac:dyDescent="0.25">
      <c r="A707" t="s">
        <v>2096</v>
      </c>
      <c r="B707" t="s">
        <v>741</v>
      </c>
      <c r="C707">
        <v>2023</v>
      </c>
      <c r="E707" t="s">
        <v>3317</v>
      </c>
    </row>
    <row r="708" spans="1:5" x14ac:dyDescent="0.25">
      <c r="A708" t="s">
        <v>2096</v>
      </c>
      <c r="B708" t="s">
        <v>2525</v>
      </c>
      <c r="C708">
        <v>2023</v>
      </c>
      <c r="E708" t="s">
        <v>3318</v>
      </c>
    </row>
    <row r="709" spans="1:5" x14ac:dyDescent="0.25">
      <c r="A709" t="s">
        <v>2108</v>
      </c>
      <c r="B709" t="s">
        <v>1938</v>
      </c>
      <c r="C709">
        <v>2020</v>
      </c>
      <c r="E709" t="s">
        <v>1941</v>
      </c>
    </row>
    <row r="710" spans="1:5" x14ac:dyDescent="0.25">
      <c r="A710" t="s">
        <v>2108</v>
      </c>
      <c r="B710" t="s">
        <v>2112</v>
      </c>
      <c r="C710">
        <v>2020</v>
      </c>
      <c r="D710" t="s">
        <v>187</v>
      </c>
    </row>
    <row r="711" spans="1:5" x14ac:dyDescent="0.25">
      <c r="A711" t="s">
        <v>2112</v>
      </c>
      <c r="B711" t="s">
        <v>2116</v>
      </c>
      <c r="C711">
        <v>2024</v>
      </c>
      <c r="D711" t="s">
        <v>187</v>
      </c>
    </row>
    <row r="712" spans="1:5" x14ac:dyDescent="0.25">
      <c r="A712" t="s">
        <v>2123</v>
      </c>
      <c r="B712" t="s">
        <v>2897</v>
      </c>
      <c r="C712">
        <v>2020</v>
      </c>
      <c r="D712" t="s">
        <v>187</v>
      </c>
    </row>
    <row r="713" spans="1:5" x14ac:dyDescent="0.25">
      <c r="A713" t="s">
        <v>2131</v>
      </c>
      <c r="B713" t="s">
        <v>2255</v>
      </c>
      <c r="C713">
        <v>2017</v>
      </c>
      <c r="E713" t="s">
        <v>2983</v>
      </c>
    </row>
    <row r="714" spans="1:5" x14ac:dyDescent="0.25">
      <c r="A714" t="s">
        <v>2133</v>
      </c>
      <c r="B714" t="s">
        <v>759</v>
      </c>
      <c r="C714">
        <v>2013</v>
      </c>
      <c r="E714" t="s">
        <v>3319</v>
      </c>
    </row>
    <row r="715" spans="1:5" x14ac:dyDescent="0.25">
      <c r="A715" t="s">
        <v>2133</v>
      </c>
      <c r="B715" t="s">
        <v>1418</v>
      </c>
      <c r="C715">
        <v>2013</v>
      </c>
      <c r="E715" t="s">
        <v>3320</v>
      </c>
    </row>
    <row r="716" spans="1:5" x14ac:dyDescent="0.25">
      <c r="A716" t="s">
        <v>2133</v>
      </c>
      <c r="B716" t="s">
        <v>2032</v>
      </c>
      <c r="C716">
        <v>2013</v>
      </c>
      <c r="E716" t="s">
        <v>3237</v>
      </c>
    </row>
    <row r="717" spans="1:5" x14ac:dyDescent="0.25">
      <c r="A717" t="s">
        <v>2133</v>
      </c>
      <c r="B717" t="s">
        <v>2137</v>
      </c>
      <c r="C717">
        <v>2013</v>
      </c>
      <c r="D717" t="s">
        <v>187</v>
      </c>
    </row>
    <row r="718" spans="1:5" x14ac:dyDescent="0.25">
      <c r="A718" t="s">
        <v>2133</v>
      </c>
      <c r="B718" t="s">
        <v>2141</v>
      </c>
      <c r="C718">
        <v>2013</v>
      </c>
      <c r="D718" t="s">
        <v>187</v>
      </c>
    </row>
    <row r="719" spans="1:5" x14ac:dyDescent="0.25">
      <c r="A719" t="s">
        <v>2133</v>
      </c>
      <c r="B719" t="s">
        <v>2282</v>
      </c>
      <c r="C719">
        <v>2013</v>
      </c>
      <c r="E719" t="s">
        <v>3216</v>
      </c>
    </row>
    <row r="720" spans="1:5" x14ac:dyDescent="0.25">
      <c r="A720" t="s">
        <v>2133</v>
      </c>
      <c r="B720" t="s">
        <v>2557</v>
      </c>
      <c r="C720">
        <v>2013</v>
      </c>
      <c r="E720" t="s">
        <v>3321</v>
      </c>
    </row>
    <row r="721" spans="1:5" x14ac:dyDescent="0.25">
      <c r="A721" t="s">
        <v>2133</v>
      </c>
      <c r="B721" t="s">
        <v>2891</v>
      </c>
      <c r="C721">
        <v>2013</v>
      </c>
      <c r="E721" t="s">
        <v>3078</v>
      </c>
    </row>
    <row r="722" spans="1:5" x14ac:dyDescent="0.25">
      <c r="A722" t="s">
        <v>2137</v>
      </c>
      <c r="B722" t="s">
        <v>741</v>
      </c>
      <c r="C722">
        <v>2020</v>
      </c>
      <c r="E722" t="s">
        <v>3136</v>
      </c>
    </row>
    <row r="723" spans="1:5" x14ac:dyDescent="0.25">
      <c r="A723" t="s">
        <v>2137</v>
      </c>
      <c r="B723" t="s">
        <v>1043</v>
      </c>
      <c r="C723">
        <v>2020</v>
      </c>
      <c r="E723" t="s">
        <v>3322</v>
      </c>
    </row>
    <row r="724" spans="1:5" x14ac:dyDescent="0.25">
      <c r="A724" t="s">
        <v>2137</v>
      </c>
      <c r="B724" t="s">
        <v>1060</v>
      </c>
      <c r="C724">
        <v>2020</v>
      </c>
      <c r="E724" t="s">
        <v>2983</v>
      </c>
    </row>
    <row r="725" spans="1:5" x14ac:dyDescent="0.25">
      <c r="A725" t="s">
        <v>2137</v>
      </c>
      <c r="B725" t="s">
        <v>1169</v>
      </c>
      <c r="C725">
        <v>2020</v>
      </c>
      <c r="E725" t="s">
        <v>3014</v>
      </c>
    </row>
    <row r="726" spans="1:5" x14ac:dyDescent="0.25">
      <c r="A726" t="s">
        <v>2137</v>
      </c>
      <c r="B726" t="s">
        <v>1562</v>
      </c>
      <c r="C726">
        <v>2020</v>
      </c>
      <c r="E726" t="s">
        <v>3276</v>
      </c>
    </row>
    <row r="727" spans="1:5" x14ac:dyDescent="0.25">
      <c r="A727" t="s">
        <v>2137</v>
      </c>
      <c r="B727" t="s">
        <v>1622</v>
      </c>
      <c r="C727">
        <v>2020</v>
      </c>
      <c r="E727" t="s">
        <v>2983</v>
      </c>
    </row>
    <row r="728" spans="1:5" x14ac:dyDescent="0.25">
      <c r="A728" t="s">
        <v>2137</v>
      </c>
      <c r="B728" t="s">
        <v>1724</v>
      </c>
      <c r="C728">
        <v>2020</v>
      </c>
      <c r="E728" t="s">
        <v>2983</v>
      </c>
    </row>
    <row r="729" spans="1:5" x14ac:dyDescent="0.25">
      <c r="A729" t="s">
        <v>2137</v>
      </c>
      <c r="B729" t="s">
        <v>1753</v>
      </c>
      <c r="C729">
        <v>2020</v>
      </c>
      <c r="E729" t="s">
        <v>3323</v>
      </c>
    </row>
    <row r="730" spans="1:5" x14ac:dyDescent="0.25">
      <c r="A730" t="s">
        <v>2137</v>
      </c>
      <c r="B730" t="s">
        <v>2017</v>
      </c>
      <c r="C730">
        <v>2020</v>
      </c>
      <c r="E730" t="s">
        <v>2983</v>
      </c>
    </row>
    <row r="731" spans="1:5" x14ac:dyDescent="0.25">
      <c r="A731" t="s">
        <v>2137</v>
      </c>
      <c r="B731" t="s">
        <v>2274</v>
      </c>
      <c r="C731">
        <v>2020</v>
      </c>
      <c r="E731" t="s">
        <v>2983</v>
      </c>
    </row>
    <row r="732" spans="1:5" x14ac:dyDescent="0.25">
      <c r="A732" t="s">
        <v>2137</v>
      </c>
      <c r="B732" t="s">
        <v>2284</v>
      </c>
      <c r="C732">
        <v>2020</v>
      </c>
      <c r="E732" t="s">
        <v>3072</v>
      </c>
    </row>
    <row r="733" spans="1:5" x14ac:dyDescent="0.25">
      <c r="A733" t="s">
        <v>2137</v>
      </c>
      <c r="B733" t="s">
        <v>2525</v>
      </c>
      <c r="C733">
        <v>2020</v>
      </c>
      <c r="E733" t="s">
        <v>3318</v>
      </c>
    </row>
    <row r="734" spans="1:5" x14ac:dyDescent="0.25">
      <c r="A734" t="s">
        <v>2137</v>
      </c>
      <c r="B734" t="s">
        <v>2597</v>
      </c>
      <c r="C734">
        <v>2020</v>
      </c>
      <c r="E734" t="s">
        <v>3324</v>
      </c>
    </row>
    <row r="735" spans="1:5" x14ac:dyDescent="0.25">
      <c r="A735" t="s">
        <v>2137</v>
      </c>
      <c r="B735" t="s">
        <v>2613</v>
      </c>
      <c r="C735">
        <v>2020</v>
      </c>
      <c r="E735" t="s">
        <v>3325</v>
      </c>
    </row>
    <row r="736" spans="1:5" x14ac:dyDescent="0.25">
      <c r="A736" t="s">
        <v>2137</v>
      </c>
      <c r="B736" t="s">
        <v>2813</v>
      </c>
      <c r="C736">
        <v>2020</v>
      </c>
      <c r="E736" t="s">
        <v>3084</v>
      </c>
    </row>
    <row r="737" spans="1:5" x14ac:dyDescent="0.25">
      <c r="A737" t="s">
        <v>2147</v>
      </c>
      <c r="B737" t="s">
        <v>488</v>
      </c>
      <c r="C737">
        <v>2020</v>
      </c>
      <c r="E737" t="s">
        <v>3222</v>
      </c>
    </row>
    <row r="738" spans="1:5" x14ac:dyDescent="0.25">
      <c r="A738" t="s">
        <v>2147</v>
      </c>
      <c r="B738" t="s">
        <v>2525</v>
      </c>
      <c r="C738">
        <v>2020</v>
      </c>
      <c r="E738" t="s">
        <v>3318</v>
      </c>
    </row>
    <row r="739" spans="1:5" x14ac:dyDescent="0.25">
      <c r="A739" t="s">
        <v>2155</v>
      </c>
      <c r="B739" t="s">
        <v>205</v>
      </c>
      <c r="C739">
        <v>1980</v>
      </c>
      <c r="E739" t="s">
        <v>3326</v>
      </c>
    </row>
    <row r="740" spans="1:5" x14ac:dyDescent="0.25">
      <c r="A740" t="s">
        <v>2155</v>
      </c>
      <c r="B740" t="s">
        <v>490</v>
      </c>
      <c r="C740">
        <v>1980</v>
      </c>
      <c r="E740" t="s">
        <v>3327</v>
      </c>
    </row>
    <row r="741" spans="1:5" x14ac:dyDescent="0.25">
      <c r="A741" t="s">
        <v>2155</v>
      </c>
      <c r="B741" t="s">
        <v>522</v>
      </c>
      <c r="C741">
        <v>1980</v>
      </c>
    </row>
    <row r="742" spans="1:5" x14ac:dyDescent="0.25">
      <c r="A742" t="s">
        <v>2155</v>
      </c>
      <c r="B742" t="s">
        <v>546</v>
      </c>
      <c r="C742">
        <v>1980</v>
      </c>
      <c r="E742" t="s">
        <v>3328</v>
      </c>
    </row>
    <row r="743" spans="1:5" x14ac:dyDescent="0.25">
      <c r="A743" t="s">
        <v>2155</v>
      </c>
      <c r="B743" t="s">
        <v>689</v>
      </c>
      <c r="C743">
        <v>1980</v>
      </c>
      <c r="E743" t="s">
        <v>3329</v>
      </c>
    </row>
    <row r="744" spans="1:5" x14ac:dyDescent="0.25">
      <c r="A744" t="s">
        <v>2155</v>
      </c>
      <c r="B744" t="s">
        <v>1081</v>
      </c>
      <c r="C744">
        <v>1980</v>
      </c>
      <c r="E744" t="s">
        <v>3330</v>
      </c>
    </row>
    <row r="745" spans="1:5" x14ac:dyDescent="0.25">
      <c r="A745" t="s">
        <v>2155</v>
      </c>
      <c r="B745" t="s">
        <v>1228</v>
      </c>
      <c r="C745">
        <v>1980</v>
      </c>
      <c r="E745" t="s">
        <v>3331</v>
      </c>
    </row>
    <row r="746" spans="1:5" x14ac:dyDescent="0.25">
      <c r="A746" t="s">
        <v>2155</v>
      </c>
      <c r="B746" t="s">
        <v>1285</v>
      </c>
      <c r="C746">
        <v>1980</v>
      </c>
    </row>
    <row r="747" spans="1:5" x14ac:dyDescent="0.25">
      <c r="A747" t="s">
        <v>2155</v>
      </c>
      <c r="B747" t="s">
        <v>1401</v>
      </c>
      <c r="C747">
        <v>1980</v>
      </c>
      <c r="E747" t="s">
        <v>2992</v>
      </c>
    </row>
    <row r="748" spans="1:5" x14ac:dyDescent="0.25">
      <c r="A748" t="s">
        <v>2155</v>
      </c>
      <c r="B748" t="s">
        <v>1426</v>
      </c>
      <c r="C748">
        <v>1980</v>
      </c>
      <c r="E748" t="s">
        <v>2983</v>
      </c>
    </row>
    <row r="749" spans="1:5" x14ac:dyDescent="0.25">
      <c r="A749" t="s">
        <v>2155</v>
      </c>
      <c r="B749" t="s">
        <v>1524</v>
      </c>
      <c r="C749">
        <v>1980</v>
      </c>
      <c r="E749" t="s">
        <v>3332</v>
      </c>
    </row>
    <row r="750" spans="1:5" x14ac:dyDescent="0.25">
      <c r="A750" t="s">
        <v>2155</v>
      </c>
      <c r="B750" t="s">
        <v>1664</v>
      </c>
      <c r="C750">
        <v>1980</v>
      </c>
      <c r="E750" t="s">
        <v>3014</v>
      </c>
    </row>
    <row r="751" spans="1:5" x14ac:dyDescent="0.25">
      <c r="A751" t="s">
        <v>2155</v>
      </c>
      <c r="B751" t="s">
        <v>1726</v>
      </c>
      <c r="C751">
        <v>1980</v>
      </c>
      <c r="E751" t="s">
        <v>3333</v>
      </c>
    </row>
    <row r="752" spans="1:5" x14ac:dyDescent="0.25">
      <c r="A752" t="s">
        <v>2155</v>
      </c>
      <c r="B752" t="s">
        <v>2036</v>
      </c>
      <c r="C752">
        <v>1980</v>
      </c>
      <c r="E752" t="s">
        <v>3155</v>
      </c>
    </row>
    <row r="753" spans="1:5" x14ac:dyDescent="0.25">
      <c r="A753" t="s">
        <v>2155</v>
      </c>
      <c r="B753" t="s">
        <v>2054</v>
      </c>
      <c r="C753">
        <v>1980</v>
      </c>
      <c r="E753" t="s">
        <v>3293</v>
      </c>
    </row>
    <row r="754" spans="1:5" x14ac:dyDescent="0.25">
      <c r="A754" t="s">
        <v>2155</v>
      </c>
      <c r="B754" t="s">
        <v>2078</v>
      </c>
      <c r="C754">
        <v>1980</v>
      </c>
      <c r="E754" t="s">
        <v>3334</v>
      </c>
    </row>
    <row r="755" spans="1:5" x14ac:dyDescent="0.25">
      <c r="A755" t="s">
        <v>2155</v>
      </c>
      <c r="B755" t="s">
        <v>2167</v>
      </c>
      <c r="C755">
        <v>1980</v>
      </c>
      <c r="E755" t="s">
        <v>3335</v>
      </c>
    </row>
    <row r="756" spans="1:5" x14ac:dyDescent="0.25">
      <c r="A756" t="s">
        <v>2155</v>
      </c>
      <c r="B756" t="s">
        <v>2201</v>
      </c>
      <c r="C756">
        <v>1980</v>
      </c>
      <c r="E756" t="s">
        <v>3063</v>
      </c>
    </row>
    <row r="757" spans="1:5" x14ac:dyDescent="0.25">
      <c r="A757" t="s">
        <v>2155</v>
      </c>
      <c r="B757" t="s">
        <v>2205</v>
      </c>
      <c r="C757">
        <v>1980</v>
      </c>
      <c r="E757" t="s">
        <v>3336</v>
      </c>
    </row>
    <row r="758" spans="1:5" x14ac:dyDescent="0.25">
      <c r="A758" t="s">
        <v>2155</v>
      </c>
      <c r="B758" t="s">
        <v>2544</v>
      </c>
      <c r="C758">
        <v>1980</v>
      </c>
      <c r="E758" t="s">
        <v>3296</v>
      </c>
    </row>
    <row r="759" spans="1:5" x14ac:dyDescent="0.25">
      <c r="A759" t="s">
        <v>2155</v>
      </c>
      <c r="B759" t="s">
        <v>2626</v>
      </c>
      <c r="C759">
        <v>1980</v>
      </c>
      <c r="E759" t="s">
        <v>3335</v>
      </c>
    </row>
    <row r="760" spans="1:5" x14ac:dyDescent="0.25">
      <c r="A760" t="s">
        <v>2155</v>
      </c>
      <c r="B760" t="s">
        <v>2707</v>
      </c>
      <c r="C760">
        <v>1980</v>
      </c>
      <c r="E760" t="s">
        <v>3337</v>
      </c>
    </row>
    <row r="761" spans="1:5" x14ac:dyDescent="0.25">
      <c r="A761" t="s">
        <v>2155</v>
      </c>
      <c r="B761" t="s">
        <v>2722</v>
      </c>
      <c r="C761">
        <v>1980</v>
      </c>
      <c r="E761" t="s">
        <v>3338</v>
      </c>
    </row>
    <row r="762" spans="1:5" x14ac:dyDescent="0.25">
      <c r="A762" t="s">
        <v>2174</v>
      </c>
      <c r="B762" t="s">
        <v>689</v>
      </c>
      <c r="C762">
        <v>2013</v>
      </c>
      <c r="E762" t="s">
        <v>3329</v>
      </c>
    </row>
    <row r="763" spans="1:5" x14ac:dyDescent="0.25">
      <c r="A763" t="s">
        <v>2174</v>
      </c>
      <c r="B763" t="s">
        <v>759</v>
      </c>
      <c r="C763">
        <v>2013</v>
      </c>
      <c r="E763" t="s">
        <v>3339</v>
      </c>
    </row>
    <row r="764" spans="1:5" x14ac:dyDescent="0.25">
      <c r="A764" t="s">
        <v>2174</v>
      </c>
      <c r="B764" t="s">
        <v>1003</v>
      </c>
      <c r="C764">
        <v>2013</v>
      </c>
      <c r="E764" t="s">
        <v>3120</v>
      </c>
    </row>
    <row r="765" spans="1:5" x14ac:dyDescent="0.25">
      <c r="A765" t="s">
        <v>2174</v>
      </c>
      <c r="B765" t="s">
        <v>1105</v>
      </c>
      <c r="C765">
        <v>2013</v>
      </c>
      <c r="E765" t="s">
        <v>3340</v>
      </c>
    </row>
    <row r="766" spans="1:5" x14ac:dyDescent="0.25">
      <c r="A766" t="s">
        <v>2174</v>
      </c>
      <c r="B766" t="s">
        <v>1152</v>
      </c>
      <c r="C766">
        <v>2013</v>
      </c>
      <c r="E766" t="s">
        <v>3121</v>
      </c>
    </row>
    <row r="767" spans="1:5" x14ac:dyDescent="0.25">
      <c r="A767" t="s">
        <v>2174</v>
      </c>
      <c r="B767" t="s">
        <v>1414</v>
      </c>
      <c r="C767">
        <v>2013</v>
      </c>
      <c r="E767" t="s">
        <v>3341</v>
      </c>
    </row>
    <row r="768" spans="1:5" x14ac:dyDescent="0.25">
      <c r="A768" t="s">
        <v>2174</v>
      </c>
      <c r="B768" t="s">
        <v>1714</v>
      </c>
      <c r="C768">
        <v>2013</v>
      </c>
      <c r="E768" t="s">
        <v>3342</v>
      </c>
    </row>
    <row r="769" spans="1:5" x14ac:dyDescent="0.25">
      <c r="A769" t="s">
        <v>2174</v>
      </c>
      <c r="B769" t="s">
        <v>2170</v>
      </c>
      <c r="C769">
        <v>2013</v>
      </c>
      <c r="E769" t="s">
        <v>3343</v>
      </c>
    </row>
    <row r="770" spans="1:5" x14ac:dyDescent="0.25">
      <c r="A770" t="s">
        <v>2174</v>
      </c>
      <c r="B770" t="s">
        <v>2178</v>
      </c>
      <c r="C770">
        <v>2013</v>
      </c>
      <c r="D770" t="s">
        <v>187</v>
      </c>
    </row>
    <row r="771" spans="1:5" x14ac:dyDescent="0.25">
      <c r="A771" t="s">
        <v>2174</v>
      </c>
      <c r="B771" t="s">
        <v>2404</v>
      </c>
      <c r="C771">
        <v>2013</v>
      </c>
      <c r="E771" t="s">
        <v>3126</v>
      </c>
    </row>
    <row r="772" spans="1:5" x14ac:dyDescent="0.25">
      <c r="A772" t="s">
        <v>2174</v>
      </c>
      <c r="B772" t="s">
        <v>2499</v>
      </c>
      <c r="C772">
        <v>2013</v>
      </c>
      <c r="E772" t="s">
        <v>3344</v>
      </c>
    </row>
    <row r="773" spans="1:5" x14ac:dyDescent="0.25">
      <c r="A773" t="s">
        <v>2174</v>
      </c>
      <c r="B773" t="s">
        <v>2783</v>
      </c>
      <c r="C773">
        <v>2013</v>
      </c>
      <c r="E773" t="s">
        <v>3128</v>
      </c>
    </row>
    <row r="774" spans="1:5" x14ac:dyDescent="0.25">
      <c r="A774" t="s">
        <v>2186</v>
      </c>
      <c r="B774" t="s">
        <v>1834</v>
      </c>
      <c r="C774">
        <v>2022</v>
      </c>
      <c r="E774" t="s">
        <v>2983</v>
      </c>
    </row>
    <row r="775" spans="1:5" x14ac:dyDescent="0.25">
      <c r="A775" t="s">
        <v>2186</v>
      </c>
      <c r="B775" t="s">
        <v>2737</v>
      </c>
      <c r="C775">
        <v>2022</v>
      </c>
      <c r="E775" t="s">
        <v>3345</v>
      </c>
    </row>
    <row r="776" spans="1:5" x14ac:dyDescent="0.25">
      <c r="A776" t="s">
        <v>2197</v>
      </c>
      <c r="B776" t="s">
        <v>866</v>
      </c>
      <c r="C776">
        <v>2021</v>
      </c>
      <c r="E776" t="s">
        <v>3206</v>
      </c>
    </row>
    <row r="777" spans="1:5" x14ac:dyDescent="0.25">
      <c r="A777" t="s">
        <v>2197</v>
      </c>
      <c r="B777" t="s">
        <v>2672</v>
      </c>
      <c r="C777">
        <v>2021</v>
      </c>
      <c r="E777" t="s">
        <v>3346</v>
      </c>
    </row>
    <row r="778" spans="1:5" x14ac:dyDescent="0.25">
      <c r="A778" t="s">
        <v>2212</v>
      </c>
      <c r="B778" t="s">
        <v>2216</v>
      </c>
      <c r="C778">
        <v>2021</v>
      </c>
      <c r="E778" t="s">
        <v>3043</v>
      </c>
    </row>
    <row r="779" spans="1:5" x14ac:dyDescent="0.25">
      <c r="A779" t="s">
        <v>2255</v>
      </c>
      <c r="B779" t="s">
        <v>1160</v>
      </c>
      <c r="C779">
        <v>2020</v>
      </c>
      <c r="E779" t="s">
        <v>2983</v>
      </c>
    </row>
    <row r="780" spans="1:5" x14ac:dyDescent="0.25">
      <c r="A780" t="s">
        <v>2255</v>
      </c>
      <c r="B780" t="s">
        <v>1880</v>
      </c>
      <c r="C780">
        <v>2020</v>
      </c>
      <c r="E780" t="s">
        <v>3308</v>
      </c>
    </row>
    <row r="781" spans="1:5" x14ac:dyDescent="0.25">
      <c r="A781" t="s">
        <v>2270</v>
      </c>
      <c r="B781" t="s">
        <v>209</v>
      </c>
      <c r="C781">
        <v>2022</v>
      </c>
      <c r="D781" t="s">
        <v>187</v>
      </c>
    </row>
    <row r="782" spans="1:5" x14ac:dyDescent="0.25">
      <c r="A782" t="s">
        <v>2287</v>
      </c>
      <c r="B782" t="s">
        <v>1566</v>
      </c>
      <c r="C782">
        <v>2014</v>
      </c>
      <c r="E782" t="s">
        <v>3132</v>
      </c>
    </row>
    <row r="783" spans="1:5" x14ac:dyDescent="0.25">
      <c r="A783" t="s">
        <v>2293</v>
      </c>
      <c r="B783" t="s">
        <v>2299</v>
      </c>
      <c r="C783">
        <v>2008</v>
      </c>
      <c r="D783" t="s">
        <v>187</v>
      </c>
    </row>
    <row r="784" spans="1:5" x14ac:dyDescent="0.25">
      <c r="A784" t="s">
        <v>2296</v>
      </c>
      <c r="B784" t="s">
        <v>2293</v>
      </c>
      <c r="C784">
        <v>2000</v>
      </c>
      <c r="D784" t="s">
        <v>187</v>
      </c>
    </row>
    <row r="785" spans="1:5" x14ac:dyDescent="0.25">
      <c r="A785" t="s">
        <v>2296</v>
      </c>
      <c r="B785" t="s">
        <v>2302</v>
      </c>
      <c r="C785">
        <v>2000</v>
      </c>
      <c r="D785" t="s">
        <v>187</v>
      </c>
    </row>
    <row r="786" spans="1:5" x14ac:dyDescent="0.25">
      <c r="A786" t="s">
        <v>2299</v>
      </c>
      <c r="B786" t="s">
        <v>2315</v>
      </c>
      <c r="C786">
        <v>2010</v>
      </c>
      <c r="D786" t="s">
        <v>187</v>
      </c>
    </row>
    <row r="787" spans="1:5" x14ac:dyDescent="0.25">
      <c r="A787" t="s">
        <v>2305</v>
      </c>
      <c r="B787" t="s">
        <v>2308</v>
      </c>
      <c r="C787">
        <v>1996</v>
      </c>
      <c r="D787" t="s">
        <v>187</v>
      </c>
    </row>
    <row r="788" spans="1:5" x14ac:dyDescent="0.25">
      <c r="A788" t="s">
        <v>2315</v>
      </c>
      <c r="B788" t="s">
        <v>2311</v>
      </c>
      <c r="C788">
        <v>2010</v>
      </c>
      <c r="D788" t="s">
        <v>187</v>
      </c>
    </row>
    <row r="789" spans="1:5" x14ac:dyDescent="0.25">
      <c r="A789" t="s">
        <v>2319</v>
      </c>
      <c r="B789" t="s">
        <v>2687</v>
      </c>
      <c r="C789">
        <v>2023</v>
      </c>
      <c r="E789" t="s">
        <v>2983</v>
      </c>
    </row>
    <row r="790" spans="1:5" x14ac:dyDescent="0.25">
      <c r="A790" t="s">
        <v>2323</v>
      </c>
      <c r="B790" t="s">
        <v>1856</v>
      </c>
      <c r="C790">
        <v>2010</v>
      </c>
      <c r="E790" t="s">
        <v>3347</v>
      </c>
    </row>
    <row r="791" spans="1:5" x14ac:dyDescent="0.25">
      <c r="A791" t="s">
        <v>2325</v>
      </c>
      <c r="B791" t="s">
        <v>421</v>
      </c>
      <c r="C791">
        <v>2022</v>
      </c>
      <c r="E791" t="s">
        <v>2983</v>
      </c>
    </row>
    <row r="792" spans="1:5" x14ac:dyDescent="0.25">
      <c r="A792" t="s">
        <v>2325</v>
      </c>
      <c r="B792" t="s">
        <v>571</v>
      </c>
      <c r="C792">
        <v>2022</v>
      </c>
      <c r="E792" t="s">
        <v>3087</v>
      </c>
    </row>
    <row r="793" spans="1:5" x14ac:dyDescent="0.25">
      <c r="A793" t="s">
        <v>2325</v>
      </c>
      <c r="B793" t="s">
        <v>2660</v>
      </c>
      <c r="C793">
        <v>2022</v>
      </c>
      <c r="E793" t="s">
        <v>3259</v>
      </c>
    </row>
    <row r="794" spans="1:5" x14ac:dyDescent="0.25">
      <c r="A794" t="s">
        <v>2336</v>
      </c>
      <c r="B794" t="s">
        <v>2072</v>
      </c>
      <c r="C794">
        <v>2020</v>
      </c>
      <c r="E794" t="s">
        <v>3238</v>
      </c>
    </row>
    <row r="795" spans="1:5" x14ac:dyDescent="0.25">
      <c r="A795" t="s">
        <v>2349</v>
      </c>
      <c r="B795" t="s">
        <v>1288</v>
      </c>
      <c r="C795">
        <v>2006</v>
      </c>
      <c r="E795" t="s">
        <v>3348</v>
      </c>
    </row>
    <row r="796" spans="1:5" x14ac:dyDescent="0.25">
      <c r="A796" t="s">
        <v>90</v>
      </c>
      <c r="B796" t="s">
        <v>209</v>
      </c>
      <c r="C796">
        <v>2017</v>
      </c>
      <c r="E796" t="s">
        <v>3349</v>
      </c>
    </row>
    <row r="797" spans="1:5" x14ac:dyDescent="0.25">
      <c r="A797" t="s">
        <v>90</v>
      </c>
      <c r="B797" t="s">
        <v>215</v>
      </c>
      <c r="C797">
        <v>2017</v>
      </c>
      <c r="E797" t="s">
        <v>2983</v>
      </c>
    </row>
    <row r="798" spans="1:5" x14ac:dyDescent="0.25">
      <c r="A798" t="s">
        <v>90</v>
      </c>
      <c r="B798" t="s">
        <v>233</v>
      </c>
      <c r="C798">
        <v>2017</v>
      </c>
      <c r="E798" t="s">
        <v>3314</v>
      </c>
    </row>
    <row r="799" spans="1:5" x14ac:dyDescent="0.25">
      <c r="A799" t="s">
        <v>90</v>
      </c>
      <c r="B799" t="s">
        <v>237</v>
      </c>
      <c r="C799">
        <v>2017</v>
      </c>
      <c r="E799" t="s">
        <v>3350</v>
      </c>
    </row>
    <row r="800" spans="1:5" x14ac:dyDescent="0.25">
      <c r="A800" t="s">
        <v>90</v>
      </c>
      <c r="B800" t="s">
        <v>249</v>
      </c>
      <c r="C800">
        <v>2017</v>
      </c>
      <c r="E800" t="s">
        <v>3251</v>
      </c>
    </row>
    <row r="801" spans="1:5" x14ac:dyDescent="0.25">
      <c r="A801" t="s">
        <v>90</v>
      </c>
      <c r="B801" t="s">
        <v>283</v>
      </c>
      <c r="C801">
        <v>2017</v>
      </c>
      <c r="E801" t="s">
        <v>3201</v>
      </c>
    </row>
    <row r="802" spans="1:5" x14ac:dyDescent="0.25">
      <c r="A802" t="s">
        <v>90</v>
      </c>
      <c r="B802" t="s">
        <v>287</v>
      </c>
      <c r="C802">
        <v>2017</v>
      </c>
      <c r="E802" t="s">
        <v>3144</v>
      </c>
    </row>
    <row r="803" spans="1:5" x14ac:dyDescent="0.25">
      <c r="A803" t="s">
        <v>90</v>
      </c>
      <c r="B803" t="s">
        <v>299</v>
      </c>
      <c r="C803">
        <v>2017</v>
      </c>
      <c r="E803" t="s">
        <v>3310</v>
      </c>
    </row>
    <row r="804" spans="1:5" x14ac:dyDescent="0.25">
      <c r="A804" t="s">
        <v>90</v>
      </c>
      <c r="B804" t="s">
        <v>301</v>
      </c>
      <c r="C804">
        <v>2017</v>
      </c>
      <c r="E804" t="s">
        <v>2983</v>
      </c>
    </row>
    <row r="805" spans="1:5" x14ac:dyDescent="0.25">
      <c r="A805" t="s">
        <v>90</v>
      </c>
      <c r="B805" t="s">
        <v>310</v>
      </c>
      <c r="C805">
        <v>2017</v>
      </c>
      <c r="E805" t="s">
        <v>3351</v>
      </c>
    </row>
    <row r="806" spans="1:5" x14ac:dyDescent="0.25">
      <c r="A806" t="s">
        <v>90</v>
      </c>
      <c r="B806" t="s">
        <v>314</v>
      </c>
      <c r="C806">
        <v>2017</v>
      </c>
      <c r="E806" t="s">
        <v>3352</v>
      </c>
    </row>
    <row r="807" spans="1:5" x14ac:dyDescent="0.25">
      <c r="A807" t="s">
        <v>90</v>
      </c>
      <c r="B807" t="s">
        <v>333</v>
      </c>
      <c r="C807">
        <v>2017</v>
      </c>
      <c r="E807" t="s">
        <v>3188</v>
      </c>
    </row>
    <row r="808" spans="1:5" x14ac:dyDescent="0.25">
      <c r="A808" t="s">
        <v>90</v>
      </c>
      <c r="B808" t="s">
        <v>346</v>
      </c>
      <c r="C808">
        <v>2017</v>
      </c>
      <c r="E808" t="s">
        <v>3252</v>
      </c>
    </row>
    <row r="809" spans="1:5" x14ac:dyDescent="0.25">
      <c r="A809" t="s">
        <v>90</v>
      </c>
      <c r="B809" t="s">
        <v>368</v>
      </c>
      <c r="C809">
        <v>2017</v>
      </c>
      <c r="E809" t="s">
        <v>3014</v>
      </c>
    </row>
    <row r="810" spans="1:5" x14ac:dyDescent="0.25">
      <c r="A810" t="s">
        <v>90</v>
      </c>
      <c r="B810" t="s">
        <v>372</v>
      </c>
      <c r="C810">
        <v>2017</v>
      </c>
      <c r="E810" t="s">
        <v>3017</v>
      </c>
    </row>
    <row r="811" spans="1:5" x14ac:dyDescent="0.25">
      <c r="A811" t="s">
        <v>90</v>
      </c>
      <c r="B811" t="s">
        <v>403</v>
      </c>
      <c r="C811">
        <v>2017</v>
      </c>
      <c r="E811" t="s">
        <v>3353</v>
      </c>
    </row>
    <row r="812" spans="1:5" x14ac:dyDescent="0.25">
      <c r="A812" t="s">
        <v>90</v>
      </c>
      <c r="B812" t="s">
        <v>411</v>
      </c>
      <c r="C812">
        <v>2017</v>
      </c>
      <c r="E812" t="s">
        <v>3354</v>
      </c>
    </row>
    <row r="813" spans="1:5" x14ac:dyDescent="0.25">
      <c r="A813" t="s">
        <v>90</v>
      </c>
      <c r="B813" t="s">
        <v>428</v>
      </c>
      <c r="C813">
        <v>2017</v>
      </c>
      <c r="E813" t="s">
        <v>3022</v>
      </c>
    </row>
    <row r="814" spans="1:5" x14ac:dyDescent="0.25">
      <c r="A814" t="s">
        <v>90</v>
      </c>
      <c r="B814" t="s">
        <v>464</v>
      </c>
      <c r="C814">
        <v>2017</v>
      </c>
      <c r="E814" t="s">
        <v>2983</v>
      </c>
    </row>
    <row r="815" spans="1:5" x14ac:dyDescent="0.25">
      <c r="A815" t="s">
        <v>90</v>
      </c>
      <c r="B815" t="s">
        <v>477</v>
      </c>
      <c r="C815">
        <v>2017</v>
      </c>
      <c r="E815" t="s">
        <v>2983</v>
      </c>
    </row>
    <row r="816" spans="1:5" x14ac:dyDescent="0.25">
      <c r="A816" t="s">
        <v>90</v>
      </c>
      <c r="B816" t="s">
        <v>480</v>
      </c>
      <c r="C816">
        <v>2017</v>
      </c>
      <c r="E816" t="s">
        <v>3355</v>
      </c>
    </row>
    <row r="817" spans="1:5" x14ac:dyDescent="0.25">
      <c r="A817" t="s">
        <v>90</v>
      </c>
      <c r="B817" t="s">
        <v>484</v>
      </c>
      <c r="C817">
        <v>2017</v>
      </c>
      <c r="E817" t="s">
        <v>3202</v>
      </c>
    </row>
    <row r="818" spans="1:5" x14ac:dyDescent="0.25">
      <c r="A818" t="s">
        <v>90</v>
      </c>
      <c r="B818" t="s">
        <v>493</v>
      </c>
      <c r="C818">
        <v>2017</v>
      </c>
      <c r="E818" t="s">
        <v>2983</v>
      </c>
    </row>
    <row r="819" spans="1:5" x14ac:dyDescent="0.25">
      <c r="A819" t="s">
        <v>90</v>
      </c>
      <c r="B819" t="s">
        <v>567</v>
      </c>
      <c r="C819">
        <v>2017</v>
      </c>
      <c r="E819" t="s">
        <v>3356</v>
      </c>
    </row>
    <row r="820" spans="1:5" x14ac:dyDescent="0.25">
      <c r="A820" t="s">
        <v>90</v>
      </c>
      <c r="B820" t="s">
        <v>571</v>
      </c>
      <c r="C820">
        <v>2017</v>
      </c>
      <c r="E820" t="s">
        <v>3357</v>
      </c>
    </row>
    <row r="821" spans="1:5" x14ac:dyDescent="0.25">
      <c r="A821" t="s">
        <v>90</v>
      </c>
      <c r="B821" t="s">
        <v>598</v>
      </c>
      <c r="C821">
        <v>2017</v>
      </c>
      <c r="E821" t="s">
        <v>2983</v>
      </c>
    </row>
    <row r="822" spans="1:5" x14ac:dyDescent="0.25">
      <c r="A822" t="s">
        <v>90</v>
      </c>
      <c r="B822" t="s">
        <v>610</v>
      </c>
      <c r="C822">
        <v>2017</v>
      </c>
      <c r="E822" t="s">
        <v>3068</v>
      </c>
    </row>
    <row r="823" spans="1:5" x14ac:dyDescent="0.25">
      <c r="A823" t="s">
        <v>90</v>
      </c>
      <c r="B823" t="s">
        <v>619</v>
      </c>
      <c r="C823">
        <v>2017</v>
      </c>
      <c r="E823" t="s">
        <v>3246</v>
      </c>
    </row>
    <row r="824" spans="1:5" x14ac:dyDescent="0.25">
      <c r="A824" t="s">
        <v>90</v>
      </c>
      <c r="B824" t="s">
        <v>633</v>
      </c>
      <c r="C824">
        <v>2017</v>
      </c>
      <c r="E824" t="s">
        <v>3358</v>
      </c>
    </row>
    <row r="825" spans="1:5" x14ac:dyDescent="0.25">
      <c r="A825" t="s">
        <v>90</v>
      </c>
      <c r="B825" t="s">
        <v>643</v>
      </c>
      <c r="C825">
        <v>2017</v>
      </c>
      <c r="E825" t="s">
        <v>3359</v>
      </c>
    </row>
    <row r="826" spans="1:5" x14ac:dyDescent="0.25">
      <c r="A826" t="s">
        <v>90</v>
      </c>
      <c r="B826" t="s">
        <v>671</v>
      </c>
      <c r="C826">
        <v>2017</v>
      </c>
      <c r="E826" t="s">
        <v>2983</v>
      </c>
    </row>
    <row r="827" spans="1:5" x14ac:dyDescent="0.25">
      <c r="A827" t="s">
        <v>90</v>
      </c>
      <c r="B827" t="s">
        <v>681</v>
      </c>
      <c r="C827">
        <v>2017</v>
      </c>
      <c r="E827" t="s">
        <v>3360</v>
      </c>
    </row>
    <row r="828" spans="1:5" x14ac:dyDescent="0.25">
      <c r="A828" t="s">
        <v>90</v>
      </c>
      <c r="B828" t="s">
        <v>730</v>
      </c>
      <c r="C828">
        <v>2017</v>
      </c>
      <c r="E828" t="s">
        <v>3027</v>
      </c>
    </row>
    <row r="829" spans="1:5" x14ac:dyDescent="0.25">
      <c r="A829" t="s">
        <v>90</v>
      </c>
      <c r="B829" t="s">
        <v>795</v>
      </c>
      <c r="C829">
        <v>2017</v>
      </c>
      <c r="E829" t="s">
        <v>3101</v>
      </c>
    </row>
    <row r="830" spans="1:5" x14ac:dyDescent="0.25">
      <c r="A830" t="s">
        <v>90</v>
      </c>
      <c r="B830" t="s">
        <v>799</v>
      </c>
      <c r="C830">
        <v>2017</v>
      </c>
      <c r="E830" t="s">
        <v>3361</v>
      </c>
    </row>
    <row r="831" spans="1:5" x14ac:dyDescent="0.25">
      <c r="A831" t="s">
        <v>90</v>
      </c>
      <c r="B831" t="s">
        <v>803</v>
      </c>
      <c r="C831">
        <v>2017</v>
      </c>
      <c r="E831" t="s">
        <v>2983</v>
      </c>
    </row>
    <row r="832" spans="1:5" x14ac:dyDescent="0.25">
      <c r="A832" t="s">
        <v>90</v>
      </c>
      <c r="B832" t="s">
        <v>815</v>
      </c>
      <c r="C832">
        <v>2017</v>
      </c>
      <c r="E832" t="s">
        <v>3362</v>
      </c>
    </row>
    <row r="833" spans="1:5" x14ac:dyDescent="0.25">
      <c r="A833" t="s">
        <v>90</v>
      </c>
      <c r="B833" t="s">
        <v>828</v>
      </c>
      <c r="C833">
        <v>2017</v>
      </c>
      <c r="E833" t="s">
        <v>2983</v>
      </c>
    </row>
    <row r="834" spans="1:5" x14ac:dyDescent="0.25">
      <c r="A834" t="s">
        <v>90</v>
      </c>
      <c r="B834" t="s">
        <v>851</v>
      </c>
      <c r="C834">
        <v>2017</v>
      </c>
      <c r="E834" t="s">
        <v>3363</v>
      </c>
    </row>
    <row r="835" spans="1:5" x14ac:dyDescent="0.25">
      <c r="A835" t="s">
        <v>90</v>
      </c>
      <c r="B835" t="s">
        <v>857</v>
      </c>
      <c r="C835">
        <v>2017</v>
      </c>
      <c r="E835" t="s">
        <v>3364</v>
      </c>
    </row>
    <row r="836" spans="1:5" x14ac:dyDescent="0.25">
      <c r="A836" t="s">
        <v>90</v>
      </c>
      <c r="B836" t="s">
        <v>864</v>
      </c>
      <c r="C836">
        <v>2017</v>
      </c>
      <c r="E836" t="s">
        <v>3029</v>
      </c>
    </row>
    <row r="837" spans="1:5" x14ac:dyDescent="0.25">
      <c r="A837" t="s">
        <v>90</v>
      </c>
      <c r="B837" t="s">
        <v>866</v>
      </c>
      <c r="C837">
        <v>2017</v>
      </c>
      <c r="E837" t="s">
        <v>3206</v>
      </c>
    </row>
    <row r="838" spans="1:5" x14ac:dyDescent="0.25">
      <c r="A838" t="s">
        <v>90</v>
      </c>
      <c r="B838" t="s">
        <v>870</v>
      </c>
      <c r="C838">
        <v>2017</v>
      </c>
      <c r="E838" t="s">
        <v>2983</v>
      </c>
    </row>
    <row r="839" spans="1:5" x14ac:dyDescent="0.25">
      <c r="A839" t="s">
        <v>90</v>
      </c>
      <c r="B839" t="s">
        <v>878</v>
      </c>
      <c r="C839">
        <v>2017</v>
      </c>
      <c r="E839" t="s">
        <v>3103</v>
      </c>
    </row>
    <row r="840" spans="1:5" x14ac:dyDescent="0.25">
      <c r="A840" t="s">
        <v>90</v>
      </c>
      <c r="B840" t="s">
        <v>880</v>
      </c>
      <c r="C840">
        <v>2017</v>
      </c>
      <c r="E840" t="s">
        <v>3365</v>
      </c>
    </row>
    <row r="841" spans="1:5" x14ac:dyDescent="0.25">
      <c r="A841" t="s">
        <v>90</v>
      </c>
      <c r="B841" t="s">
        <v>888</v>
      </c>
      <c r="C841">
        <v>2017</v>
      </c>
      <c r="E841" t="s">
        <v>2983</v>
      </c>
    </row>
    <row r="842" spans="1:5" x14ac:dyDescent="0.25">
      <c r="A842" t="s">
        <v>90</v>
      </c>
      <c r="B842" t="s">
        <v>899</v>
      </c>
      <c r="C842">
        <v>2017</v>
      </c>
      <c r="E842" t="s">
        <v>3146</v>
      </c>
    </row>
    <row r="843" spans="1:5" x14ac:dyDescent="0.25">
      <c r="A843" t="s">
        <v>90</v>
      </c>
      <c r="B843" t="s">
        <v>961</v>
      </c>
      <c r="C843">
        <v>2017</v>
      </c>
      <c r="E843" t="s">
        <v>3147</v>
      </c>
    </row>
    <row r="844" spans="1:5" x14ac:dyDescent="0.25">
      <c r="A844" t="s">
        <v>90</v>
      </c>
      <c r="B844" t="s">
        <v>1030</v>
      </c>
      <c r="C844">
        <v>2017</v>
      </c>
      <c r="E844" t="s">
        <v>2983</v>
      </c>
    </row>
    <row r="845" spans="1:5" x14ac:dyDescent="0.25">
      <c r="A845" t="s">
        <v>90</v>
      </c>
      <c r="B845" t="s">
        <v>1035</v>
      </c>
      <c r="C845">
        <v>2017</v>
      </c>
      <c r="E845" t="s">
        <v>3366</v>
      </c>
    </row>
    <row r="846" spans="1:5" x14ac:dyDescent="0.25">
      <c r="A846" t="s">
        <v>90</v>
      </c>
      <c r="B846" t="s">
        <v>1060</v>
      </c>
      <c r="C846">
        <v>2017</v>
      </c>
      <c r="E846" t="s">
        <v>2983</v>
      </c>
    </row>
    <row r="847" spans="1:5" x14ac:dyDescent="0.25">
      <c r="A847" t="s">
        <v>90</v>
      </c>
      <c r="B847" t="s">
        <v>1090</v>
      </c>
      <c r="C847">
        <v>2017</v>
      </c>
      <c r="E847" t="s">
        <v>3254</v>
      </c>
    </row>
    <row r="848" spans="1:5" x14ac:dyDescent="0.25">
      <c r="A848" t="s">
        <v>90</v>
      </c>
      <c r="B848" t="s">
        <v>1109</v>
      </c>
      <c r="C848">
        <v>2017</v>
      </c>
      <c r="E848" t="s">
        <v>3255</v>
      </c>
    </row>
    <row r="849" spans="1:5" x14ac:dyDescent="0.25">
      <c r="A849" t="s">
        <v>90</v>
      </c>
      <c r="B849" t="s">
        <v>1124</v>
      </c>
      <c r="C849">
        <v>2017</v>
      </c>
      <c r="E849" t="s">
        <v>3207</v>
      </c>
    </row>
    <row r="850" spans="1:5" x14ac:dyDescent="0.25">
      <c r="A850" t="s">
        <v>90</v>
      </c>
      <c r="B850" t="s">
        <v>1130</v>
      </c>
      <c r="C850">
        <v>2017</v>
      </c>
      <c r="E850" t="s">
        <v>3231</v>
      </c>
    </row>
    <row r="851" spans="1:5" x14ac:dyDescent="0.25">
      <c r="A851" t="s">
        <v>90</v>
      </c>
      <c r="B851" t="s">
        <v>1232</v>
      </c>
      <c r="C851">
        <v>2022</v>
      </c>
      <c r="E851" t="s">
        <v>3367</v>
      </c>
    </row>
    <row r="852" spans="1:5" x14ac:dyDescent="0.25">
      <c r="A852" t="s">
        <v>90</v>
      </c>
      <c r="B852" t="s">
        <v>1246</v>
      </c>
      <c r="C852">
        <v>2017</v>
      </c>
      <c r="E852" t="s">
        <v>3368</v>
      </c>
    </row>
    <row r="853" spans="1:5" x14ac:dyDescent="0.25">
      <c r="A853" t="s">
        <v>90</v>
      </c>
      <c r="B853" t="s">
        <v>1256</v>
      </c>
      <c r="C853">
        <v>2017</v>
      </c>
      <c r="E853" t="s">
        <v>3369</v>
      </c>
    </row>
    <row r="854" spans="1:5" x14ac:dyDescent="0.25">
      <c r="A854" t="s">
        <v>90</v>
      </c>
      <c r="B854" t="s">
        <v>1291</v>
      </c>
      <c r="C854">
        <v>2017</v>
      </c>
    </row>
    <row r="855" spans="1:5" x14ac:dyDescent="0.25">
      <c r="A855" t="s">
        <v>90</v>
      </c>
      <c r="B855" t="s">
        <v>1349</v>
      </c>
      <c r="C855">
        <v>2017</v>
      </c>
      <c r="E855" t="s">
        <v>3370</v>
      </c>
    </row>
    <row r="856" spans="1:5" x14ac:dyDescent="0.25">
      <c r="A856" t="s">
        <v>90</v>
      </c>
      <c r="B856" t="s">
        <v>1354</v>
      </c>
      <c r="C856">
        <v>2017</v>
      </c>
      <c r="E856" t="s">
        <v>3059</v>
      </c>
    </row>
    <row r="857" spans="1:5" x14ac:dyDescent="0.25">
      <c r="A857" t="s">
        <v>90</v>
      </c>
      <c r="B857" t="s">
        <v>1377</v>
      </c>
      <c r="C857">
        <v>2017</v>
      </c>
      <c r="E857" t="s">
        <v>2983</v>
      </c>
    </row>
    <row r="858" spans="1:5" x14ac:dyDescent="0.25">
      <c r="A858" t="s">
        <v>90</v>
      </c>
      <c r="B858" t="s">
        <v>1395</v>
      </c>
      <c r="C858">
        <v>2017</v>
      </c>
      <c r="E858" t="s">
        <v>3034</v>
      </c>
    </row>
    <row r="859" spans="1:5" x14ac:dyDescent="0.25">
      <c r="A859" t="s">
        <v>90</v>
      </c>
      <c r="B859" t="s">
        <v>1436</v>
      </c>
      <c r="C859">
        <v>2017</v>
      </c>
      <c r="E859" t="s">
        <v>3274</v>
      </c>
    </row>
    <row r="860" spans="1:5" x14ac:dyDescent="0.25">
      <c r="A860" t="s">
        <v>90</v>
      </c>
      <c r="B860" t="s">
        <v>1448</v>
      </c>
      <c r="C860">
        <v>2017</v>
      </c>
      <c r="E860" t="s">
        <v>2983</v>
      </c>
    </row>
    <row r="861" spans="1:5" x14ac:dyDescent="0.25">
      <c r="A861" t="s">
        <v>90</v>
      </c>
      <c r="B861" t="s">
        <v>1451</v>
      </c>
      <c r="C861">
        <v>2017</v>
      </c>
      <c r="E861" t="s">
        <v>3107</v>
      </c>
    </row>
    <row r="862" spans="1:5" x14ac:dyDescent="0.25">
      <c r="A862" t="s">
        <v>90</v>
      </c>
      <c r="B862" t="s">
        <v>1476</v>
      </c>
      <c r="C862">
        <v>2017</v>
      </c>
      <c r="E862" t="s">
        <v>3371</v>
      </c>
    </row>
    <row r="863" spans="1:5" x14ac:dyDescent="0.25">
      <c r="A863" t="s">
        <v>90</v>
      </c>
      <c r="B863" t="s">
        <v>1512</v>
      </c>
      <c r="C863">
        <v>2017</v>
      </c>
      <c r="E863" t="s">
        <v>2983</v>
      </c>
    </row>
    <row r="864" spans="1:5" x14ac:dyDescent="0.25">
      <c r="A864" t="s">
        <v>90</v>
      </c>
      <c r="B864" t="s">
        <v>1527</v>
      </c>
      <c r="C864">
        <v>2017</v>
      </c>
      <c r="E864" t="s">
        <v>3056</v>
      </c>
    </row>
    <row r="865" spans="1:5" x14ac:dyDescent="0.25">
      <c r="A865" t="s">
        <v>90</v>
      </c>
      <c r="B865" t="s">
        <v>1566</v>
      </c>
      <c r="C865">
        <v>2017</v>
      </c>
      <c r="E865" t="s">
        <v>3132</v>
      </c>
    </row>
    <row r="866" spans="1:5" x14ac:dyDescent="0.25">
      <c r="A866" t="s">
        <v>90</v>
      </c>
      <c r="B866" t="s">
        <v>1569</v>
      </c>
      <c r="C866">
        <v>2017</v>
      </c>
      <c r="E866" t="s">
        <v>3372</v>
      </c>
    </row>
    <row r="867" spans="1:5" x14ac:dyDescent="0.25">
      <c r="A867" t="s">
        <v>90</v>
      </c>
      <c r="B867" t="s">
        <v>1575</v>
      </c>
      <c r="C867">
        <v>2017</v>
      </c>
      <c r="E867" t="s">
        <v>2983</v>
      </c>
    </row>
    <row r="868" spans="1:5" x14ac:dyDescent="0.25">
      <c r="A868" t="s">
        <v>90</v>
      </c>
      <c r="B868" t="s">
        <v>1577</v>
      </c>
      <c r="C868">
        <v>2017</v>
      </c>
      <c r="E868" t="s">
        <v>3373</v>
      </c>
    </row>
    <row r="869" spans="1:5" x14ac:dyDescent="0.25">
      <c r="A869" t="s">
        <v>90</v>
      </c>
      <c r="B869" t="s">
        <v>1595</v>
      </c>
      <c r="C869">
        <v>2017</v>
      </c>
      <c r="E869" t="s">
        <v>3300</v>
      </c>
    </row>
    <row r="870" spans="1:5" x14ac:dyDescent="0.25">
      <c r="A870" t="s">
        <v>90</v>
      </c>
      <c r="B870" t="s">
        <v>1611</v>
      </c>
      <c r="C870">
        <v>2017</v>
      </c>
      <c r="E870" t="s">
        <v>3248</v>
      </c>
    </row>
    <row r="871" spans="1:5" x14ac:dyDescent="0.25">
      <c r="A871" t="s">
        <v>90</v>
      </c>
      <c r="B871" t="s">
        <v>1626</v>
      </c>
      <c r="C871">
        <v>2017</v>
      </c>
      <c r="E871" t="s">
        <v>3374</v>
      </c>
    </row>
    <row r="872" spans="1:5" x14ac:dyDescent="0.25">
      <c r="A872" t="s">
        <v>90</v>
      </c>
      <c r="B872" t="s">
        <v>1628</v>
      </c>
      <c r="C872">
        <v>2017</v>
      </c>
      <c r="E872" t="s">
        <v>3375</v>
      </c>
    </row>
    <row r="873" spans="1:5" x14ac:dyDescent="0.25">
      <c r="A873" t="s">
        <v>90</v>
      </c>
      <c r="B873" t="s">
        <v>1673</v>
      </c>
      <c r="C873">
        <v>2017</v>
      </c>
      <c r="E873" t="s">
        <v>3376</v>
      </c>
    </row>
    <row r="874" spans="1:5" x14ac:dyDescent="0.25">
      <c r="A874" t="s">
        <v>90</v>
      </c>
      <c r="B874" t="s">
        <v>1691</v>
      </c>
      <c r="C874">
        <v>2017</v>
      </c>
      <c r="E874" t="s">
        <v>3014</v>
      </c>
    </row>
    <row r="875" spans="1:5" x14ac:dyDescent="0.25">
      <c r="A875" t="s">
        <v>90</v>
      </c>
      <c r="B875" t="s">
        <v>1705</v>
      </c>
      <c r="C875">
        <v>2017</v>
      </c>
      <c r="E875" t="s">
        <v>3377</v>
      </c>
    </row>
    <row r="876" spans="1:5" x14ac:dyDescent="0.25">
      <c r="A876" t="s">
        <v>90</v>
      </c>
      <c r="B876" t="s">
        <v>1729</v>
      </c>
      <c r="C876">
        <v>2017</v>
      </c>
      <c r="E876" t="s">
        <v>3378</v>
      </c>
    </row>
    <row r="877" spans="1:5" x14ac:dyDescent="0.25">
      <c r="A877" t="s">
        <v>90</v>
      </c>
      <c r="B877" t="s">
        <v>1735</v>
      </c>
      <c r="C877">
        <v>2017</v>
      </c>
      <c r="E877" t="s">
        <v>2983</v>
      </c>
    </row>
    <row r="878" spans="1:5" x14ac:dyDescent="0.25">
      <c r="A878" t="s">
        <v>90</v>
      </c>
      <c r="B878" t="s">
        <v>1769</v>
      </c>
      <c r="C878">
        <v>2017</v>
      </c>
      <c r="E878" t="s">
        <v>3108</v>
      </c>
    </row>
    <row r="879" spans="1:5" x14ac:dyDescent="0.25">
      <c r="A879" t="s">
        <v>90</v>
      </c>
      <c r="B879" t="s">
        <v>1812</v>
      </c>
      <c r="C879">
        <v>2017</v>
      </c>
      <c r="E879" t="s">
        <v>2983</v>
      </c>
    </row>
    <row r="880" spans="1:5" x14ac:dyDescent="0.25">
      <c r="A880" t="s">
        <v>90</v>
      </c>
      <c r="B880" t="s">
        <v>1834</v>
      </c>
      <c r="C880">
        <v>2017</v>
      </c>
      <c r="E880" t="s">
        <v>2983</v>
      </c>
    </row>
    <row r="881" spans="1:5" x14ac:dyDescent="0.25">
      <c r="A881" t="s">
        <v>90</v>
      </c>
      <c r="B881" t="s">
        <v>1868</v>
      </c>
      <c r="C881">
        <v>2017</v>
      </c>
      <c r="E881" t="s">
        <v>3379</v>
      </c>
    </row>
    <row r="882" spans="1:5" x14ac:dyDescent="0.25">
      <c r="A882" t="s">
        <v>90</v>
      </c>
      <c r="B882" t="s">
        <v>1896</v>
      </c>
      <c r="C882">
        <v>2017</v>
      </c>
      <c r="E882" t="s">
        <v>3213</v>
      </c>
    </row>
    <row r="883" spans="1:5" x14ac:dyDescent="0.25">
      <c r="A883" t="s">
        <v>90</v>
      </c>
      <c r="B883" t="s">
        <v>1922</v>
      </c>
      <c r="C883">
        <v>2017</v>
      </c>
      <c r="E883" t="s">
        <v>3014</v>
      </c>
    </row>
    <row r="884" spans="1:5" x14ac:dyDescent="0.25">
      <c r="A884" t="s">
        <v>90</v>
      </c>
      <c r="B884" t="s">
        <v>1948</v>
      </c>
      <c r="C884">
        <v>2017</v>
      </c>
      <c r="E884" t="s">
        <v>3257</v>
      </c>
    </row>
    <row r="885" spans="1:5" x14ac:dyDescent="0.25">
      <c r="A885" t="s">
        <v>90</v>
      </c>
      <c r="B885" t="s">
        <v>1952</v>
      </c>
      <c r="C885">
        <v>2017</v>
      </c>
      <c r="E885" t="s">
        <v>3380</v>
      </c>
    </row>
    <row r="886" spans="1:5" x14ac:dyDescent="0.25">
      <c r="A886" t="s">
        <v>90</v>
      </c>
      <c r="B886" t="s">
        <v>1983</v>
      </c>
      <c r="C886">
        <v>2017</v>
      </c>
      <c r="E886" t="s">
        <v>2983</v>
      </c>
    </row>
    <row r="887" spans="1:5" x14ac:dyDescent="0.25">
      <c r="A887" t="s">
        <v>90</v>
      </c>
      <c r="B887" t="s">
        <v>1993</v>
      </c>
      <c r="C887">
        <v>2017</v>
      </c>
      <c r="E887" t="s">
        <v>3381</v>
      </c>
    </row>
    <row r="888" spans="1:5" x14ac:dyDescent="0.25">
      <c r="A888" t="s">
        <v>90</v>
      </c>
      <c r="B888" t="s">
        <v>1999</v>
      </c>
      <c r="C888">
        <v>2017</v>
      </c>
    </row>
    <row r="889" spans="1:5" x14ac:dyDescent="0.25">
      <c r="A889" t="s">
        <v>90</v>
      </c>
      <c r="B889" t="s">
        <v>2019</v>
      </c>
      <c r="C889">
        <v>2017</v>
      </c>
      <c r="E889" t="s">
        <v>3250</v>
      </c>
    </row>
    <row r="890" spans="1:5" x14ac:dyDescent="0.25">
      <c r="A890" t="s">
        <v>90</v>
      </c>
      <c r="B890" t="s">
        <v>2062</v>
      </c>
      <c r="C890">
        <v>2017</v>
      </c>
      <c r="E890" t="s">
        <v>3014</v>
      </c>
    </row>
    <row r="891" spans="1:5" x14ac:dyDescent="0.25">
      <c r="A891" t="s">
        <v>90</v>
      </c>
      <c r="B891" t="s">
        <v>2089</v>
      </c>
      <c r="C891">
        <v>2017</v>
      </c>
      <c r="E891" t="s">
        <v>3041</v>
      </c>
    </row>
    <row r="892" spans="1:5" x14ac:dyDescent="0.25">
      <c r="A892" t="s">
        <v>90</v>
      </c>
      <c r="B892" t="s">
        <v>2119</v>
      </c>
      <c r="C892">
        <v>2017</v>
      </c>
      <c r="E892" t="s">
        <v>3382</v>
      </c>
    </row>
    <row r="893" spans="1:5" x14ac:dyDescent="0.25">
      <c r="A893" t="s">
        <v>90</v>
      </c>
      <c r="B893" t="s">
        <v>2123</v>
      </c>
      <c r="C893">
        <v>2017</v>
      </c>
      <c r="E893" t="s">
        <v>3383</v>
      </c>
    </row>
    <row r="894" spans="1:5" x14ac:dyDescent="0.25">
      <c r="A894" t="s">
        <v>90</v>
      </c>
      <c r="B894" t="s">
        <v>2159</v>
      </c>
      <c r="C894">
        <v>2017</v>
      </c>
      <c r="E894" t="s">
        <v>2984</v>
      </c>
    </row>
    <row r="895" spans="1:5" x14ac:dyDescent="0.25">
      <c r="A895" t="s">
        <v>90</v>
      </c>
      <c r="B895" t="s">
        <v>2182</v>
      </c>
      <c r="C895">
        <v>2017</v>
      </c>
    </row>
    <row r="896" spans="1:5" x14ac:dyDescent="0.25">
      <c r="A896" t="s">
        <v>90</v>
      </c>
      <c r="B896" t="s">
        <v>2188</v>
      </c>
      <c r="C896">
        <v>2017</v>
      </c>
      <c r="E896" t="s">
        <v>3018</v>
      </c>
    </row>
    <row r="897" spans="1:5" x14ac:dyDescent="0.25">
      <c r="A897" t="s">
        <v>90</v>
      </c>
      <c r="B897" t="s">
        <v>2197</v>
      </c>
      <c r="C897">
        <v>2017</v>
      </c>
      <c r="E897" t="s">
        <v>3384</v>
      </c>
    </row>
    <row r="898" spans="1:5" x14ac:dyDescent="0.25">
      <c r="A898" t="s">
        <v>90</v>
      </c>
      <c r="B898" t="s">
        <v>2203</v>
      </c>
      <c r="C898">
        <v>2017</v>
      </c>
      <c r="E898" t="s">
        <v>3042</v>
      </c>
    </row>
    <row r="899" spans="1:5" x14ac:dyDescent="0.25">
      <c r="A899" t="s">
        <v>90</v>
      </c>
      <c r="B899" t="s">
        <v>2223</v>
      </c>
      <c r="C899">
        <v>2017</v>
      </c>
      <c r="E899" t="s">
        <v>3044</v>
      </c>
    </row>
    <row r="900" spans="1:5" x14ac:dyDescent="0.25">
      <c r="A900" t="s">
        <v>90</v>
      </c>
      <c r="B900" t="s">
        <v>2237</v>
      </c>
      <c r="C900">
        <v>2017</v>
      </c>
      <c r="E900" t="s">
        <v>3046</v>
      </c>
    </row>
    <row r="901" spans="1:5" x14ac:dyDescent="0.25">
      <c r="A901" t="s">
        <v>90</v>
      </c>
      <c r="B901" t="s">
        <v>2240</v>
      </c>
      <c r="C901">
        <v>2017</v>
      </c>
      <c r="E901" t="s">
        <v>2242</v>
      </c>
    </row>
    <row r="902" spans="1:5" x14ac:dyDescent="0.25">
      <c r="A902" t="s">
        <v>90</v>
      </c>
      <c r="B902" t="s">
        <v>2265</v>
      </c>
      <c r="C902">
        <v>2017</v>
      </c>
      <c r="E902" t="s">
        <v>3385</v>
      </c>
    </row>
    <row r="903" spans="1:5" x14ac:dyDescent="0.25">
      <c r="A903" t="s">
        <v>90</v>
      </c>
      <c r="B903" t="s">
        <v>2280</v>
      </c>
      <c r="C903">
        <v>2017</v>
      </c>
      <c r="E903" t="s">
        <v>3109</v>
      </c>
    </row>
    <row r="904" spans="1:5" x14ac:dyDescent="0.25">
      <c r="A904" t="s">
        <v>90</v>
      </c>
      <c r="B904" t="s">
        <v>2319</v>
      </c>
      <c r="C904">
        <v>2017</v>
      </c>
      <c r="E904" t="s">
        <v>3090</v>
      </c>
    </row>
    <row r="905" spans="1:5" x14ac:dyDescent="0.25">
      <c r="A905" t="s">
        <v>90</v>
      </c>
      <c r="B905" t="s">
        <v>38</v>
      </c>
      <c r="C905">
        <v>2017</v>
      </c>
      <c r="D905" t="s">
        <v>187</v>
      </c>
    </row>
    <row r="906" spans="1:5" x14ac:dyDescent="0.25">
      <c r="A906" t="s">
        <v>90</v>
      </c>
      <c r="B906" t="s">
        <v>2362</v>
      </c>
      <c r="C906">
        <v>2017</v>
      </c>
      <c r="E906" t="s">
        <v>2983</v>
      </c>
    </row>
    <row r="907" spans="1:5" x14ac:dyDescent="0.25">
      <c r="A907" t="s">
        <v>90</v>
      </c>
      <c r="B907" t="s">
        <v>2370</v>
      </c>
      <c r="C907">
        <v>2017</v>
      </c>
      <c r="E907" t="s">
        <v>3265</v>
      </c>
    </row>
    <row r="908" spans="1:5" x14ac:dyDescent="0.25">
      <c r="A908" t="s">
        <v>90</v>
      </c>
      <c r="B908" t="s">
        <v>2372</v>
      </c>
      <c r="C908">
        <v>2017</v>
      </c>
      <c r="E908" t="s">
        <v>3048</v>
      </c>
    </row>
    <row r="909" spans="1:5" x14ac:dyDescent="0.25">
      <c r="A909" t="s">
        <v>90</v>
      </c>
      <c r="B909" t="s">
        <v>2417</v>
      </c>
      <c r="C909">
        <v>2017</v>
      </c>
      <c r="E909" t="s">
        <v>2983</v>
      </c>
    </row>
    <row r="910" spans="1:5" x14ac:dyDescent="0.25">
      <c r="A910" t="s">
        <v>90</v>
      </c>
      <c r="B910" t="s">
        <v>2432</v>
      </c>
      <c r="C910">
        <v>2017</v>
      </c>
      <c r="E910" t="s">
        <v>2983</v>
      </c>
    </row>
    <row r="911" spans="1:5" x14ac:dyDescent="0.25">
      <c r="A911" t="s">
        <v>90</v>
      </c>
      <c r="B911" t="s">
        <v>2440</v>
      </c>
      <c r="C911">
        <v>2017</v>
      </c>
      <c r="E911" t="s">
        <v>2983</v>
      </c>
    </row>
    <row r="912" spans="1:5" x14ac:dyDescent="0.25">
      <c r="A912" t="s">
        <v>90</v>
      </c>
      <c r="B912" t="s">
        <v>2472</v>
      </c>
      <c r="C912">
        <v>2017</v>
      </c>
      <c r="E912" t="s">
        <v>3386</v>
      </c>
    </row>
    <row r="913" spans="1:5" x14ac:dyDescent="0.25">
      <c r="A913" t="s">
        <v>90</v>
      </c>
      <c r="B913" t="s">
        <v>2561</v>
      </c>
      <c r="C913">
        <v>2017</v>
      </c>
      <c r="E913" t="s">
        <v>3387</v>
      </c>
    </row>
    <row r="914" spans="1:5" x14ac:dyDescent="0.25">
      <c r="A914" t="s">
        <v>90</v>
      </c>
      <c r="B914" t="s">
        <v>2564</v>
      </c>
      <c r="C914">
        <v>2017</v>
      </c>
      <c r="E914" t="s">
        <v>3388</v>
      </c>
    </row>
    <row r="915" spans="1:5" x14ac:dyDescent="0.25">
      <c r="A915" t="s">
        <v>90</v>
      </c>
      <c r="B915" t="s">
        <v>2576</v>
      </c>
      <c r="C915">
        <v>2017</v>
      </c>
      <c r="E915" t="s">
        <v>3389</v>
      </c>
    </row>
    <row r="916" spans="1:5" x14ac:dyDescent="0.25">
      <c r="A916" t="s">
        <v>90</v>
      </c>
      <c r="B916" t="s">
        <v>2591</v>
      </c>
      <c r="C916">
        <v>2017</v>
      </c>
      <c r="E916" t="s">
        <v>3242</v>
      </c>
    </row>
    <row r="917" spans="1:5" x14ac:dyDescent="0.25">
      <c r="A917" t="s">
        <v>90</v>
      </c>
      <c r="B917" t="s">
        <v>2644</v>
      </c>
      <c r="C917">
        <v>2017</v>
      </c>
      <c r="E917" t="s">
        <v>3390</v>
      </c>
    </row>
    <row r="918" spans="1:5" x14ac:dyDescent="0.25">
      <c r="A918" t="s">
        <v>90</v>
      </c>
      <c r="B918" t="s">
        <v>2649</v>
      </c>
      <c r="C918">
        <v>2017</v>
      </c>
      <c r="E918" t="s">
        <v>3057</v>
      </c>
    </row>
    <row r="919" spans="1:5" x14ac:dyDescent="0.25">
      <c r="A919" t="s">
        <v>90</v>
      </c>
      <c r="B919" t="s">
        <v>2660</v>
      </c>
      <c r="C919">
        <v>2017</v>
      </c>
      <c r="E919" t="s">
        <v>3259</v>
      </c>
    </row>
    <row r="920" spans="1:5" x14ac:dyDescent="0.25">
      <c r="A920" t="s">
        <v>90</v>
      </c>
      <c r="B920" t="s">
        <v>2668</v>
      </c>
      <c r="C920">
        <v>2017</v>
      </c>
      <c r="E920" t="s">
        <v>2986</v>
      </c>
    </row>
    <row r="921" spans="1:5" x14ac:dyDescent="0.25">
      <c r="A921" t="s">
        <v>90</v>
      </c>
      <c r="B921" t="s">
        <v>2672</v>
      </c>
      <c r="C921">
        <v>2017</v>
      </c>
      <c r="E921" t="s">
        <v>2983</v>
      </c>
    </row>
    <row r="922" spans="1:5" x14ac:dyDescent="0.25">
      <c r="A922" t="s">
        <v>90</v>
      </c>
      <c r="B922" t="s">
        <v>2687</v>
      </c>
      <c r="C922">
        <v>2017</v>
      </c>
      <c r="E922" t="s">
        <v>2983</v>
      </c>
    </row>
    <row r="923" spans="1:5" x14ac:dyDescent="0.25">
      <c r="A923" t="s">
        <v>90</v>
      </c>
      <c r="B923" t="s">
        <v>2735</v>
      </c>
      <c r="C923">
        <v>2017</v>
      </c>
      <c r="E923" t="s">
        <v>3391</v>
      </c>
    </row>
    <row r="924" spans="1:5" x14ac:dyDescent="0.25">
      <c r="A924" t="s">
        <v>90</v>
      </c>
      <c r="B924" t="s">
        <v>2739</v>
      </c>
      <c r="C924">
        <v>2017</v>
      </c>
      <c r="E924" t="s">
        <v>2983</v>
      </c>
    </row>
    <row r="925" spans="1:5" x14ac:dyDescent="0.25">
      <c r="A925" t="s">
        <v>90</v>
      </c>
      <c r="B925" t="s">
        <v>2752</v>
      </c>
      <c r="C925">
        <v>2017</v>
      </c>
      <c r="E925" t="s">
        <v>2983</v>
      </c>
    </row>
    <row r="926" spans="1:5" x14ac:dyDescent="0.25">
      <c r="A926" t="s">
        <v>90</v>
      </c>
      <c r="B926" t="s">
        <v>2783</v>
      </c>
      <c r="C926">
        <v>2017</v>
      </c>
      <c r="E926" t="s">
        <v>3128</v>
      </c>
    </row>
    <row r="927" spans="1:5" x14ac:dyDescent="0.25">
      <c r="A927" t="s">
        <v>90</v>
      </c>
      <c r="B927" t="s">
        <v>2809</v>
      </c>
      <c r="C927">
        <v>2017</v>
      </c>
      <c r="E927" t="s">
        <v>3392</v>
      </c>
    </row>
    <row r="928" spans="1:5" x14ac:dyDescent="0.25">
      <c r="A928" t="s">
        <v>90</v>
      </c>
      <c r="B928" t="s">
        <v>2819</v>
      </c>
      <c r="C928">
        <v>2017</v>
      </c>
      <c r="E928" t="s">
        <v>3159</v>
      </c>
    </row>
    <row r="929" spans="1:5" x14ac:dyDescent="0.25">
      <c r="A929" t="s">
        <v>90</v>
      </c>
      <c r="B929" t="s">
        <v>2823</v>
      </c>
      <c r="C929">
        <v>2017</v>
      </c>
      <c r="E929" t="s">
        <v>2983</v>
      </c>
    </row>
    <row r="930" spans="1:5" x14ac:dyDescent="0.25">
      <c r="A930" t="s">
        <v>90</v>
      </c>
      <c r="B930" t="s">
        <v>2857</v>
      </c>
      <c r="C930">
        <v>2017</v>
      </c>
      <c r="E930" t="s">
        <v>3393</v>
      </c>
    </row>
    <row r="931" spans="1:5" x14ac:dyDescent="0.25">
      <c r="A931" t="s">
        <v>90</v>
      </c>
      <c r="B931" t="s">
        <v>2891</v>
      </c>
      <c r="C931">
        <v>2017</v>
      </c>
      <c r="E931" t="s">
        <v>3078</v>
      </c>
    </row>
    <row r="932" spans="1:5" x14ac:dyDescent="0.25">
      <c r="A932" t="s">
        <v>90</v>
      </c>
      <c r="B932" t="s">
        <v>2897</v>
      </c>
      <c r="C932">
        <v>2017</v>
      </c>
      <c r="E932" t="s">
        <v>3394</v>
      </c>
    </row>
    <row r="933" spans="1:5" x14ac:dyDescent="0.25">
      <c r="A933" t="s">
        <v>90</v>
      </c>
      <c r="B933" t="s">
        <v>2905</v>
      </c>
      <c r="C933">
        <v>2017</v>
      </c>
      <c r="E933" t="s">
        <v>3395</v>
      </c>
    </row>
    <row r="934" spans="1:5" x14ac:dyDescent="0.25">
      <c r="A934" t="s">
        <v>90</v>
      </c>
      <c r="B934" t="s">
        <v>2925</v>
      </c>
      <c r="C934">
        <v>2017</v>
      </c>
      <c r="E934" t="s">
        <v>3396</v>
      </c>
    </row>
    <row r="935" spans="1:5" x14ac:dyDescent="0.25">
      <c r="A935" t="s">
        <v>90</v>
      </c>
      <c r="B935" t="s">
        <v>2938</v>
      </c>
      <c r="C935">
        <v>2017</v>
      </c>
      <c r="E935" t="s">
        <v>3014</v>
      </c>
    </row>
    <row r="936" spans="1:5" x14ac:dyDescent="0.25">
      <c r="A936" t="s">
        <v>90</v>
      </c>
      <c r="B936" t="s">
        <v>2951</v>
      </c>
      <c r="C936">
        <v>2017</v>
      </c>
      <c r="E936" t="s">
        <v>2983</v>
      </c>
    </row>
    <row r="937" spans="1:5" x14ac:dyDescent="0.25">
      <c r="A937" t="s">
        <v>90</v>
      </c>
      <c r="B937" t="s">
        <v>2966</v>
      </c>
      <c r="C937">
        <v>2017</v>
      </c>
      <c r="E937" t="s">
        <v>3221</v>
      </c>
    </row>
    <row r="938" spans="1:5" x14ac:dyDescent="0.25">
      <c r="A938" t="s">
        <v>2362</v>
      </c>
      <c r="B938" t="s">
        <v>543</v>
      </c>
      <c r="C938">
        <v>2018</v>
      </c>
      <c r="E938" t="s">
        <v>3023</v>
      </c>
    </row>
    <row r="939" spans="1:5" x14ac:dyDescent="0.25">
      <c r="A939" t="s">
        <v>2362</v>
      </c>
      <c r="B939" t="s">
        <v>1575</v>
      </c>
      <c r="C939">
        <v>2018</v>
      </c>
      <c r="E939" t="s">
        <v>2983</v>
      </c>
    </row>
    <row r="940" spans="1:5" x14ac:dyDescent="0.25">
      <c r="A940" t="s">
        <v>2366</v>
      </c>
      <c r="B940" t="s">
        <v>2340</v>
      </c>
      <c r="C940">
        <v>2023</v>
      </c>
      <c r="E940" t="s">
        <v>2983</v>
      </c>
    </row>
    <row r="941" spans="1:5" x14ac:dyDescent="0.25">
      <c r="A941" t="s">
        <v>2378</v>
      </c>
      <c r="B941" t="s">
        <v>563</v>
      </c>
      <c r="C941">
        <v>2021</v>
      </c>
      <c r="E941" t="s">
        <v>566</v>
      </c>
    </row>
    <row r="942" spans="1:5" x14ac:dyDescent="0.25">
      <c r="A942" t="s">
        <v>2378</v>
      </c>
      <c r="B942" t="s">
        <v>1101</v>
      </c>
      <c r="C942">
        <v>2021</v>
      </c>
      <c r="E942" t="s">
        <v>3014</v>
      </c>
    </row>
    <row r="943" spans="1:5" x14ac:dyDescent="0.25">
      <c r="A943" t="s">
        <v>2378</v>
      </c>
      <c r="B943" t="s">
        <v>1472</v>
      </c>
      <c r="C943">
        <v>2021</v>
      </c>
      <c r="E943" t="s">
        <v>3014</v>
      </c>
    </row>
    <row r="944" spans="1:5" x14ac:dyDescent="0.25">
      <c r="A944" t="s">
        <v>2378</v>
      </c>
      <c r="B944" t="s">
        <v>1542</v>
      </c>
      <c r="C944">
        <v>2021</v>
      </c>
      <c r="E944" t="s">
        <v>3161</v>
      </c>
    </row>
    <row r="945" spans="1:5" x14ac:dyDescent="0.25">
      <c r="A945" t="s">
        <v>2378</v>
      </c>
      <c r="B945" t="s">
        <v>1812</v>
      </c>
      <c r="C945">
        <v>2021</v>
      </c>
      <c r="E945" t="s">
        <v>2983</v>
      </c>
    </row>
    <row r="946" spans="1:5" x14ac:dyDescent="0.25">
      <c r="A946" t="s">
        <v>2378</v>
      </c>
      <c r="B946" t="s">
        <v>2456</v>
      </c>
      <c r="C946">
        <v>2021</v>
      </c>
      <c r="E946" t="s">
        <v>2983</v>
      </c>
    </row>
    <row r="947" spans="1:5" x14ac:dyDescent="0.25">
      <c r="A947" t="s">
        <v>2394</v>
      </c>
      <c r="B947" t="s">
        <v>2396</v>
      </c>
      <c r="C947">
        <v>2022</v>
      </c>
      <c r="D947" t="s">
        <v>187</v>
      </c>
    </row>
    <row r="948" spans="1:5" x14ac:dyDescent="0.25">
      <c r="A948" t="s">
        <v>2404</v>
      </c>
      <c r="B948" t="s">
        <v>497</v>
      </c>
      <c r="C948">
        <v>2019</v>
      </c>
      <c r="D948" t="s">
        <v>187</v>
      </c>
    </row>
    <row r="949" spans="1:5" x14ac:dyDescent="0.25">
      <c r="A949" t="s">
        <v>2421</v>
      </c>
      <c r="B949" t="s">
        <v>2425</v>
      </c>
      <c r="C949">
        <v>2012</v>
      </c>
      <c r="D949" t="s">
        <v>187</v>
      </c>
    </row>
    <row r="950" spans="1:5" x14ac:dyDescent="0.25">
      <c r="A950" t="s">
        <v>2429</v>
      </c>
      <c r="B950" t="s">
        <v>213</v>
      </c>
      <c r="C950">
        <v>2008</v>
      </c>
      <c r="E950" t="s">
        <v>3397</v>
      </c>
    </row>
    <row r="951" spans="1:5" x14ac:dyDescent="0.25">
      <c r="A951" t="s">
        <v>2429</v>
      </c>
      <c r="B951" t="s">
        <v>375</v>
      </c>
      <c r="C951">
        <v>2008</v>
      </c>
      <c r="E951" t="s">
        <v>3281</v>
      </c>
    </row>
    <row r="952" spans="1:5" x14ac:dyDescent="0.25">
      <c r="A952" t="s">
        <v>2429</v>
      </c>
      <c r="B952" t="s">
        <v>431</v>
      </c>
      <c r="C952">
        <v>2008</v>
      </c>
      <c r="E952" t="s">
        <v>2983</v>
      </c>
    </row>
    <row r="953" spans="1:5" x14ac:dyDescent="0.25">
      <c r="A953" t="s">
        <v>2429</v>
      </c>
      <c r="B953" t="s">
        <v>540</v>
      </c>
      <c r="C953">
        <v>2008</v>
      </c>
      <c r="E953" t="s">
        <v>3260</v>
      </c>
    </row>
    <row r="954" spans="1:5" x14ac:dyDescent="0.25">
      <c r="A954" t="s">
        <v>2429</v>
      </c>
      <c r="B954" t="s">
        <v>549</v>
      </c>
      <c r="C954">
        <v>2008</v>
      </c>
      <c r="E954" t="s">
        <v>3398</v>
      </c>
    </row>
    <row r="955" spans="1:5" x14ac:dyDescent="0.25">
      <c r="A955" t="s">
        <v>2429</v>
      </c>
      <c r="B955" t="s">
        <v>604</v>
      </c>
      <c r="C955">
        <v>2008</v>
      </c>
      <c r="E955" t="s">
        <v>3148</v>
      </c>
    </row>
    <row r="956" spans="1:5" x14ac:dyDescent="0.25">
      <c r="A956" t="s">
        <v>2429</v>
      </c>
      <c r="B956" t="s">
        <v>625</v>
      </c>
      <c r="C956">
        <v>2008</v>
      </c>
      <c r="E956" t="s">
        <v>3399</v>
      </c>
    </row>
    <row r="957" spans="1:5" x14ac:dyDescent="0.25">
      <c r="A957" t="s">
        <v>2429</v>
      </c>
      <c r="B957" t="s">
        <v>689</v>
      </c>
      <c r="C957">
        <v>2008</v>
      </c>
      <c r="E957" t="s">
        <v>3329</v>
      </c>
    </row>
    <row r="958" spans="1:5" x14ac:dyDescent="0.25">
      <c r="A958" t="s">
        <v>2429</v>
      </c>
      <c r="B958" t="s">
        <v>866</v>
      </c>
      <c r="C958">
        <v>2008</v>
      </c>
      <c r="E958" t="s">
        <v>3206</v>
      </c>
    </row>
    <row r="959" spans="1:5" x14ac:dyDescent="0.25">
      <c r="A959" t="s">
        <v>2429</v>
      </c>
      <c r="B959" t="s">
        <v>931</v>
      </c>
      <c r="C959">
        <v>2008</v>
      </c>
      <c r="E959" t="s">
        <v>3400</v>
      </c>
    </row>
    <row r="960" spans="1:5" x14ac:dyDescent="0.25">
      <c r="A960" t="s">
        <v>2429</v>
      </c>
      <c r="B960" t="s">
        <v>1003</v>
      </c>
      <c r="C960">
        <v>2008</v>
      </c>
      <c r="E960" t="s">
        <v>3120</v>
      </c>
    </row>
    <row r="961" spans="1:5" x14ac:dyDescent="0.25">
      <c r="A961" t="s">
        <v>2429</v>
      </c>
      <c r="B961" t="s">
        <v>1015</v>
      </c>
      <c r="C961">
        <v>2008</v>
      </c>
      <c r="E961" t="s">
        <v>3401</v>
      </c>
    </row>
    <row r="962" spans="1:5" x14ac:dyDescent="0.25">
      <c r="A962" t="s">
        <v>2429</v>
      </c>
      <c r="B962" t="s">
        <v>1047</v>
      </c>
      <c r="C962">
        <v>2008</v>
      </c>
      <c r="E962" t="s">
        <v>3306</v>
      </c>
    </row>
    <row r="963" spans="1:5" x14ac:dyDescent="0.25">
      <c r="A963" t="s">
        <v>2429</v>
      </c>
      <c r="B963" t="s">
        <v>1086</v>
      </c>
      <c r="C963">
        <v>2008</v>
      </c>
      <c r="E963" t="s">
        <v>1089</v>
      </c>
    </row>
    <row r="964" spans="1:5" x14ac:dyDescent="0.25">
      <c r="A964" t="s">
        <v>2429</v>
      </c>
      <c r="B964" t="s">
        <v>1105</v>
      </c>
      <c r="C964">
        <v>2008</v>
      </c>
      <c r="E964" t="s">
        <v>3340</v>
      </c>
    </row>
    <row r="965" spans="1:5" x14ac:dyDescent="0.25">
      <c r="A965" t="s">
        <v>2429</v>
      </c>
      <c r="B965" t="s">
        <v>1145</v>
      </c>
      <c r="C965">
        <v>2008</v>
      </c>
      <c r="E965" t="s">
        <v>3402</v>
      </c>
    </row>
    <row r="966" spans="1:5" x14ac:dyDescent="0.25">
      <c r="A966" t="s">
        <v>2429</v>
      </c>
      <c r="B966" t="s">
        <v>1220</v>
      </c>
      <c r="C966">
        <v>2008</v>
      </c>
      <c r="E966" t="s">
        <v>2983</v>
      </c>
    </row>
    <row r="967" spans="1:5" x14ac:dyDescent="0.25">
      <c r="A967" t="s">
        <v>2429</v>
      </c>
      <c r="B967" t="s">
        <v>1236</v>
      </c>
      <c r="C967">
        <v>2008</v>
      </c>
      <c r="E967" t="s">
        <v>3307</v>
      </c>
    </row>
    <row r="968" spans="1:5" x14ac:dyDescent="0.25">
      <c r="A968" t="s">
        <v>2429</v>
      </c>
      <c r="B968" t="s">
        <v>1554</v>
      </c>
      <c r="C968">
        <v>2008</v>
      </c>
      <c r="E968" t="s">
        <v>3162</v>
      </c>
    </row>
    <row r="969" spans="1:5" x14ac:dyDescent="0.25">
      <c r="A969" t="s">
        <v>2429</v>
      </c>
      <c r="B969" t="s">
        <v>1603</v>
      </c>
      <c r="C969">
        <v>2008</v>
      </c>
      <c r="E969" t="s">
        <v>3403</v>
      </c>
    </row>
    <row r="970" spans="1:5" x14ac:dyDescent="0.25">
      <c r="A970" t="s">
        <v>2429</v>
      </c>
      <c r="B970" t="s">
        <v>1701</v>
      </c>
      <c r="C970">
        <v>2008</v>
      </c>
      <c r="E970" t="s">
        <v>3211</v>
      </c>
    </row>
    <row r="971" spans="1:5" x14ac:dyDescent="0.25">
      <c r="A971" t="s">
        <v>2429</v>
      </c>
      <c r="B971" t="s">
        <v>1749</v>
      </c>
      <c r="C971">
        <v>2008</v>
      </c>
      <c r="E971" t="s">
        <v>3404</v>
      </c>
    </row>
    <row r="972" spans="1:5" x14ac:dyDescent="0.25">
      <c r="A972" t="s">
        <v>2429</v>
      </c>
      <c r="B972" t="s">
        <v>1818</v>
      </c>
      <c r="C972">
        <v>2008</v>
      </c>
      <c r="E972" t="s">
        <v>2983</v>
      </c>
    </row>
    <row r="973" spans="1:5" x14ac:dyDescent="0.25">
      <c r="A973" t="s">
        <v>2429</v>
      </c>
      <c r="B973" t="s">
        <v>2078</v>
      </c>
      <c r="C973">
        <v>2008</v>
      </c>
      <c r="E973" t="s">
        <v>3334</v>
      </c>
    </row>
    <row r="974" spans="1:5" x14ac:dyDescent="0.25">
      <c r="A974" t="s">
        <v>2429</v>
      </c>
      <c r="B974" t="s">
        <v>2174</v>
      </c>
      <c r="C974">
        <v>2008</v>
      </c>
      <c r="E974" t="s">
        <v>3405</v>
      </c>
    </row>
    <row r="975" spans="1:5" x14ac:dyDescent="0.25">
      <c r="A975" t="s">
        <v>2429</v>
      </c>
      <c r="B975" t="s">
        <v>2329</v>
      </c>
      <c r="C975">
        <v>2008</v>
      </c>
      <c r="E975" t="s">
        <v>3164</v>
      </c>
    </row>
    <row r="976" spans="1:5" x14ac:dyDescent="0.25">
      <c r="A976" t="s">
        <v>2429</v>
      </c>
      <c r="B976" t="s">
        <v>2342</v>
      </c>
      <c r="C976">
        <v>2008</v>
      </c>
      <c r="E976" t="s">
        <v>2983</v>
      </c>
    </row>
    <row r="977" spans="1:5" x14ac:dyDescent="0.25">
      <c r="A977" t="s">
        <v>2429</v>
      </c>
      <c r="B977" t="s">
        <v>2421</v>
      </c>
      <c r="C977">
        <v>2008</v>
      </c>
      <c r="D977" t="s">
        <v>187</v>
      </c>
    </row>
    <row r="978" spans="1:5" x14ac:dyDescent="0.25">
      <c r="A978" t="s">
        <v>2429</v>
      </c>
      <c r="B978" t="s">
        <v>2444</v>
      </c>
      <c r="C978">
        <v>2008</v>
      </c>
      <c r="E978" t="s">
        <v>2447</v>
      </c>
    </row>
    <row r="979" spans="1:5" x14ac:dyDescent="0.25">
      <c r="A979" t="s">
        <v>2429</v>
      </c>
      <c r="B979" t="s">
        <v>2486</v>
      </c>
      <c r="C979">
        <v>2008</v>
      </c>
      <c r="E979" t="s">
        <v>3406</v>
      </c>
    </row>
    <row r="980" spans="1:5" x14ac:dyDescent="0.25">
      <c r="A980" t="s">
        <v>2429</v>
      </c>
      <c r="B980" t="s">
        <v>2493</v>
      </c>
      <c r="C980">
        <v>2008</v>
      </c>
      <c r="E980" t="s">
        <v>3407</v>
      </c>
    </row>
    <row r="981" spans="1:5" x14ac:dyDescent="0.25">
      <c r="A981" t="s">
        <v>2429</v>
      </c>
      <c r="B981" t="s">
        <v>2531</v>
      </c>
      <c r="C981">
        <v>2008</v>
      </c>
      <c r="E981" t="s">
        <v>3219</v>
      </c>
    </row>
    <row r="982" spans="1:5" x14ac:dyDescent="0.25">
      <c r="A982" t="s">
        <v>2429</v>
      </c>
      <c r="B982" t="s">
        <v>160</v>
      </c>
      <c r="C982">
        <v>2008</v>
      </c>
      <c r="E982" t="s">
        <v>3133</v>
      </c>
    </row>
    <row r="983" spans="1:5" x14ac:dyDescent="0.25">
      <c r="A983" t="s">
        <v>2429</v>
      </c>
      <c r="B983" t="s">
        <v>2761</v>
      </c>
      <c r="C983">
        <v>2008</v>
      </c>
      <c r="E983" t="s">
        <v>3166</v>
      </c>
    </row>
    <row r="984" spans="1:5" x14ac:dyDescent="0.25">
      <c r="A984" t="s">
        <v>2429</v>
      </c>
      <c r="B984" t="s">
        <v>2797</v>
      </c>
      <c r="C984">
        <v>2018</v>
      </c>
      <c r="E984" t="s">
        <v>3172</v>
      </c>
    </row>
    <row r="985" spans="1:5" x14ac:dyDescent="0.25">
      <c r="A985" t="s">
        <v>2429</v>
      </c>
      <c r="B985" t="s">
        <v>2891</v>
      </c>
      <c r="C985">
        <v>2008</v>
      </c>
      <c r="E985" t="s">
        <v>3078</v>
      </c>
    </row>
    <row r="986" spans="1:5" x14ac:dyDescent="0.25">
      <c r="A986" t="s">
        <v>2444</v>
      </c>
      <c r="B986" t="s">
        <v>457</v>
      </c>
      <c r="C986">
        <v>2019</v>
      </c>
      <c r="D986" t="s">
        <v>187</v>
      </c>
    </row>
    <row r="987" spans="1:5" x14ac:dyDescent="0.25">
      <c r="A987" t="s">
        <v>2448</v>
      </c>
      <c r="B987" t="s">
        <v>2942</v>
      </c>
      <c r="C987">
        <v>2014</v>
      </c>
      <c r="E987" t="s">
        <v>3408</v>
      </c>
    </row>
    <row r="988" spans="1:5" x14ac:dyDescent="0.25">
      <c r="A988" t="s">
        <v>2460</v>
      </c>
      <c r="B988" t="s">
        <v>2255</v>
      </c>
      <c r="C988">
        <v>2017</v>
      </c>
      <c r="E988" t="s">
        <v>2983</v>
      </c>
    </row>
    <row r="989" spans="1:5" x14ac:dyDescent="0.25">
      <c r="A989" t="s">
        <v>2482</v>
      </c>
      <c r="B989" t="s">
        <v>1051</v>
      </c>
      <c r="C989">
        <v>2020</v>
      </c>
      <c r="E989" t="s">
        <v>3060</v>
      </c>
    </row>
    <row r="990" spans="1:5" x14ac:dyDescent="0.25">
      <c r="A990" t="s">
        <v>2490</v>
      </c>
      <c r="B990" t="s">
        <v>2875</v>
      </c>
      <c r="C990">
        <v>2002</v>
      </c>
      <c r="D990" t="s">
        <v>187</v>
      </c>
    </row>
    <row r="991" spans="1:5" x14ac:dyDescent="0.25">
      <c r="A991" t="s">
        <v>2499</v>
      </c>
      <c r="B991" t="s">
        <v>198</v>
      </c>
      <c r="C991">
        <v>2017</v>
      </c>
      <c r="D991" t="s">
        <v>187</v>
      </c>
    </row>
    <row r="992" spans="1:5" x14ac:dyDescent="0.25">
      <c r="A992" t="s">
        <v>2503</v>
      </c>
      <c r="B992" t="s">
        <v>713</v>
      </c>
      <c r="C992">
        <v>2015</v>
      </c>
      <c r="D992" t="s">
        <v>187</v>
      </c>
    </row>
    <row r="993" spans="1:5" x14ac:dyDescent="0.25">
      <c r="A993" t="s">
        <v>2507</v>
      </c>
      <c r="B993" t="s">
        <v>344</v>
      </c>
      <c r="C993">
        <v>2021</v>
      </c>
      <c r="E993" t="s">
        <v>2983</v>
      </c>
    </row>
    <row r="994" spans="1:5" x14ac:dyDescent="0.25">
      <c r="A994" t="s">
        <v>2507</v>
      </c>
      <c r="B994" t="s">
        <v>730</v>
      </c>
      <c r="C994">
        <v>2021</v>
      </c>
      <c r="E994" t="s">
        <v>3027</v>
      </c>
    </row>
    <row r="995" spans="1:5" x14ac:dyDescent="0.25">
      <c r="A995" t="s">
        <v>2507</v>
      </c>
      <c r="B995" t="s">
        <v>1072</v>
      </c>
      <c r="C995">
        <v>2021</v>
      </c>
      <c r="E995" t="s">
        <v>3014</v>
      </c>
    </row>
    <row r="996" spans="1:5" x14ac:dyDescent="0.25">
      <c r="A996" t="s">
        <v>2507</v>
      </c>
      <c r="B996" t="s">
        <v>1476</v>
      </c>
      <c r="C996">
        <v>2021</v>
      </c>
      <c r="E996" t="s">
        <v>2983</v>
      </c>
    </row>
    <row r="997" spans="1:5" x14ac:dyDescent="0.25">
      <c r="A997" t="s">
        <v>2507</v>
      </c>
      <c r="B997" t="s">
        <v>1504</v>
      </c>
      <c r="C997">
        <v>2021</v>
      </c>
      <c r="E997" t="s">
        <v>3012</v>
      </c>
    </row>
    <row r="998" spans="1:5" x14ac:dyDescent="0.25">
      <c r="A998" t="s">
        <v>2507</v>
      </c>
      <c r="B998" t="s">
        <v>1588</v>
      </c>
      <c r="C998">
        <v>2021</v>
      </c>
      <c r="E998" t="s">
        <v>2983</v>
      </c>
    </row>
    <row r="999" spans="1:5" x14ac:dyDescent="0.25">
      <c r="A999" t="s">
        <v>2507</v>
      </c>
      <c r="B999" t="s">
        <v>1634</v>
      </c>
      <c r="C999">
        <v>2021</v>
      </c>
      <c r="E999" t="s">
        <v>2983</v>
      </c>
    </row>
    <row r="1000" spans="1:5" x14ac:dyDescent="0.25">
      <c r="A1000" t="s">
        <v>2507</v>
      </c>
      <c r="B1000" t="s">
        <v>1852</v>
      </c>
      <c r="C1000">
        <v>2021</v>
      </c>
      <c r="E1000" t="s">
        <v>2983</v>
      </c>
    </row>
    <row r="1001" spans="1:5" x14ac:dyDescent="0.25">
      <c r="A1001" t="s">
        <v>2507</v>
      </c>
      <c r="B1001" t="s">
        <v>1864</v>
      </c>
      <c r="C1001">
        <v>2021</v>
      </c>
      <c r="E1001" t="s">
        <v>2983</v>
      </c>
    </row>
    <row r="1002" spans="1:5" x14ac:dyDescent="0.25">
      <c r="A1002" t="s">
        <v>2507</v>
      </c>
      <c r="B1002" t="s">
        <v>2223</v>
      </c>
      <c r="C1002">
        <v>2021</v>
      </c>
      <c r="E1002" t="s">
        <v>3044</v>
      </c>
    </row>
    <row r="1003" spans="1:5" x14ac:dyDescent="0.25">
      <c r="A1003" t="s">
        <v>2507</v>
      </c>
      <c r="B1003" t="s">
        <v>2696</v>
      </c>
      <c r="C1003">
        <v>2021</v>
      </c>
      <c r="E1003" t="s">
        <v>2985</v>
      </c>
    </row>
    <row r="1004" spans="1:5" x14ac:dyDescent="0.25">
      <c r="A1004" t="s">
        <v>2507</v>
      </c>
      <c r="B1004" t="s">
        <v>7757</v>
      </c>
      <c r="C1004">
        <v>2021</v>
      </c>
      <c r="E1004" t="s">
        <v>7756</v>
      </c>
    </row>
    <row r="1005" spans="1:5" x14ac:dyDescent="0.25">
      <c r="A1005" t="s">
        <v>2519</v>
      </c>
      <c r="B1005" t="s">
        <v>1236</v>
      </c>
      <c r="C1005">
        <v>2013</v>
      </c>
      <c r="E1005" t="s">
        <v>3307</v>
      </c>
    </row>
    <row r="1006" spans="1:5" x14ac:dyDescent="0.25">
      <c r="A1006" t="s">
        <v>2523</v>
      </c>
      <c r="B1006" t="s">
        <v>1812</v>
      </c>
      <c r="C1006">
        <v>2025</v>
      </c>
      <c r="E1006" t="s">
        <v>2983</v>
      </c>
    </row>
    <row r="1007" spans="1:5" x14ac:dyDescent="0.25">
      <c r="A1007" t="s">
        <v>2535</v>
      </c>
      <c r="B1007" t="s">
        <v>2191</v>
      </c>
      <c r="C1007">
        <v>1982</v>
      </c>
      <c r="E1007" t="s">
        <v>3175</v>
      </c>
    </row>
    <row r="1008" spans="1:5" x14ac:dyDescent="0.25">
      <c r="A1008" t="s">
        <v>2538</v>
      </c>
      <c r="B1008" t="s">
        <v>2541</v>
      </c>
      <c r="C1008">
        <v>2021</v>
      </c>
      <c r="D1008" t="s">
        <v>187</v>
      </c>
    </row>
    <row r="1009" spans="1:5" x14ac:dyDescent="0.25">
      <c r="A1009" t="s">
        <v>2557</v>
      </c>
      <c r="B1009" t="s">
        <v>2555</v>
      </c>
      <c r="C1009">
        <v>2018</v>
      </c>
      <c r="D1009" t="s">
        <v>187</v>
      </c>
    </row>
    <row r="1010" spans="1:5" x14ac:dyDescent="0.25">
      <c r="A1010" t="s">
        <v>2572</v>
      </c>
      <c r="B1010" t="s">
        <v>517</v>
      </c>
      <c r="C1010">
        <v>1998</v>
      </c>
      <c r="E1010" t="s">
        <v>3153</v>
      </c>
    </row>
    <row r="1011" spans="1:5" x14ac:dyDescent="0.25">
      <c r="A1011" t="s">
        <v>2572</v>
      </c>
      <c r="B1011" t="s">
        <v>985</v>
      </c>
      <c r="C1011">
        <v>1998</v>
      </c>
      <c r="E1011" t="s">
        <v>2989</v>
      </c>
    </row>
    <row r="1012" spans="1:5" x14ac:dyDescent="0.25">
      <c r="A1012" t="s">
        <v>2572</v>
      </c>
      <c r="B1012" t="s">
        <v>1421</v>
      </c>
      <c r="C1012">
        <v>1998</v>
      </c>
      <c r="E1012" t="s">
        <v>2993</v>
      </c>
    </row>
    <row r="1013" spans="1:5" x14ac:dyDescent="0.25">
      <c r="A1013" t="s">
        <v>2572</v>
      </c>
      <c r="B1013" t="s">
        <v>1514</v>
      </c>
      <c r="C1013">
        <v>1998</v>
      </c>
      <c r="E1013" t="s">
        <v>3061</v>
      </c>
    </row>
    <row r="1014" spans="1:5" x14ac:dyDescent="0.25">
      <c r="A1014" t="s">
        <v>2572</v>
      </c>
      <c r="B1014" t="s">
        <v>1938</v>
      </c>
      <c r="C1014">
        <v>1998</v>
      </c>
      <c r="E1014" t="s">
        <v>1941</v>
      </c>
    </row>
    <row r="1015" spans="1:5" x14ac:dyDescent="0.25">
      <c r="A1015" t="s">
        <v>2572</v>
      </c>
      <c r="B1015" t="s">
        <v>2108</v>
      </c>
      <c r="C1015">
        <v>1998</v>
      </c>
      <c r="E1015" t="s">
        <v>3142</v>
      </c>
    </row>
    <row r="1016" spans="1:5" x14ac:dyDescent="0.25">
      <c r="A1016" t="s">
        <v>2572</v>
      </c>
      <c r="B1016" t="s">
        <v>2161</v>
      </c>
      <c r="C1016">
        <v>1998</v>
      </c>
      <c r="E1016" t="s">
        <v>2996</v>
      </c>
    </row>
    <row r="1017" spans="1:5" x14ac:dyDescent="0.25">
      <c r="A1017" t="s">
        <v>2572</v>
      </c>
      <c r="B1017" t="s">
        <v>2579</v>
      </c>
      <c r="C1017">
        <v>1998</v>
      </c>
      <c r="E1017" t="s">
        <v>3173</v>
      </c>
    </row>
    <row r="1018" spans="1:5" x14ac:dyDescent="0.25">
      <c r="A1018" t="s">
        <v>2579</v>
      </c>
      <c r="B1018" t="s">
        <v>1514</v>
      </c>
      <c r="C1018">
        <v>2017</v>
      </c>
      <c r="E1018" t="s">
        <v>3061</v>
      </c>
    </row>
    <row r="1019" spans="1:5" x14ac:dyDescent="0.25">
      <c r="A1019" t="s">
        <v>2595</v>
      </c>
      <c r="B1019" t="s">
        <v>1009</v>
      </c>
      <c r="C1019">
        <v>2019</v>
      </c>
      <c r="E1019" t="s">
        <v>2983</v>
      </c>
    </row>
    <row r="1020" spans="1:5" x14ac:dyDescent="0.25">
      <c r="A1020" t="s">
        <v>2595</v>
      </c>
      <c r="B1020" t="s">
        <v>1504</v>
      </c>
      <c r="C1020">
        <v>2019</v>
      </c>
      <c r="E1020" t="s">
        <v>3012</v>
      </c>
    </row>
    <row r="1021" spans="1:5" x14ac:dyDescent="0.25">
      <c r="A1021" t="s">
        <v>2595</v>
      </c>
      <c r="B1021" t="s">
        <v>2265</v>
      </c>
      <c r="C1021">
        <v>2019</v>
      </c>
      <c r="E1021" t="s">
        <v>3385</v>
      </c>
    </row>
    <row r="1022" spans="1:5" x14ac:dyDescent="0.25">
      <c r="A1022" t="s">
        <v>2595</v>
      </c>
      <c r="B1022" t="s">
        <v>2615</v>
      </c>
      <c r="C1022">
        <v>2019</v>
      </c>
      <c r="E1022" t="s">
        <v>3158</v>
      </c>
    </row>
    <row r="1023" spans="1:5" x14ac:dyDescent="0.25">
      <c r="A1023" t="s">
        <v>2595</v>
      </c>
      <c r="B1023" t="s">
        <v>2696</v>
      </c>
      <c r="C1023">
        <v>2019</v>
      </c>
      <c r="E1023" t="s">
        <v>2985</v>
      </c>
    </row>
    <row r="1024" spans="1:5" x14ac:dyDescent="0.25">
      <c r="A1024" t="s">
        <v>2615</v>
      </c>
      <c r="B1024" t="s">
        <v>1864</v>
      </c>
      <c r="C1024">
        <v>2025</v>
      </c>
      <c r="E1024" t="s">
        <v>2983</v>
      </c>
    </row>
    <row r="1025" spans="1:5" x14ac:dyDescent="0.25">
      <c r="A1025" t="s">
        <v>2615</v>
      </c>
      <c r="B1025" t="s">
        <v>2764</v>
      </c>
      <c r="C1025">
        <v>2025</v>
      </c>
      <c r="E1025" t="s">
        <v>3015</v>
      </c>
    </row>
    <row r="1026" spans="1:5" x14ac:dyDescent="0.25">
      <c r="A1026" t="s">
        <v>160</v>
      </c>
      <c r="B1026" t="s">
        <v>190</v>
      </c>
      <c r="C1026">
        <v>2011</v>
      </c>
      <c r="E1026" t="s">
        <v>3085</v>
      </c>
    </row>
    <row r="1027" spans="1:5" x14ac:dyDescent="0.25">
      <c r="A1027" t="s">
        <v>160</v>
      </c>
      <c r="B1027" t="s">
        <v>213</v>
      </c>
      <c r="C1027">
        <v>2011</v>
      </c>
      <c r="E1027" t="s">
        <v>3397</v>
      </c>
    </row>
    <row r="1028" spans="1:5" x14ac:dyDescent="0.25">
      <c r="A1028" t="s">
        <v>160</v>
      </c>
      <c r="B1028" t="s">
        <v>217</v>
      </c>
      <c r="C1028">
        <v>2011</v>
      </c>
      <c r="E1028" t="s">
        <v>3409</v>
      </c>
    </row>
    <row r="1029" spans="1:5" x14ac:dyDescent="0.25">
      <c r="A1029" t="s">
        <v>160</v>
      </c>
      <c r="B1029" t="s">
        <v>253</v>
      </c>
      <c r="C1029">
        <v>2011</v>
      </c>
      <c r="E1029" t="s">
        <v>3114</v>
      </c>
    </row>
    <row r="1030" spans="1:5" x14ac:dyDescent="0.25">
      <c r="A1030" t="s">
        <v>160</v>
      </c>
      <c r="B1030" t="s">
        <v>308</v>
      </c>
      <c r="C1030">
        <v>2011</v>
      </c>
      <c r="E1030" t="s">
        <v>3187</v>
      </c>
    </row>
    <row r="1031" spans="1:5" x14ac:dyDescent="0.25">
      <c r="A1031" t="s">
        <v>160</v>
      </c>
      <c r="B1031" t="s">
        <v>415</v>
      </c>
      <c r="C1031">
        <v>2011</v>
      </c>
      <c r="E1031" t="s">
        <v>3189</v>
      </c>
    </row>
    <row r="1032" spans="1:5" x14ac:dyDescent="0.25">
      <c r="A1032" t="s">
        <v>160</v>
      </c>
      <c r="B1032" t="s">
        <v>431</v>
      </c>
      <c r="C1032">
        <v>2011</v>
      </c>
      <c r="E1032" t="s">
        <v>2983</v>
      </c>
    </row>
    <row r="1033" spans="1:5" x14ac:dyDescent="0.25">
      <c r="A1033" t="s">
        <v>160</v>
      </c>
      <c r="B1033" t="s">
        <v>501</v>
      </c>
      <c r="C1033">
        <v>2011</v>
      </c>
      <c r="E1033" t="s">
        <v>3190</v>
      </c>
    </row>
    <row r="1034" spans="1:5" x14ac:dyDescent="0.25">
      <c r="A1034" t="s">
        <v>160</v>
      </c>
      <c r="B1034" t="s">
        <v>557</v>
      </c>
      <c r="C1034">
        <v>2011</v>
      </c>
      <c r="E1034" t="s">
        <v>3410</v>
      </c>
    </row>
    <row r="1035" spans="1:5" x14ac:dyDescent="0.25">
      <c r="A1035" t="s">
        <v>160</v>
      </c>
      <c r="B1035" t="s">
        <v>610</v>
      </c>
      <c r="C1035">
        <v>2011</v>
      </c>
      <c r="E1035" t="s">
        <v>3068</v>
      </c>
    </row>
    <row r="1036" spans="1:5" x14ac:dyDescent="0.25">
      <c r="A1036" t="s">
        <v>160</v>
      </c>
      <c r="B1036" t="s">
        <v>635</v>
      </c>
      <c r="C1036">
        <v>2011</v>
      </c>
      <c r="E1036" t="s">
        <v>3411</v>
      </c>
    </row>
    <row r="1037" spans="1:5" x14ac:dyDescent="0.25">
      <c r="A1037" t="s">
        <v>160</v>
      </c>
      <c r="B1037" t="s">
        <v>689</v>
      </c>
      <c r="C1037">
        <v>2011</v>
      </c>
      <c r="E1037" t="s">
        <v>3329</v>
      </c>
    </row>
    <row r="1038" spans="1:5" x14ac:dyDescent="0.25">
      <c r="A1038" t="s">
        <v>160</v>
      </c>
      <c r="B1038" t="s">
        <v>709</v>
      </c>
      <c r="C1038">
        <v>2011</v>
      </c>
      <c r="E1038" t="s">
        <v>3117</v>
      </c>
    </row>
    <row r="1039" spans="1:5" x14ac:dyDescent="0.25">
      <c r="A1039" t="s">
        <v>160</v>
      </c>
      <c r="B1039" t="s">
        <v>759</v>
      </c>
      <c r="C1039">
        <v>2011</v>
      </c>
      <c r="E1039" t="s">
        <v>3319</v>
      </c>
    </row>
    <row r="1040" spans="1:5" x14ac:dyDescent="0.25">
      <c r="A1040" t="s">
        <v>160</v>
      </c>
      <c r="B1040" t="s">
        <v>763</v>
      </c>
      <c r="C1040">
        <v>2011</v>
      </c>
      <c r="E1040" t="s">
        <v>3412</v>
      </c>
    </row>
    <row r="1041" spans="1:5" x14ac:dyDescent="0.25">
      <c r="A1041" t="s">
        <v>160</v>
      </c>
      <c r="B1041" t="s">
        <v>846</v>
      </c>
      <c r="C1041">
        <v>2011</v>
      </c>
      <c r="E1041" t="s">
        <v>3118</v>
      </c>
    </row>
    <row r="1042" spans="1:5" x14ac:dyDescent="0.25">
      <c r="A1042" t="s">
        <v>160</v>
      </c>
      <c r="B1042" t="s">
        <v>855</v>
      </c>
      <c r="C1042">
        <v>2011</v>
      </c>
      <c r="E1042" t="s">
        <v>3413</v>
      </c>
    </row>
    <row r="1043" spans="1:5" x14ac:dyDescent="0.25">
      <c r="A1043" t="s">
        <v>160</v>
      </c>
      <c r="B1043" t="s">
        <v>949</v>
      </c>
      <c r="C1043">
        <v>2011</v>
      </c>
      <c r="E1043" t="s">
        <v>3119</v>
      </c>
    </row>
    <row r="1044" spans="1:5" x14ac:dyDescent="0.25">
      <c r="A1044" t="s">
        <v>160</v>
      </c>
      <c r="B1044" t="s">
        <v>993</v>
      </c>
      <c r="C1044">
        <v>2011</v>
      </c>
      <c r="E1044" t="s">
        <v>2983</v>
      </c>
    </row>
    <row r="1045" spans="1:5" x14ac:dyDescent="0.25">
      <c r="A1045" t="s">
        <v>160</v>
      </c>
      <c r="B1045" t="s">
        <v>1030</v>
      </c>
      <c r="C1045">
        <v>2011</v>
      </c>
      <c r="E1045" t="s">
        <v>2983</v>
      </c>
    </row>
    <row r="1046" spans="1:5" x14ac:dyDescent="0.25">
      <c r="A1046" t="s">
        <v>160</v>
      </c>
      <c r="B1046" t="s">
        <v>1047</v>
      </c>
      <c r="C1046">
        <v>2011</v>
      </c>
      <c r="E1046" t="s">
        <v>3306</v>
      </c>
    </row>
    <row r="1047" spans="1:5" x14ac:dyDescent="0.25">
      <c r="A1047" t="s">
        <v>160</v>
      </c>
      <c r="B1047" t="s">
        <v>1134</v>
      </c>
      <c r="C1047">
        <v>2011</v>
      </c>
      <c r="E1047" t="s">
        <v>3014</v>
      </c>
    </row>
    <row r="1048" spans="1:5" x14ac:dyDescent="0.25">
      <c r="A1048" t="s">
        <v>160</v>
      </c>
      <c r="B1048" t="s">
        <v>1149</v>
      </c>
      <c r="C1048">
        <v>2011</v>
      </c>
      <c r="E1048" t="s">
        <v>3414</v>
      </c>
    </row>
    <row r="1049" spans="1:5" x14ac:dyDescent="0.25">
      <c r="A1049" t="s">
        <v>160</v>
      </c>
      <c r="B1049" t="s">
        <v>1220</v>
      </c>
      <c r="C1049">
        <v>2011</v>
      </c>
      <c r="E1049" t="s">
        <v>2983</v>
      </c>
    </row>
    <row r="1050" spans="1:5" x14ac:dyDescent="0.25">
      <c r="A1050" t="s">
        <v>160</v>
      </c>
      <c r="B1050" t="s">
        <v>1228</v>
      </c>
      <c r="C1050">
        <v>2011</v>
      </c>
      <c r="E1050" t="s">
        <v>3331</v>
      </c>
    </row>
    <row r="1051" spans="1:5" x14ac:dyDescent="0.25">
      <c r="A1051" t="s">
        <v>160</v>
      </c>
      <c r="B1051" t="s">
        <v>1321</v>
      </c>
      <c r="C1051">
        <v>2011</v>
      </c>
      <c r="E1051" t="s">
        <v>3209</v>
      </c>
    </row>
    <row r="1052" spans="1:5" x14ac:dyDescent="0.25">
      <c r="A1052" t="s">
        <v>160</v>
      </c>
      <c r="B1052" t="s">
        <v>1517</v>
      </c>
      <c r="C1052">
        <v>2011</v>
      </c>
      <c r="E1052" t="s">
        <v>2983</v>
      </c>
    </row>
    <row r="1053" spans="1:5" x14ac:dyDescent="0.25">
      <c r="A1053" t="s">
        <v>160</v>
      </c>
      <c r="B1053" t="s">
        <v>1564</v>
      </c>
      <c r="C1053">
        <v>2011</v>
      </c>
      <c r="E1053" t="s">
        <v>2983</v>
      </c>
    </row>
    <row r="1054" spans="1:5" x14ac:dyDescent="0.25">
      <c r="A1054" t="s">
        <v>160</v>
      </c>
      <c r="B1054" t="s">
        <v>1595</v>
      </c>
      <c r="C1054">
        <v>2011</v>
      </c>
      <c r="E1054" t="s">
        <v>3300</v>
      </c>
    </row>
    <row r="1055" spans="1:5" x14ac:dyDescent="0.25">
      <c r="A1055" t="s">
        <v>160</v>
      </c>
      <c r="B1055" t="s">
        <v>1603</v>
      </c>
      <c r="C1055">
        <v>2011</v>
      </c>
      <c r="E1055" t="s">
        <v>3403</v>
      </c>
    </row>
    <row r="1056" spans="1:5" x14ac:dyDescent="0.25">
      <c r="A1056" t="s">
        <v>160</v>
      </c>
      <c r="B1056" t="s">
        <v>1607</v>
      </c>
      <c r="C1056">
        <v>2011</v>
      </c>
      <c r="E1056" t="s">
        <v>3236</v>
      </c>
    </row>
    <row r="1057" spans="1:5" x14ac:dyDescent="0.25">
      <c r="A1057" t="s">
        <v>160</v>
      </c>
      <c r="B1057" t="s">
        <v>1650</v>
      </c>
      <c r="C1057">
        <v>2011</v>
      </c>
      <c r="D1057" t="s">
        <v>187</v>
      </c>
    </row>
    <row r="1058" spans="1:5" x14ac:dyDescent="0.25">
      <c r="A1058" t="s">
        <v>160</v>
      </c>
      <c r="B1058" t="s">
        <v>1701</v>
      </c>
      <c r="C1058">
        <v>2011</v>
      </c>
      <c r="E1058" t="s">
        <v>3211</v>
      </c>
    </row>
    <row r="1059" spans="1:5" x14ac:dyDescent="0.25">
      <c r="A1059" t="s">
        <v>160</v>
      </c>
      <c r="B1059" t="s">
        <v>1714</v>
      </c>
      <c r="C1059">
        <v>2011</v>
      </c>
      <c r="E1059" t="s">
        <v>3342</v>
      </c>
    </row>
    <row r="1060" spans="1:5" x14ac:dyDescent="0.25">
      <c r="A1060" t="s">
        <v>160</v>
      </c>
      <c r="B1060" t="s">
        <v>1788</v>
      </c>
      <c r="C1060">
        <v>2011</v>
      </c>
      <c r="E1060" t="s">
        <v>2983</v>
      </c>
    </row>
    <row r="1061" spans="1:5" x14ac:dyDescent="0.25">
      <c r="A1061" t="s">
        <v>160</v>
      </c>
      <c r="B1061" t="s">
        <v>1826</v>
      </c>
      <c r="C1061">
        <v>2011</v>
      </c>
      <c r="E1061" t="s">
        <v>1829</v>
      </c>
    </row>
    <row r="1062" spans="1:5" x14ac:dyDescent="0.25">
      <c r="A1062" t="s">
        <v>160</v>
      </c>
      <c r="B1062" t="s">
        <v>1844</v>
      </c>
      <c r="C1062">
        <v>2011</v>
      </c>
      <c r="E1062" t="s">
        <v>3415</v>
      </c>
    </row>
    <row r="1063" spans="1:5" x14ac:dyDescent="0.25">
      <c r="A1063" t="s">
        <v>160</v>
      </c>
      <c r="B1063" t="s">
        <v>1852</v>
      </c>
      <c r="C1063">
        <v>2011</v>
      </c>
      <c r="E1063" t="s">
        <v>2983</v>
      </c>
    </row>
    <row r="1064" spans="1:5" x14ac:dyDescent="0.25">
      <c r="A1064" t="s">
        <v>160</v>
      </c>
      <c r="B1064" t="s">
        <v>1868</v>
      </c>
      <c r="C1064">
        <v>2011</v>
      </c>
      <c r="E1064" t="s">
        <v>3379</v>
      </c>
    </row>
    <row r="1065" spans="1:5" x14ac:dyDescent="0.25">
      <c r="A1065" t="s">
        <v>160</v>
      </c>
      <c r="B1065" t="s">
        <v>1912</v>
      </c>
      <c r="C1065">
        <v>2011</v>
      </c>
      <c r="E1065" t="s">
        <v>3214</v>
      </c>
    </row>
    <row r="1066" spans="1:5" x14ac:dyDescent="0.25">
      <c r="A1066" t="s">
        <v>160</v>
      </c>
      <c r="B1066" t="s">
        <v>1928</v>
      </c>
      <c r="C1066">
        <v>2011</v>
      </c>
      <c r="E1066" t="s">
        <v>2983</v>
      </c>
    </row>
    <row r="1067" spans="1:5" x14ac:dyDescent="0.25">
      <c r="A1067" t="s">
        <v>160</v>
      </c>
      <c r="B1067" t="s">
        <v>1934</v>
      </c>
      <c r="C1067">
        <v>2011</v>
      </c>
      <c r="E1067" t="s">
        <v>3416</v>
      </c>
    </row>
    <row r="1068" spans="1:5" x14ac:dyDescent="0.25">
      <c r="A1068" t="s">
        <v>160</v>
      </c>
      <c r="B1068" t="s">
        <v>1942</v>
      </c>
      <c r="C1068">
        <v>2011</v>
      </c>
      <c r="E1068" t="s">
        <v>3417</v>
      </c>
    </row>
    <row r="1069" spans="1:5" x14ac:dyDescent="0.25">
      <c r="A1069" t="s">
        <v>160</v>
      </c>
      <c r="B1069" t="s">
        <v>7695</v>
      </c>
      <c r="C1069">
        <v>2011</v>
      </c>
      <c r="E1069" t="s">
        <v>7698</v>
      </c>
    </row>
    <row r="1070" spans="1:5" x14ac:dyDescent="0.25">
      <c r="A1070" t="s">
        <v>160</v>
      </c>
      <c r="B1070" t="s">
        <v>2029</v>
      </c>
      <c r="C1070">
        <v>2011</v>
      </c>
      <c r="E1070" t="s">
        <v>3418</v>
      </c>
    </row>
    <row r="1071" spans="1:5" x14ac:dyDescent="0.25">
      <c r="A1071" t="s">
        <v>160</v>
      </c>
      <c r="B1071" t="s">
        <v>2059</v>
      </c>
      <c r="C1071">
        <v>2011</v>
      </c>
      <c r="E1071" t="s">
        <v>3419</v>
      </c>
    </row>
    <row r="1072" spans="1:5" x14ac:dyDescent="0.25">
      <c r="A1072" t="s">
        <v>160</v>
      </c>
      <c r="B1072" t="s">
        <v>2100</v>
      </c>
      <c r="C1072">
        <v>2011</v>
      </c>
      <c r="E1072" t="s">
        <v>3420</v>
      </c>
    </row>
    <row r="1073" spans="1:5" x14ac:dyDescent="0.25">
      <c r="A1073" t="s">
        <v>160</v>
      </c>
      <c r="B1073" t="s">
        <v>2174</v>
      </c>
      <c r="C1073">
        <v>2011</v>
      </c>
      <c r="E1073" t="s">
        <v>3405</v>
      </c>
    </row>
    <row r="1074" spans="1:5" x14ac:dyDescent="0.25">
      <c r="A1074" t="s">
        <v>160</v>
      </c>
      <c r="B1074" t="s">
        <v>2252</v>
      </c>
      <c r="C1074">
        <v>2011</v>
      </c>
      <c r="E1074" t="s">
        <v>2983</v>
      </c>
    </row>
    <row r="1075" spans="1:5" x14ac:dyDescent="0.25">
      <c r="A1075" t="s">
        <v>160</v>
      </c>
      <c r="B1075" t="s">
        <v>2289</v>
      </c>
      <c r="C1075">
        <v>2011</v>
      </c>
      <c r="E1075" t="s">
        <v>2983</v>
      </c>
    </row>
    <row r="1076" spans="1:5" x14ac:dyDescent="0.25">
      <c r="A1076" t="s">
        <v>160</v>
      </c>
      <c r="B1076" t="s">
        <v>90</v>
      </c>
      <c r="C1076">
        <v>2011</v>
      </c>
      <c r="E1076" t="s">
        <v>3169</v>
      </c>
    </row>
    <row r="1077" spans="1:5" x14ac:dyDescent="0.25">
      <c r="A1077" t="s">
        <v>160</v>
      </c>
      <c r="B1077" t="s">
        <v>2404</v>
      </c>
      <c r="C1077">
        <v>2011</v>
      </c>
      <c r="E1077" t="s">
        <v>3126</v>
      </c>
    </row>
    <row r="1078" spans="1:5" x14ac:dyDescent="0.25">
      <c r="A1078" t="s">
        <v>160</v>
      </c>
      <c r="B1078" t="s">
        <v>2460</v>
      </c>
      <c r="C1078">
        <v>2011</v>
      </c>
      <c r="E1078" t="s">
        <v>3421</v>
      </c>
    </row>
    <row r="1079" spans="1:5" x14ac:dyDescent="0.25">
      <c r="A1079" t="s">
        <v>160</v>
      </c>
      <c r="B1079" t="s">
        <v>2493</v>
      </c>
      <c r="C1079">
        <v>2011</v>
      </c>
      <c r="E1079" t="s">
        <v>3407</v>
      </c>
    </row>
    <row r="1080" spans="1:5" x14ac:dyDescent="0.25">
      <c r="A1080" t="s">
        <v>160</v>
      </c>
      <c r="B1080" t="s">
        <v>2531</v>
      </c>
      <c r="C1080">
        <v>2011</v>
      </c>
      <c r="E1080" t="s">
        <v>3219</v>
      </c>
    </row>
    <row r="1081" spans="1:5" x14ac:dyDescent="0.25">
      <c r="A1081" t="s">
        <v>160</v>
      </c>
      <c r="B1081" t="s">
        <v>2568</v>
      </c>
      <c r="C1081">
        <v>2011</v>
      </c>
      <c r="E1081" t="s">
        <v>2983</v>
      </c>
    </row>
    <row r="1082" spans="1:5" x14ac:dyDescent="0.25">
      <c r="A1082" t="s">
        <v>160</v>
      </c>
      <c r="B1082" t="s">
        <v>2620</v>
      </c>
      <c r="C1082">
        <v>2011</v>
      </c>
      <c r="D1082" t="s">
        <v>187</v>
      </c>
    </row>
    <row r="1083" spans="1:5" x14ac:dyDescent="0.25">
      <c r="A1083" t="s">
        <v>160</v>
      </c>
      <c r="B1083" t="s">
        <v>2646</v>
      </c>
      <c r="C1083">
        <v>2011</v>
      </c>
      <c r="E1083" t="s">
        <v>3422</v>
      </c>
    </row>
    <row r="1084" spans="1:5" x14ac:dyDescent="0.25">
      <c r="A1084" t="s">
        <v>160</v>
      </c>
      <c r="B1084" t="s">
        <v>2653</v>
      </c>
      <c r="C1084">
        <v>2011</v>
      </c>
      <c r="D1084" t="s">
        <v>187</v>
      </c>
    </row>
    <row r="1085" spans="1:5" x14ac:dyDescent="0.25">
      <c r="A1085" t="s">
        <v>160</v>
      </c>
      <c r="B1085" t="s">
        <v>2680</v>
      </c>
      <c r="C1085">
        <v>2011</v>
      </c>
      <c r="E1085" t="s">
        <v>3423</v>
      </c>
    </row>
    <row r="1086" spans="1:5" x14ac:dyDescent="0.25">
      <c r="A1086" t="s">
        <v>160</v>
      </c>
      <c r="B1086" t="s">
        <v>2699</v>
      </c>
      <c r="C1086">
        <v>2011</v>
      </c>
      <c r="E1086" t="s">
        <v>3197</v>
      </c>
    </row>
    <row r="1087" spans="1:5" x14ac:dyDescent="0.25">
      <c r="A1087" t="s">
        <v>160</v>
      </c>
      <c r="B1087" t="s">
        <v>2712</v>
      </c>
      <c r="C1087">
        <v>2011</v>
      </c>
      <c r="E1087" t="s">
        <v>3198</v>
      </c>
    </row>
    <row r="1088" spans="1:5" x14ac:dyDescent="0.25">
      <c r="A1088" t="s">
        <v>160</v>
      </c>
      <c r="B1088" t="s">
        <v>2748</v>
      </c>
      <c r="C1088">
        <v>2011</v>
      </c>
      <c r="E1088" t="s">
        <v>3424</v>
      </c>
    </row>
    <row r="1089" spans="1:5" x14ac:dyDescent="0.25">
      <c r="A1089" t="s">
        <v>160</v>
      </c>
      <c r="B1089" t="s">
        <v>2761</v>
      </c>
      <c r="C1089">
        <v>2011</v>
      </c>
      <c r="E1089" t="s">
        <v>3166</v>
      </c>
    </row>
    <row r="1090" spans="1:5" x14ac:dyDescent="0.25">
      <c r="A1090" t="s">
        <v>160</v>
      </c>
      <c r="B1090" t="s">
        <v>2770</v>
      </c>
      <c r="C1090">
        <v>2011</v>
      </c>
      <c r="E1090" t="s">
        <v>3180</v>
      </c>
    </row>
    <row r="1091" spans="1:5" x14ac:dyDescent="0.25">
      <c r="A1091" t="s">
        <v>160</v>
      </c>
      <c r="B1091" t="s">
        <v>2783</v>
      </c>
      <c r="C1091">
        <v>2011</v>
      </c>
      <c r="E1091" t="s">
        <v>3128</v>
      </c>
    </row>
    <row r="1092" spans="1:5" x14ac:dyDescent="0.25">
      <c r="A1092" t="s">
        <v>160</v>
      </c>
      <c r="B1092" t="s">
        <v>2891</v>
      </c>
      <c r="C1092">
        <v>2011</v>
      </c>
      <c r="E1092" t="s">
        <v>3078</v>
      </c>
    </row>
    <row r="1093" spans="1:5" x14ac:dyDescent="0.25">
      <c r="A1093" t="s">
        <v>160</v>
      </c>
      <c r="B1093" t="s">
        <v>2915</v>
      </c>
      <c r="C1093">
        <v>2011</v>
      </c>
      <c r="E1093" t="s">
        <v>2983</v>
      </c>
    </row>
    <row r="1094" spans="1:5" x14ac:dyDescent="0.25">
      <c r="A1094" t="s">
        <v>2626</v>
      </c>
      <c r="B1094" t="s">
        <v>1053</v>
      </c>
      <c r="C1094">
        <v>2000</v>
      </c>
      <c r="D1094" t="s">
        <v>187</v>
      </c>
      <c r="E1094" t="s">
        <v>3335</v>
      </c>
    </row>
    <row r="1095" spans="1:5" x14ac:dyDescent="0.25">
      <c r="A1095" t="s">
        <v>2626</v>
      </c>
      <c r="B1095" t="s">
        <v>2167</v>
      </c>
      <c r="C1095">
        <v>2000</v>
      </c>
      <c r="D1095" t="s">
        <v>187</v>
      </c>
    </row>
    <row r="1096" spans="1:5" x14ac:dyDescent="0.25">
      <c r="A1096" t="s">
        <v>2635</v>
      </c>
      <c r="B1096" t="s">
        <v>2963</v>
      </c>
      <c r="C1096">
        <v>2014</v>
      </c>
      <c r="E1096" t="s">
        <v>3007</v>
      </c>
    </row>
    <row r="1097" spans="1:5" x14ac:dyDescent="0.25">
      <c r="A1097" t="s">
        <v>2653</v>
      </c>
      <c r="B1097" t="s">
        <v>501</v>
      </c>
      <c r="C1097">
        <v>2019</v>
      </c>
      <c r="E1097" t="s">
        <v>3190</v>
      </c>
    </row>
    <row r="1098" spans="1:5" x14ac:dyDescent="0.25">
      <c r="A1098" t="s">
        <v>2653</v>
      </c>
      <c r="B1098" t="s">
        <v>2029</v>
      </c>
      <c r="C1098">
        <v>2019</v>
      </c>
      <c r="E1098" t="s">
        <v>3425</v>
      </c>
    </row>
    <row r="1099" spans="1:5" x14ac:dyDescent="0.25">
      <c r="A1099" t="s">
        <v>2676</v>
      </c>
      <c r="B1099" t="s">
        <v>394</v>
      </c>
      <c r="C1099">
        <v>2022</v>
      </c>
      <c r="E1099" t="s">
        <v>3058</v>
      </c>
    </row>
    <row r="1100" spans="1:5" x14ac:dyDescent="0.25">
      <c r="A1100" t="s">
        <v>2696</v>
      </c>
      <c r="B1100" t="s">
        <v>2333</v>
      </c>
      <c r="C1100">
        <v>2025</v>
      </c>
      <c r="D1100" t="s">
        <v>187</v>
      </c>
    </row>
    <row r="1101" spans="1:5" x14ac:dyDescent="0.25">
      <c r="A1101" t="s">
        <v>2699</v>
      </c>
      <c r="B1101" t="s">
        <v>2646</v>
      </c>
      <c r="C1101">
        <v>2022</v>
      </c>
      <c r="E1101" t="s">
        <v>3422</v>
      </c>
    </row>
    <row r="1102" spans="1:5" x14ac:dyDescent="0.25">
      <c r="A1102" t="s">
        <v>2707</v>
      </c>
      <c r="B1102" t="s">
        <v>358</v>
      </c>
      <c r="C1102">
        <v>1991</v>
      </c>
      <c r="E1102" t="s">
        <v>3426</v>
      </c>
    </row>
    <row r="1103" spans="1:5" x14ac:dyDescent="0.25">
      <c r="A1103" t="s">
        <v>2707</v>
      </c>
      <c r="B1103" t="s">
        <v>2710</v>
      </c>
      <c r="C1103">
        <v>1991</v>
      </c>
      <c r="D1103" t="s">
        <v>187</v>
      </c>
    </row>
    <row r="1104" spans="1:5" x14ac:dyDescent="0.25">
      <c r="A1104" t="s">
        <v>2716</v>
      </c>
      <c r="B1104" t="s">
        <v>1156</v>
      </c>
      <c r="C1104">
        <v>1999</v>
      </c>
      <c r="E1104" t="s">
        <v>3427</v>
      </c>
    </row>
    <row r="1105" spans="1:5" x14ac:dyDescent="0.25">
      <c r="A1105" t="s">
        <v>2716</v>
      </c>
      <c r="B1105" t="s">
        <v>2719</v>
      </c>
      <c r="C1105">
        <v>1999</v>
      </c>
      <c r="D1105" t="s">
        <v>187</v>
      </c>
    </row>
    <row r="1106" spans="1:5" x14ac:dyDescent="0.25">
      <c r="A1106" t="s">
        <v>2722</v>
      </c>
      <c r="B1106" t="s">
        <v>341</v>
      </c>
      <c r="C1106">
        <v>1993</v>
      </c>
      <c r="E1106" t="s">
        <v>3014</v>
      </c>
    </row>
    <row r="1107" spans="1:5" x14ac:dyDescent="0.25">
      <c r="A1107" t="s">
        <v>2722</v>
      </c>
      <c r="B1107" t="s">
        <v>379</v>
      </c>
      <c r="C1107">
        <v>1993</v>
      </c>
      <c r="E1107" t="s">
        <v>3428</v>
      </c>
    </row>
    <row r="1108" spans="1:5" x14ac:dyDescent="0.25">
      <c r="A1108" t="s">
        <v>2722</v>
      </c>
      <c r="B1108" t="s">
        <v>581</v>
      </c>
      <c r="C1108">
        <v>1993</v>
      </c>
      <c r="D1108" t="s">
        <v>187</v>
      </c>
      <c r="E1108" t="s">
        <v>3034</v>
      </c>
    </row>
    <row r="1109" spans="1:5" x14ac:dyDescent="0.25">
      <c r="A1109" t="s">
        <v>2722</v>
      </c>
      <c r="B1109" t="s">
        <v>754</v>
      </c>
      <c r="C1109">
        <v>1993</v>
      </c>
      <c r="E1109" t="s">
        <v>3429</v>
      </c>
    </row>
    <row r="1110" spans="1:5" x14ac:dyDescent="0.25">
      <c r="A1110" t="s">
        <v>2722</v>
      </c>
      <c r="B1110" t="s">
        <v>938</v>
      </c>
      <c r="C1110">
        <v>1993</v>
      </c>
      <c r="D1110" t="s">
        <v>187</v>
      </c>
    </row>
    <row r="1111" spans="1:5" x14ac:dyDescent="0.25">
      <c r="A1111" t="s">
        <v>2722</v>
      </c>
      <c r="B1111" t="s">
        <v>972</v>
      </c>
      <c r="C1111">
        <v>1993</v>
      </c>
      <c r="E1111" t="s">
        <v>2983</v>
      </c>
    </row>
    <row r="1112" spans="1:5" x14ac:dyDescent="0.25">
      <c r="A1112" t="s">
        <v>2722</v>
      </c>
      <c r="B1112" t="s">
        <v>978</v>
      </c>
      <c r="C1112">
        <v>1993</v>
      </c>
      <c r="E1112" t="s">
        <v>3014</v>
      </c>
    </row>
    <row r="1113" spans="1:5" x14ac:dyDescent="0.25">
      <c r="A1113" t="s">
        <v>2722</v>
      </c>
      <c r="B1113" t="s">
        <v>1056</v>
      </c>
      <c r="C1113">
        <v>1993</v>
      </c>
      <c r="D1113" t="s">
        <v>187</v>
      </c>
    </row>
    <row r="1114" spans="1:5" x14ac:dyDescent="0.25">
      <c r="A1114" t="s">
        <v>2722</v>
      </c>
      <c r="B1114" t="s">
        <v>1383</v>
      </c>
      <c r="C1114">
        <v>1993</v>
      </c>
      <c r="E1114" t="s">
        <v>3014</v>
      </c>
    </row>
    <row r="1115" spans="1:5" x14ac:dyDescent="0.25">
      <c r="A1115" t="s">
        <v>2722</v>
      </c>
      <c r="B1115" t="s">
        <v>1389</v>
      </c>
      <c r="C1115">
        <v>1993</v>
      </c>
      <c r="E1115" t="s">
        <v>3278</v>
      </c>
    </row>
    <row r="1116" spans="1:5" x14ac:dyDescent="0.25">
      <c r="A1116" t="s">
        <v>2722</v>
      </c>
      <c r="B1116" t="s">
        <v>1461</v>
      </c>
      <c r="C1116">
        <v>1993</v>
      </c>
      <c r="E1116" t="s">
        <v>3014</v>
      </c>
    </row>
    <row r="1117" spans="1:5" x14ac:dyDescent="0.25">
      <c r="A1117" t="s">
        <v>2722</v>
      </c>
      <c r="B1117" t="s">
        <v>1667</v>
      </c>
      <c r="C1117">
        <v>1993</v>
      </c>
      <c r="E1117" t="s">
        <v>1670</v>
      </c>
    </row>
    <row r="1118" spans="1:5" x14ac:dyDescent="0.25">
      <c r="A1118" t="s">
        <v>2722</v>
      </c>
      <c r="B1118" t="s">
        <v>1677</v>
      </c>
      <c r="C1118">
        <v>1993</v>
      </c>
      <c r="E1118" t="s">
        <v>3014</v>
      </c>
    </row>
    <row r="1119" spans="1:5" x14ac:dyDescent="0.25">
      <c r="A1119" t="s">
        <v>2722</v>
      </c>
      <c r="B1119" t="s">
        <v>1683</v>
      </c>
      <c r="C1119">
        <v>1993</v>
      </c>
      <c r="E1119" t="s">
        <v>3430</v>
      </c>
    </row>
    <row r="1120" spans="1:5" x14ac:dyDescent="0.25">
      <c r="A1120" t="s">
        <v>2722</v>
      </c>
      <c r="B1120" t="s">
        <v>1762</v>
      </c>
      <c r="C1120">
        <v>1993</v>
      </c>
      <c r="D1120" t="s">
        <v>187</v>
      </c>
      <c r="E1120" t="s">
        <v>3034</v>
      </c>
    </row>
    <row r="1121" spans="1:5" x14ac:dyDescent="0.25">
      <c r="A1121" t="s">
        <v>2722</v>
      </c>
      <c r="B1121" t="s">
        <v>1886</v>
      </c>
      <c r="C1121">
        <v>1993</v>
      </c>
      <c r="D1121" t="s">
        <v>187</v>
      </c>
    </row>
    <row r="1122" spans="1:5" x14ac:dyDescent="0.25">
      <c r="A1122" t="s">
        <v>2722</v>
      </c>
      <c r="B1122" t="s">
        <v>1900</v>
      </c>
      <c r="C1122">
        <v>1993</v>
      </c>
      <c r="E1122" t="s">
        <v>3279</v>
      </c>
    </row>
    <row r="1123" spans="1:5" x14ac:dyDescent="0.25">
      <c r="A1123" t="s">
        <v>2722</v>
      </c>
      <c r="B1123" t="s">
        <v>2010</v>
      </c>
      <c r="C1123">
        <v>1993</v>
      </c>
      <c r="D1123" t="s">
        <v>187</v>
      </c>
    </row>
    <row r="1124" spans="1:5" x14ac:dyDescent="0.25">
      <c r="A1124" t="s">
        <v>2722</v>
      </c>
      <c r="B1124" t="s">
        <v>2626</v>
      </c>
      <c r="C1124">
        <v>1993</v>
      </c>
      <c r="E1124" t="s">
        <v>3431</v>
      </c>
    </row>
    <row r="1125" spans="1:5" x14ac:dyDescent="0.25">
      <c r="A1125" t="s">
        <v>2722</v>
      </c>
      <c r="B1125" t="s">
        <v>2657</v>
      </c>
      <c r="C1125">
        <v>1993</v>
      </c>
      <c r="D1125" t="s">
        <v>187</v>
      </c>
    </row>
    <row r="1126" spans="1:5" x14ac:dyDescent="0.25">
      <c r="A1126" t="s">
        <v>2722</v>
      </c>
      <c r="B1126" t="s">
        <v>2682</v>
      </c>
      <c r="C1126">
        <v>1993</v>
      </c>
      <c r="E1126" t="s">
        <v>3432</v>
      </c>
    </row>
    <row r="1127" spans="1:5" x14ac:dyDescent="0.25">
      <c r="A1127" t="s">
        <v>2722</v>
      </c>
      <c r="B1127" t="s">
        <v>2716</v>
      </c>
      <c r="C1127">
        <v>1993</v>
      </c>
      <c r="D1127" t="s">
        <v>187</v>
      </c>
    </row>
    <row r="1128" spans="1:5" x14ac:dyDescent="0.25">
      <c r="A1128" t="s">
        <v>2722</v>
      </c>
      <c r="B1128" t="s">
        <v>2819</v>
      </c>
      <c r="C1128">
        <v>1993</v>
      </c>
      <c r="E1128" t="s">
        <v>3159</v>
      </c>
    </row>
    <row r="1129" spans="1:5" x14ac:dyDescent="0.25">
      <c r="A1129" t="s">
        <v>2722</v>
      </c>
      <c r="B1129" t="s">
        <v>2844</v>
      </c>
      <c r="C1129">
        <v>1993</v>
      </c>
      <c r="E1129" t="s">
        <v>3014</v>
      </c>
    </row>
    <row r="1130" spans="1:5" x14ac:dyDescent="0.25">
      <c r="A1130" t="s">
        <v>2722</v>
      </c>
      <c r="B1130" t="s">
        <v>2944</v>
      </c>
      <c r="C1130">
        <v>1993</v>
      </c>
      <c r="E1130" t="s">
        <v>3433</v>
      </c>
    </row>
    <row r="1131" spans="1:5" x14ac:dyDescent="0.25">
      <c r="A1131" t="s">
        <v>2748</v>
      </c>
      <c r="B1131" t="s">
        <v>1739</v>
      </c>
      <c r="C1131">
        <v>2014</v>
      </c>
      <c r="D1131" t="s">
        <v>187</v>
      </c>
    </row>
    <row r="1132" spans="1:5" x14ac:dyDescent="0.25">
      <c r="A1132" t="s">
        <v>2752</v>
      </c>
      <c r="B1132" t="s">
        <v>477</v>
      </c>
      <c r="C1132">
        <v>2021</v>
      </c>
      <c r="D1132" t="s">
        <v>187</v>
      </c>
    </row>
    <row r="1133" spans="1:5" x14ac:dyDescent="0.25">
      <c r="A1133" t="s">
        <v>2783</v>
      </c>
      <c r="B1133" t="s">
        <v>2787</v>
      </c>
      <c r="C1133">
        <v>2019</v>
      </c>
      <c r="D1133" t="s">
        <v>187</v>
      </c>
    </row>
    <row r="1134" spans="1:5" x14ac:dyDescent="0.25">
      <c r="A1134" t="s">
        <v>2789</v>
      </c>
      <c r="B1134" t="s">
        <v>1720</v>
      </c>
      <c r="C1134">
        <v>2017</v>
      </c>
      <c r="E1134" t="s">
        <v>2983</v>
      </c>
    </row>
    <row r="1135" spans="1:5" x14ac:dyDescent="0.25">
      <c r="A1135" t="s">
        <v>2789</v>
      </c>
      <c r="B1135" t="s">
        <v>2791</v>
      </c>
      <c r="C1135">
        <v>2017</v>
      </c>
      <c r="D1135" t="s">
        <v>187</v>
      </c>
    </row>
    <row r="1136" spans="1:5" x14ac:dyDescent="0.25">
      <c r="A1136" t="s">
        <v>2793</v>
      </c>
      <c r="B1136" t="s">
        <v>2394</v>
      </c>
      <c r="C1136">
        <v>1992</v>
      </c>
      <c r="E1136" t="s">
        <v>2998</v>
      </c>
    </row>
    <row r="1137" spans="1:5" x14ac:dyDescent="0.25">
      <c r="A1137" t="s">
        <v>2805</v>
      </c>
      <c r="B1137" t="s">
        <v>185</v>
      </c>
      <c r="C1137">
        <v>2021</v>
      </c>
      <c r="E1137" t="s">
        <v>3014</v>
      </c>
    </row>
    <row r="1138" spans="1:5" x14ac:dyDescent="0.25">
      <c r="A1138" t="s">
        <v>2805</v>
      </c>
      <c r="B1138" t="s">
        <v>290</v>
      </c>
      <c r="C1138">
        <v>2021</v>
      </c>
      <c r="E1138" t="s">
        <v>3014</v>
      </c>
    </row>
    <row r="1139" spans="1:5" x14ac:dyDescent="0.25">
      <c r="A1139" t="s">
        <v>2805</v>
      </c>
      <c r="B1139" t="s">
        <v>294</v>
      </c>
      <c r="C1139">
        <v>2021</v>
      </c>
      <c r="E1139" t="s">
        <v>3067</v>
      </c>
    </row>
    <row r="1140" spans="1:5" x14ac:dyDescent="0.25">
      <c r="A1140" t="s">
        <v>2805</v>
      </c>
      <c r="B1140" t="s">
        <v>297</v>
      </c>
      <c r="C1140">
        <v>2021</v>
      </c>
      <c r="E1140" t="s">
        <v>2983</v>
      </c>
    </row>
    <row r="1141" spans="1:5" x14ac:dyDescent="0.25">
      <c r="A1141" t="s">
        <v>2805</v>
      </c>
      <c r="B1141" t="s">
        <v>303</v>
      </c>
      <c r="C1141">
        <v>2021</v>
      </c>
      <c r="E1141" t="s">
        <v>3014</v>
      </c>
    </row>
    <row r="1142" spans="1:5" x14ac:dyDescent="0.25">
      <c r="A1142" t="s">
        <v>2805</v>
      </c>
      <c r="B1142" t="s">
        <v>319</v>
      </c>
      <c r="C1142">
        <v>2021</v>
      </c>
      <c r="E1142" t="s">
        <v>2983</v>
      </c>
    </row>
    <row r="1143" spans="1:5" x14ac:dyDescent="0.25">
      <c r="A1143" t="s">
        <v>2805</v>
      </c>
      <c r="B1143" t="s">
        <v>360</v>
      </c>
      <c r="C1143">
        <v>2021</v>
      </c>
      <c r="E1143" t="s">
        <v>7699</v>
      </c>
    </row>
    <row r="1144" spans="1:5" x14ac:dyDescent="0.25">
      <c r="A1144" t="s">
        <v>2805</v>
      </c>
      <c r="B1144" t="s">
        <v>394</v>
      </c>
      <c r="C1144">
        <v>2021</v>
      </c>
      <c r="E1144" t="s">
        <v>3058</v>
      </c>
    </row>
    <row r="1145" spans="1:5" x14ac:dyDescent="0.25">
      <c r="A1145" t="s">
        <v>2805</v>
      </c>
      <c r="B1145" t="s">
        <v>425</v>
      </c>
      <c r="C1145">
        <v>2021</v>
      </c>
      <c r="E1145" t="s">
        <v>3014</v>
      </c>
    </row>
    <row r="1146" spans="1:5" x14ac:dyDescent="0.25">
      <c r="A1146" t="s">
        <v>2805</v>
      </c>
      <c r="B1146" t="s">
        <v>428</v>
      </c>
      <c r="C1146">
        <v>2021</v>
      </c>
      <c r="E1146" t="s">
        <v>3022</v>
      </c>
    </row>
    <row r="1147" spans="1:5" x14ac:dyDescent="0.25">
      <c r="A1147" t="s">
        <v>2805</v>
      </c>
      <c r="B1147" t="s">
        <v>447</v>
      </c>
      <c r="C1147">
        <v>2021</v>
      </c>
      <c r="E1147" t="s">
        <v>3014</v>
      </c>
    </row>
    <row r="1148" spans="1:5" x14ac:dyDescent="0.25">
      <c r="A1148" t="s">
        <v>2805</v>
      </c>
      <c r="B1148" t="s">
        <v>449</v>
      </c>
      <c r="C1148">
        <v>2021</v>
      </c>
      <c r="E1148" t="s">
        <v>3014</v>
      </c>
    </row>
    <row r="1149" spans="1:5" x14ac:dyDescent="0.25">
      <c r="A1149" t="s">
        <v>2805</v>
      </c>
      <c r="B1149" t="s">
        <v>457</v>
      </c>
      <c r="C1149">
        <v>2021</v>
      </c>
      <c r="E1149" t="s">
        <v>3014</v>
      </c>
    </row>
    <row r="1150" spans="1:5" x14ac:dyDescent="0.25">
      <c r="A1150" t="s">
        <v>2805</v>
      </c>
      <c r="B1150" t="s">
        <v>464</v>
      </c>
      <c r="C1150">
        <v>2021</v>
      </c>
      <c r="E1150" t="s">
        <v>3014</v>
      </c>
    </row>
    <row r="1151" spans="1:5" x14ac:dyDescent="0.25">
      <c r="A1151" t="s">
        <v>2805</v>
      </c>
      <c r="B1151" t="s">
        <v>497</v>
      </c>
      <c r="C1151">
        <v>2021</v>
      </c>
      <c r="E1151" t="s">
        <v>3014</v>
      </c>
    </row>
    <row r="1152" spans="1:5" x14ac:dyDescent="0.25">
      <c r="A1152" t="s">
        <v>2805</v>
      </c>
      <c r="B1152" t="s">
        <v>571</v>
      </c>
      <c r="C1152">
        <v>2021</v>
      </c>
      <c r="E1152" t="s">
        <v>3087</v>
      </c>
    </row>
    <row r="1153" spans="1:5" x14ac:dyDescent="0.25">
      <c r="A1153" t="s">
        <v>2805</v>
      </c>
      <c r="B1153" t="s">
        <v>586</v>
      </c>
      <c r="C1153">
        <v>2021</v>
      </c>
      <c r="E1153" t="s">
        <v>3014</v>
      </c>
    </row>
    <row r="1154" spans="1:5" x14ac:dyDescent="0.25">
      <c r="A1154" t="s">
        <v>2805</v>
      </c>
      <c r="B1154" t="s">
        <v>659</v>
      </c>
      <c r="C1154">
        <v>2021</v>
      </c>
      <c r="E1154" t="s">
        <v>3014</v>
      </c>
    </row>
    <row r="1155" spans="1:5" x14ac:dyDescent="0.25">
      <c r="A1155" t="s">
        <v>2805</v>
      </c>
      <c r="B1155" t="s">
        <v>741</v>
      </c>
      <c r="C1155">
        <v>2021</v>
      </c>
      <c r="E1155" t="s">
        <v>3434</v>
      </c>
    </row>
    <row r="1156" spans="1:5" x14ac:dyDescent="0.25">
      <c r="A1156" t="s">
        <v>2805</v>
      </c>
      <c r="B1156" t="s">
        <v>778</v>
      </c>
      <c r="C1156">
        <v>2021</v>
      </c>
      <c r="E1156" t="s">
        <v>3137</v>
      </c>
    </row>
    <row r="1157" spans="1:5" x14ac:dyDescent="0.25">
      <c r="A1157" t="s">
        <v>2805</v>
      </c>
      <c r="B1157" t="s">
        <v>811</v>
      </c>
      <c r="C1157">
        <v>2021</v>
      </c>
      <c r="E1157" t="s">
        <v>3014</v>
      </c>
    </row>
    <row r="1158" spans="1:5" x14ac:dyDescent="0.25">
      <c r="A1158" t="s">
        <v>2805</v>
      </c>
      <c r="B1158" t="s">
        <v>838</v>
      </c>
      <c r="C1158">
        <v>2021</v>
      </c>
      <c r="E1158" t="s">
        <v>3435</v>
      </c>
    </row>
    <row r="1159" spans="1:5" x14ac:dyDescent="0.25">
      <c r="A1159" t="s">
        <v>2805</v>
      </c>
      <c r="B1159" t="s">
        <v>890</v>
      </c>
      <c r="C1159">
        <v>2021</v>
      </c>
      <c r="E1159" t="s">
        <v>2983</v>
      </c>
    </row>
    <row r="1160" spans="1:5" x14ac:dyDescent="0.25">
      <c r="A1160" t="s">
        <v>2805</v>
      </c>
      <c r="B1160" t="s">
        <v>1018</v>
      </c>
      <c r="C1160">
        <v>2021</v>
      </c>
      <c r="E1160" t="s">
        <v>3014</v>
      </c>
    </row>
    <row r="1161" spans="1:5" x14ac:dyDescent="0.25">
      <c r="A1161" t="s">
        <v>2805</v>
      </c>
      <c r="B1161" t="s">
        <v>1022</v>
      </c>
      <c r="C1161">
        <v>2021</v>
      </c>
      <c r="E1161" t="s">
        <v>3014</v>
      </c>
    </row>
    <row r="1162" spans="1:5" x14ac:dyDescent="0.25">
      <c r="A1162" t="s">
        <v>2805</v>
      </c>
      <c r="B1162" t="s">
        <v>1097</v>
      </c>
      <c r="C1162">
        <v>2021</v>
      </c>
      <c r="E1162" t="s">
        <v>1100</v>
      </c>
    </row>
    <row r="1163" spans="1:5" x14ac:dyDescent="0.25">
      <c r="A1163" t="s">
        <v>2805</v>
      </c>
      <c r="B1163" t="s">
        <v>1181</v>
      </c>
      <c r="C1163">
        <v>2021</v>
      </c>
      <c r="E1163" t="s">
        <v>2983</v>
      </c>
    </row>
    <row r="1164" spans="1:5" x14ac:dyDescent="0.25">
      <c r="A1164" t="s">
        <v>2805</v>
      </c>
      <c r="B1164" t="s">
        <v>1196</v>
      </c>
      <c r="C1164">
        <v>2021</v>
      </c>
      <c r="E1164" t="s">
        <v>3436</v>
      </c>
    </row>
    <row r="1165" spans="1:5" x14ac:dyDescent="0.25">
      <c r="A1165" t="s">
        <v>2805</v>
      </c>
      <c r="B1165" t="s">
        <v>1212</v>
      </c>
      <c r="C1165">
        <v>2021</v>
      </c>
      <c r="E1165" t="s">
        <v>3014</v>
      </c>
    </row>
    <row r="1166" spans="1:5" x14ac:dyDescent="0.25">
      <c r="A1166" t="s">
        <v>2805</v>
      </c>
      <c r="B1166" t="s">
        <v>1244</v>
      </c>
      <c r="C1166">
        <v>2021</v>
      </c>
      <c r="E1166" t="s">
        <v>3014</v>
      </c>
    </row>
    <row r="1167" spans="1:5" x14ac:dyDescent="0.25">
      <c r="A1167" t="s">
        <v>2805</v>
      </c>
      <c r="B1167" t="s">
        <v>1252</v>
      </c>
      <c r="C1167">
        <v>2021</v>
      </c>
      <c r="E1167" t="s">
        <v>1255</v>
      </c>
    </row>
    <row r="1168" spans="1:5" x14ac:dyDescent="0.25">
      <c r="A1168" t="s">
        <v>2805</v>
      </c>
      <c r="B1168" t="s">
        <v>1277</v>
      </c>
      <c r="C1168">
        <v>2021</v>
      </c>
      <c r="E1168" t="s">
        <v>2983</v>
      </c>
    </row>
    <row r="1169" spans="1:5" x14ac:dyDescent="0.25">
      <c r="A1169" t="s">
        <v>2805</v>
      </c>
      <c r="B1169" t="s">
        <v>1303</v>
      </c>
      <c r="C1169">
        <v>2021</v>
      </c>
      <c r="E1169" t="s">
        <v>3014</v>
      </c>
    </row>
    <row r="1170" spans="1:5" x14ac:dyDescent="0.25">
      <c r="A1170" t="s">
        <v>2805</v>
      </c>
      <c r="B1170" t="s">
        <v>1349</v>
      </c>
      <c r="C1170">
        <v>2021</v>
      </c>
      <c r="E1170" t="s">
        <v>3244</v>
      </c>
    </row>
    <row r="1171" spans="1:5" x14ac:dyDescent="0.25">
      <c r="A1171" t="s">
        <v>2805</v>
      </c>
      <c r="B1171" t="s">
        <v>1362</v>
      </c>
      <c r="C1171">
        <v>2021</v>
      </c>
      <c r="E1171" t="s">
        <v>3014</v>
      </c>
    </row>
    <row r="1172" spans="1:5" x14ac:dyDescent="0.25">
      <c r="A1172" t="s">
        <v>2805</v>
      </c>
      <c r="B1172" t="s">
        <v>1379</v>
      </c>
      <c r="C1172">
        <v>2021</v>
      </c>
      <c r="E1172" t="s">
        <v>3014</v>
      </c>
    </row>
    <row r="1173" spans="1:5" x14ac:dyDescent="0.25">
      <c r="A1173" t="s">
        <v>2805</v>
      </c>
      <c r="B1173" t="s">
        <v>1397</v>
      </c>
      <c r="C1173">
        <v>2021</v>
      </c>
      <c r="E1173" t="s">
        <v>3014</v>
      </c>
    </row>
    <row r="1174" spans="1:5" x14ac:dyDescent="0.25">
      <c r="A1174" t="s">
        <v>2805</v>
      </c>
      <c r="B1174" t="s">
        <v>1404</v>
      </c>
      <c r="C1174">
        <v>2021</v>
      </c>
      <c r="E1174" t="s">
        <v>3014</v>
      </c>
    </row>
    <row r="1175" spans="1:5" x14ac:dyDescent="0.25">
      <c r="A1175" t="s">
        <v>2805</v>
      </c>
      <c r="B1175" t="s">
        <v>1410</v>
      </c>
      <c r="C1175">
        <v>2021</v>
      </c>
      <c r="E1175" t="s">
        <v>3437</v>
      </c>
    </row>
    <row r="1176" spans="1:5" x14ac:dyDescent="0.25">
      <c r="A1176" t="s">
        <v>2805</v>
      </c>
      <c r="B1176" t="s">
        <v>1464</v>
      </c>
      <c r="C1176">
        <v>2021</v>
      </c>
      <c r="E1176" t="s">
        <v>3130</v>
      </c>
    </row>
    <row r="1177" spans="1:5" x14ac:dyDescent="0.25">
      <c r="A1177" t="s">
        <v>2805</v>
      </c>
      <c r="B1177" t="s">
        <v>1487</v>
      </c>
      <c r="C1177">
        <v>2021</v>
      </c>
      <c r="E1177" t="s">
        <v>3014</v>
      </c>
    </row>
    <row r="1178" spans="1:5" x14ac:dyDescent="0.25">
      <c r="A1178" t="s">
        <v>2805</v>
      </c>
      <c r="B1178" t="s">
        <v>1493</v>
      </c>
      <c r="C1178">
        <v>2021</v>
      </c>
      <c r="E1178" t="s">
        <v>3089</v>
      </c>
    </row>
    <row r="1179" spans="1:5" x14ac:dyDescent="0.25">
      <c r="A1179" t="s">
        <v>2805</v>
      </c>
      <c r="B1179" t="s">
        <v>1501</v>
      </c>
      <c r="C1179">
        <v>2021</v>
      </c>
      <c r="E1179" t="s">
        <v>3014</v>
      </c>
    </row>
    <row r="1180" spans="1:5" x14ac:dyDescent="0.25">
      <c r="A1180" t="s">
        <v>2805</v>
      </c>
      <c r="B1180" t="s">
        <v>1531</v>
      </c>
      <c r="C1180">
        <v>2021</v>
      </c>
      <c r="E1180" t="s">
        <v>3014</v>
      </c>
    </row>
    <row r="1181" spans="1:5" x14ac:dyDescent="0.25">
      <c r="A1181" t="s">
        <v>2805</v>
      </c>
      <c r="B1181" t="s">
        <v>1614</v>
      </c>
      <c r="C1181">
        <v>2021</v>
      </c>
      <c r="E1181" t="s">
        <v>3438</v>
      </c>
    </row>
    <row r="1182" spans="1:5" x14ac:dyDescent="0.25">
      <c r="A1182" t="s">
        <v>2805</v>
      </c>
      <c r="B1182" t="s">
        <v>1622</v>
      </c>
      <c r="C1182">
        <v>2021</v>
      </c>
      <c r="E1182" t="s">
        <v>2983</v>
      </c>
    </row>
    <row r="1183" spans="1:5" x14ac:dyDescent="0.25">
      <c r="A1183" t="s">
        <v>2805</v>
      </c>
      <c r="B1183" t="s">
        <v>1671</v>
      </c>
      <c r="C1183">
        <v>2021</v>
      </c>
      <c r="E1183" t="s">
        <v>3014</v>
      </c>
    </row>
    <row r="1184" spans="1:5" x14ac:dyDescent="0.25">
      <c r="A1184" t="s">
        <v>2805</v>
      </c>
      <c r="B1184" t="s">
        <v>1697</v>
      </c>
      <c r="C1184">
        <v>2021</v>
      </c>
      <c r="E1184" t="s">
        <v>3149</v>
      </c>
    </row>
    <row r="1185" spans="1:5" x14ac:dyDescent="0.25">
      <c r="A1185" t="s">
        <v>2805</v>
      </c>
      <c r="B1185" t="s">
        <v>1735</v>
      </c>
      <c r="C1185">
        <v>2021</v>
      </c>
      <c r="E1185" t="s">
        <v>2983</v>
      </c>
    </row>
    <row r="1186" spans="1:5" x14ac:dyDescent="0.25">
      <c r="A1186" t="s">
        <v>2805</v>
      </c>
      <c r="B1186" t="s">
        <v>1765</v>
      </c>
      <c r="C1186">
        <v>2021</v>
      </c>
      <c r="E1186" t="s">
        <v>3014</v>
      </c>
    </row>
    <row r="1187" spans="1:5" x14ac:dyDescent="0.25">
      <c r="A1187" t="s">
        <v>2805</v>
      </c>
      <c r="B1187" t="s">
        <v>1794</v>
      </c>
      <c r="C1187">
        <v>2021</v>
      </c>
      <c r="E1187" t="s">
        <v>3014</v>
      </c>
    </row>
    <row r="1188" spans="1:5" x14ac:dyDescent="0.25">
      <c r="A1188" t="s">
        <v>2805</v>
      </c>
      <c r="B1188" t="s">
        <v>1805</v>
      </c>
      <c r="C1188">
        <v>2021</v>
      </c>
      <c r="E1188" t="s">
        <v>3014</v>
      </c>
    </row>
    <row r="1189" spans="1:5" x14ac:dyDescent="0.25">
      <c r="A1189" t="s">
        <v>2805</v>
      </c>
      <c r="B1189" t="s">
        <v>1810</v>
      </c>
      <c r="C1189">
        <v>2021</v>
      </c>
      <c r="E1189" t="s">
        <v>2983</v>
      </c>
    </row>
    <row r="1190" spans="1:5" x14ac:dyDescent="0.25">
      <c r="A1190" t="s">
        <v>2805</v>
      </c>
      <c r="B1190" t="s">
        <v>1822</v>
      </c>
      <c r="C1190">
        <v>2021</v>
      </c>
      <c r="E1190" t="s">
        <v>3014</v>
      </c>
    </row>
    <row r="1191" spans="1:5" x14ac:dyDescent="0.25">
      <c r="A1191" t="s">
        <v>2805</v>
      </c>
      <c r="B1191" t="s">
        <v>1830</v>
      </c>
      <c r="C1191">
        <v>2021</v>
      </c>
      <c r="E1191" t="s">
        <v>3014</v>
      </c>
    </row>
    <row r="1192" spans="1:5" x14ac:dyDescent="0.25">
      <c r="A1192" t="s">
        <v>2805</v>
      </c>
      <c r="B1192" t="s">
        <v>1838</v>
      </c>
      <c r="C1192">
        <v>2021</v>
      </c>
      <c r="E1192" t="s">
        <v>3014</v>
      </c>
    </row>
    <row r="1193" spans="1:5" x14ac:dyDescent="0.25">
      <c r="A1193" t="s">
        <v>2805</v>
      </c>
      <c r="B1193" t="s">
        <v>1852</v>
      </c>
      <c r="C1193">
        <v>2021</v>
      </c>
      <c r="E1193" t="s">
        <v>2983</v>
      </c>
    </row>
    <row r="1194" spans="1:5" x14ac:dyDescent="0.25">
      <c r="A1194" t="s">
        <v>2805</v>
      </c>
      <c r="B1194" t="s">
        <v>1959</v>
      </c>
      <c r="C1194">
        <v>2021</v>
      </c>
      <c r="E1194" t="s">
        <v>1962</v>
      </c>
    </row>
    <row r="1195" spans="1:5" x14ac:dyDescent="0.25">
      <c r="A1195" t="s">
        <v>2805</v>
      </c>
      <c r="B1195" t="s">
        <v>1963</v>
      </c>
      <c r="C1195">
        <v>2021</v>
      </c>
      <c r="E1195" t="s">
        <v>3014</v>
      </c>
    </row>
    <row r="1196" spans="1:5" x14ac:dyDescent="0.25">
      <c r="A1196" t="s">
        <v>2805</v>
      </c>
      <c r="B1196" t="s">
        <v>2092</v>
      </c>
      <c r="C1196">
        <v>2021</v>
      </c>
      <c r="E1196" t="s">
        <v>3014</v>
      </c>
    </row>
    <row r="1197" spans="1:5" x14ac:dyDescent="0.25">
      <c r="A1197" t="s">
        <v>2805</v>
      </c>
      <c r="B1197" t="s">
        <v>2104</v>
      </c>
      <c r="C1197">
        <v>2021</v>
      </c>
      <c r="E1197" t="s">
        <v>3014</v>
      </c>
    </row>
    <row r="1198" spans="1:5" x14ac:dyDescent="0.25">
      <c r="A1198" t="s">
        <v>2805</v>
      </c>
      <c r="B1198" t="s">
        <v>2163</v>
      </c>
      <c r="C1198">
        <v>2021</v>
      </c>
      <c r="E1198" t="s">
        <v>2983</v>
      </c>
    </row>
    <row r="1199" spans="1:5" x14ac:dyDescent="0.25">
      <c r="A1199" t="s">
        <v>2805</v>
      </c>
      <c r="B1199" t="s">
        <v>2193</v>
      </c>
      <c r="C1199">
        <v>2021</v>
      </c>
      <c r="E1199" t="s">
        <v>3014</v>
      </c>
    </row>
    <row r="1200" spans="1:5" x14ac:dyDescent="0.25">
      <c r="A1200" t="s">
        <v>2805</v>
      </c>
      <c r="B1200" t="s">
        <v>2248</v>
      </c>
      <c r="C1200">
        <v>2021</v>
      </c>
      <c r="E1200" t="s">
        <v>3014</v>
      </c>
    </row>
    <row r="1201" spans="1:5" x14ac:dyDescent="0.25">
      <c r="A1201" t="s">
        <v>2805</v>
      </c>
      <c r="B1201" t="s">
        <v>2259</v>
      </c>
      <c r="C1201">
        <v>2021</v>
      </c>
      <c r="E1201" t="s">
        <v>3014</v>
      </c>
    </row>
    <row r="1202" spans="1:5" x14ac:dyDescent="0.25">
      <c r="A1202" t="s">
        <v>2805</v>
      </c>
      <c r="B1202" t="s">
        <v>2366</v>
      </c>
      <c r="C1202">
        <v>2021</v>
      </c>
      <c r="E1202" t="s">
        <v>3014</v>
      </c>
    </row>
    <row r="1203" spans="1:5" x14ac:dyDescent="0.25">
      <c r="A1203" t="s">
        <v>2805</v>
      </c>
      <c r="B1203" t="s">
        <v>2382</v>
      </c>
      <c r="C1203">
        <v>2021</v>
      </c>
      <c r="E1203" t="s">
        <v>2983</v>
      </c>
    </row>
    <row r="1204" spans="1:5" x14ac:dyDescent="0.25">
      <c r="A1204" t="s">
        <v>2805</v>
      </c>
      <c r="B1204" t="s">
        <v>2398</v>
      </c>
      <c r="C1204">
        <v>2021</v>
      </c>
      <c r="E1204" t="s">
        <v>3239</v>
      </c>
    </row>
    <row r="1205" spans="1:5" x14ac:dyDescent="0.25">
      <c r="A1205" t="s">
        <v>2805</v>
      </c>
      <c r="B1205" t="s">
        <v>2411</v>
      </c>
      <c r="C1205">
        <v>2021</v>
      </c>
      <c r="E1205" t="s">
        <v>3014</v>
      </c>
    </row>
    <row r="1206" spans="1:5" x14ac:dyDescent="0.25">
      <c r="A1206" t="s">
        <v>2805</v>
      </c>
      <c r="B1206" t="s">
        <v>2436</v>
      </c>
      <c r="C1206">
        <v>2021</v>
      </c>
      <c r="E1206" t="s">
        <v>3014</v>
      </c>
    </row>
    <row r="1207" spans="1:5" x14ac:dyDescent="0.25">
      <c r="A1207" t="s">
        <v>2805</v>
      </c>
      <c r="B1207" t="s">
        <v>2464</v>
      </c>
      <c r="C1207">
        <v>2021</v>
      </c>
      <c r="E1207" t="s">
        <v>3439</v>
      </c>
    </row>
    <row r="1208" spans="1:5" x14ac:dyDescent="0.25">
      <c r="A1208" t="s">
        <v>2805</v>
      </c>
      <c r="B1208" t="s">
        <v>2527</v>
      </c>
      <c r="C1208">
        <v>2021</v>
      </c>
      <c r="E1208" t="s">
        <v>3440</v>
      </c>
    </row>
    <row r="1209" spans="1:5" x14ac:dyDescent="0.25">
      <c r="A1209" t="s">
        <v>2805</v>
      </c>
      <c r="B1209" t="s">
        <v>2604</v>
      </c>
      <c r="C1209">
        <v>2021</v>
      </c>
      <c r="E1209" t="s">
        <v>3014</v>
      </c>
    </row>
    <row r="1210" spans="1:5" x14ac:dyDescent="0.25">
      <c r="A1210" t="s">
        <v>2805</v>
      </c>
      <c r="B1210" t="s">
        <v>2610</v>
      </c>
      <c r="C1210">
        <v>2021</v>
      </c>
      <c r="E1210" t="s">
        <v>3441</v>
      </c>
    </row>
    <row r="1211" spans="1:5" x14ac:dyDescent="0.25">
      <c r="A1211" t="s">
        <v>2805</v>
      </c>
      <c r="B1211" t="s">
        <v>2670</v>
      </c>
      <c r="C1211">
        <v>2021</v>
      </c>
      <c r="E1211" t="s">
        <v>3014</v>
      </c>
    </row>
    <row r="1212" spans="1:5" x14ac:dyDescent="0.25">
      <c r="A1212" t="s">
        <v>2805</v>
      </c>
      <c r="B1212" t="s">
        <v>2689</v>
      </c>
      <c r="C1212">
        <v>2021</v>
      </c>
      <c r="E1212" t="s">
        <v>3442</v>
      </c>
    </row>
    <row r="1213" spans="1:5" x14ac:dyDescent="0.25">
      <c r="A1213" t="s">
        <v>2805</v>
      </c>
      <c r="B1213" t="s">
        <v>2692</v>
      </c>
      <c r="C1213">
        <v>2021</v>
      </c>
      <c r="E1213" t="s">
        <v>3014</v>
      </c>
    </row>
    <row r="1214" spans="1:5" x14ac:dyDescent="0.25">
      <c r="A1214" t="s">
        <v>2805</v>
      </c>
      <c r="B1214" t="s">
        <v>2699</v>
      </c>
      <c r="C1214">
        <v>2021</v>
      </c>
      <c r="E1214" t="s">
        <v>3197</v>
      </c>
    </row>
    <row r="1215" spans="1:5" x14ac:dyDescent="0.25">
      <c r="A1215" t="s">
        <v>2805</v>
      </c>
      <c r="B1215" t="s">
        <v>2743</v>
      </c>
      <c r="C1215">
        <v>2021</v>
      </c>
      <c r="E1215" t="s">
        <v>2983</v>
      </c>
    </row>
    <row r="1216" spans="1:5" x14ac:dyDescent="0.25">
      <c r="A1216" t="s">
        <v>2805</v>
      </c>
      <c r="B1216" t="s">
        <v>2799</v>
      </c>
      <c r="C1216">
        <v>2021</v>
      </c>
      <c r="D1216" t="s">
        <v>187</v>
      </c>
    </row>
    <row r="1217" spans="1:5" x14ac:dyDescent="0.25">
      <c r="A1217" t="s">
        <v>2805</v>
      </c>
      <c r="B1217" t="s">
        <v>2801</v>
      </c>
      <c r="C1217">
        <v>2021</v>
      </c>
      <c r="E1217" t="s">
        <v>2983</v>
      </c>
    </row>
    <row r="1218" spans="1:5" x14ac:dyDescent="0.25">
      <c r="A1218" t="s">
        <v>2805</v>
      </c>
      <c r="B1218" t="s">
        <v>2815</v>
      </c>
      <c r="C1218">
        <v>2021</v>
      </c>
      <c r="E1218" t="s">
        <v>2983</v>
      </c>
    </row>
    <row r="1219" spans="1:5" x14ac:dyDescent="0.25">
      <c r="A1219" t="s">
        <v>2805</v>
      </c>
      <c r="B1219" t="s">
        <v>2829</v>
      </c>
      <c r="C1219">
        <v>2021</v>
      </c>
      <c r="E1219" t="s">
        <v>2983</v>
      </c>
    </row>
    <row r="1220" spans="1:5" x14ac:dyDescent="0.25">
      <c r="A1220" t="s">
        <v>2805</v>
      </c>
      <c r="B1220" t="s">
        <v>2853</v>
      </c>
      <c r="C1220">
        <v>2021</v>
      </c>
      <c r="D1220" t="s">
        <v>187</v>
      </c>
      <c r="E1220" t="s">
        <v>3443</v>
      </c>
    </row>
    <row r="1221" spans="1:5" x14ac:dyDescent="0.25">
      <c r="A1221" t="s">
        <v>2805</v>
      </c>
      <c r="B1221" t="s">
        <v>2883</v>
      </c>
      <c r="C1221">
        <v>2021</v>
      </c>
      <c r="E1221" t="s">
        <v>3444</v>
      </c>
    </row>
    <row r="1222" spans="1:5" x14ac:dyDescent="0.25">
      <c r="A1222" t="s">
        <v>2805</v>
      </c>
      <c r="B1222" t="s">
        <v>2934</v>
      </c>
      <c r="C1222">
        <v>2021</v>
      </c>
      <c r="E1222" t="s">
        <v>3014</v>
      </c>
    </row>
    <row r="1223" spans="1:5" x14ac:dyDescent="0.25">
      <c r="A1223" t="s">
        <v>2819</v>
      </c>
      <c r="B1223" t="s">
        <v>2821</v>
      </c>
      <c r="C1223">
        <v>2021</v>
      </c>
      <c r="D1223" t="s">
        <v>187</v>
      </c>
    </row>
    <row r="1224" spans="1:5" x14ac:dyDescent="0.25">
      <c r="A1224" t="s">
        <v>2825</v>
      </c>
      <c r="B1224" t="s">
        <v>2887</v>
      </c>
      <c r="C1224">
        <v>2019</v>
      </c>
      <c r="D1224" t="s">
        <v>187</v>
      </c>
    </row>
    <row r="1225" spans="1:5" x14ac:dyDescent="0.25">
      <c r="A1225" t="s">
        <v>2829</v>
      </c>
      <c r="B1225" t="s">
        <v>2340</v>
      </c>
      <c r="C1225">
        <v>2022</v>
      </c>
      <c r="D1225" t="s">
        <v>187</v>
      </c>
    </row>
    <row r="1226" spans="1:5" x14ac:dyDescent="0.25">
      <c r="A1226" t="s">
        <v>2847</v>
      </c>
      <c r="B1226" t="s">
        <v>2851</v>
      </c>
      <c r="C1226">
        <v>2023</v>
      </c>
      <c r="D1226" t="s">
        <v>187</v>
      </c>
    </row>
    <row r="1227" spans="1:5" x14ac:dyDescent="0.25">
      <c r="A1227" t="s">
        <v>2875</v>
      </c>
      <c r="B1227" t="s">
        <v>1424</v>
      </c>
      <c r="C1227">
        <v>2005</v>
      </c>
      <c r="D1227" t="s">
        <v>187</v>
      </c>
    </row>
    <row r="1228" spans="1:5" x14ac:dyDescent="0.25">
      <c r="A1228" t="s">
        <v>2879</v>
      </c>
      <c r="B1228" t="s">
        <v>1352</v>
      </c>
      <c r="C1228">
        <v>2020</v>
      </c>
      <c r="D1228" t="s">
        <v>187</v>
      </c>
    </row>
    <row r="1229" spans="1:5" x14ac:dyDescent="0.25">
      <c r="A1229" t="s">
        <v>2891</v>
      </c>
      <c r="B1229" t="s">
        <v>803</v>
      </c>
      <c r="C1229">
        <v>2023</v>
      </c>
      <c r="E1229" t="s">
        <v>2983</v>
      </c>
    </row>
    <row r="1230" spans="1:5" x14ac:dyDescent="0.25">
      <c r="A1230" t="s">
        <v>2891</v>
      </c>
      <c r="B1230" t="s">
        <v>1395</v>
      </c>
      <c r="C1230">
        <v>2023</v>
      </c>
      <c r="E1230" t="s">
        <v>3034</v>
      </c>
    </row>
    <row r="1231" spans="1:5" x14ac:dyDescent="0.25">
      <c r="A1231" t="s">
        <v>2902</v>
      </c>
      <c r="B1231" t="s">
        <v>2841</v>
      </c>
      <c r="C1231">
        <v>2024</v>
      </c>
      <c r="E1231" t="s">
        <v>3445</v>
      </c>
    </row>
    <row r="1232" spans="1:5" x14ac:dyDescent="0.25">
      <c r="A1232" t="s">
        <v>2907</v>
      </c>
      <c r="B1232" t="s">
        <v>226</v>
      </c>
      <c r="C1232">
        <v>2018</v>
      </c>
      <c r="E1232" t="s">
        <v>3185</v>
      </c>
    </row>
    <row r="1233" spans="1:5" x14ac:dyDescent="0.25">
      <c r="A1233" t="s">
        <v>2907</v>
      </c>
      <c r="B1233" t="s">
        <v>310</v>
      </c>
      <c r="C1233">
        <v>2018</v>
      </c>
      <c r="E1233" t="s">
        <v>3079</v>
      </c>
    </row>
    <row r="1234" spans="1:5" x14ac:dyDescent="0.25">
      <c r="A1234" t="s">
        <v>2907</v>
      </c>
      <c r="B1234" t="s">
        <v>2032</v>
      </c>
      <c r="C1234">
        <v>2018</v>
      </c>
      <c r="E1234" t="s">
        <v>3237</v>
      </c>
    </row>
    <row r="1235" spans="1:5" x14ac:dyDescent="0.25">
      <c r="A1235" t="s">
        <v>2907</v>
      </c>
      <c r="B1235" t="s">
        <v>2911</v>
      </c>
      <c r="C1235">
        <v>2018</v>
      </c>
      <c r="D1235" t="s">
        <v>187</v>
      </c>
    </row>
    <row r="1236" spans="1:5" x14ac:dyDescent="0.25">
      <c r="A1236" t="s">
        <v>2944</v>
      </c>
      <c r="B1236" t="s">
        <v>2638</v>
      </c>
      <c r="C1236">
        <v>2010</v>
      </c>
      <c r="D1236" t="s">
        <v>187</v>
      </c>
      <c r="E1236" t="s">
        <v>3446</v>
      </c>
    </row>
    <row r="1237" spans="1:5" x14ac:dyDescent="0.25">
      <c r="A1237" t="s">
        <v>2948</v>
      </c>
      <c r="B1237" t="s">
        <v>698</v>
      </c>
      <c r="C1237">
        <v>1994</v>
      </c>
      <c r="E1237" t="s">
        <v>3447</v>
      </c>
    </row>
    <row r="1238" spans="1:5" x14ac:dyDescent="0.25">
      <c r="A1238" t="s">
        <v>2948</v>
      </c>
      <c r="B1238" t="s">
        <v>2572</v>
      </c>
      <c r="C1238">
        <v>1994</v>
      </c>
      <c r="E1238" t="s">
        <v>3448</v>
      </c>
    </row>
    <row r="1239" spans="1:5" x14ac:dyDescent="0.25">
      <c r="A1239" t="s">
        <v>2948</v>
      </c>
      <c r="B1239" t="s">
        <v>2963</v>
      </c>
      <c r="C1239">
        <v>1994</v>
      </c>
      <c r="E1239" t="s">
        <v>3007</v>
      </c>
    </row>
    <row r="1240" spans="1:5" x14ac:dyDescent="0.25">
      <c r="A1240" t="s">
        <v>2955</v>
      </c>
      <c r="B1240" t="s">
        <v>2813</v>
      </c>
      <c r="C1240">
        <v>2014</v>
      </c>
      <c r="E1240" t="s">
        <v>3084</v>
      </c>
    </row>
    <row r="1241" spans="1:5" x14ac:dyDescent="0.25">
      <c r="A1241" t="s">
        <v>2955</v>
      </c>
      <c r="B1241" t="s">
        <v>2959</v>
      </c>
      <c r="C1241">
        <v>2014</v>
      </c>
      <c r="D1241" t="s">
        <v>187</v>
      </c>
    </row>
    <row r="1242" spans="1:5" x14ac:dyDescent="0.25">
      <c r="A1242" t="s">
        <v>2966</v>
      </c>
      <c r="B1242" t="s">
        <v>2104</v>
      </c>
      <c r="C1242">
        <v>2023</v>
      </c>
      <c r="D1242" t="s">
        <v>187</v>
      </c>
    </row>
    <row r="1243" spans="1:5" x14ac:dyDescent="0.25">
      <c r="A1243" t="s">
        <v>2507</v>
      </c>
      <c r="B1243" t="s">
        <v>7891</v>
      </c>
      <c r="C1243">
        <v>2021</v>
      </c>
      <c r="E1243" t="s">
        <v>7876</v>
      </c>
    </row>
    <row r="1244" spans="1:5" x14ac:dyDescent="0.25">
      <c r="A1244" t="s">
        <v>1554</v>
      </c>
      <c r="B1244" t="s">
        <v>7891</v>
      </c>
      <c r="C1244">
        <v>2017</v>
      </c>
      <c r="E1244" t="s">
        <v>7876</v>
      </c>
    </row>
    <row r="1245" spans="1:5" x14ac:dyDescent="0.25">
      <c r="A1245" t="s">
        <v>689</v>
      </c>
      <c r="B1245" t="s">
        <v>7884</v>
      </c>
      <c r="C1245">
        <v>2015</v>
      </c>
      <c r="D1245" t="s">
        <v>187</v>
      </c>
    </row>
    <row r="1246" spans="1:5" x14ac:dyDescent="0.25">
      <c r="A1246" t="s">
        <v>2805</v>
      </c>
      <c r="B1246" t="s">
        <v>7888</v>
      </c>
      <c r="C1246">
        <v>2021</v>
      </c>
      <c r="E1246" t="s">
        <v>7890</v>
      </c>
    </row>
    <row r="1247" spans="1:5" x14ac:dyDescent="0.25">
      <c r="A1247" t="s">
        <v>1295</v>
      </c>
      <c r="B1247" t="s">
        <v>7888</v>
      </c>
      <c r="C1247">
        <v>2019</v>
      </c>
      <c r="E1247" t="s">
        <v>7890</v>
      </c>
    </row>
    <row r="1248" spans="1:5" x14ac:dyDescent="0.25">
      <c r="A1248" t="s">
        <v>2722</v>
      </c>
      <c r="B1248" t="s">
        <v>7904</v>
      </c>
      <c r="C1248">
        <v>1993</v>
      </c>
      <c r="D1248" t="s">
        <v>187</v>
      </c>
    </row>
    <row r="1249" spans="1:5" x14ac:dyDescent="0.25">
      <c r="A1249" t="s">
        <v>350</v>
      </c>
      <c r="B1249" t="s">
        <v>7906</v>
      </c>
      <c r="C1249">
        <v>2018</v>
      </c>
      <c r="E1249" t="s">
        <v>7909</v>
      </c>
    </row>
    <row r="1250" spans="1:5" x14ac:dyDescent="0.25">
      <c r="A1250" t="s">
        <v>2805</v>
      </c>
      <c r="B1250" t="s">
        <v>7906</v>
      </c>
      <c r="C1250">
        <v>2021</v>
      </c>
      <c r="E1250" t="s">
        <v>7909</v>
      </c>
    </row>
    <row r="1251" spans="1:5" x14ac:dyDescent="0.25">
      <c r="A1251" t="s">
        <v>1145</v>
      </c>
      <c r="B1251" t="s">
        <v>7911</v>
      </c>
      <c r="C1251">
        <v>2012</v>
      </c>
      <c r="E1251" t="s">
        <v>7910</v>
      </c>
    </row>
    <row r="1252" spans="1:5" x14ac:dyDescent="0.25">
      <c r="A1252" t="s">
        <v>160</v>
      </c>
      <c r="B1252" t="s">
        <v>7911</v>
      </c>
      <c r="C1252">
        <v>2011</v>
      </c>
      <c r="E1252" t="s">
        <v>7910</v>
      </c>
    </row>
    <row r="1253" spans="1:5" x14ac:dyDescent="0.25">
      <c r="A1253" t="s">
        <v>2174</v>
      </c>
      <c r="B1253" t="s">
        <v>7911</v>
      </c>
      <c r="C1253">
        <v>2013</v>
      </c>
      <c r="E1253" t="s">
        <v>7913</v>
      </c>
    </row>
    <row r="1254" spans="1:5" x14ac:dyDescent="0.25">
      <c r="A1254" t="s">
        <v>90</v>
      </c>
      <c r="B1254" t="s">
        <v>7915</v>
      </c>
      <c r="C1254">
        <v>2017</v>
      </c>
      <c r="E1254" t="s">
        <v>7914</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 ref="E1243" r:id="rId698" xr:uid="{756853BF-0C1D-4493-A2E8-263710241BDE}"/>
    <hyperlink ref="E1244" r:id="rId699" xr:uid="{1B3C08D6-6EDC-4ADD-BB77-852F9AAA6A80}"/>
    <hyperlink ref="E1247" r:id="rId700" xr:uid="{CA2B30A3-EBB5-47EB-A4E7-44FF06BC11B7}"/>
    <hyperlink ref="E1246" r:id="rId701" xr:uid="{AD1A4BDA-AB26-44FB-977C-6D4B0B1D0018}"/>
    <hyperlink ref="E1250" r:id="rId702" xr:uid="{A51A4A30-5304-4DC4-8375-CC026AF08628}"/>
    <hyperlink ref="E1249" r:id="rId703" xr:uid="{4C958F54-1C40-43A7-92EF-A9310F99312E}"/>
    <hyperlink ref="E1251" r:id="rId704" xr:uid="{C119554A-953F-485E-9B46-A70B4EB12957}"/>
    <hyperlink ref="E1252" r:id="rId705" xr:uid="{1ABE2D94-FE62-43D5-8CEE-063DFE0E2DAA}"/>
    <hyperlink ref="E1253" r:id="rId706" xr:uid="{7C8D1E95-463B-4139-B901-2361FC6FBF28}"/>
    <hyperlink ref="E1254" r:id="rId707" xr:uid="{F1783B7A-9900-4667-B9BB-65FBD38E7C11}"/>
  </hyperlinks>
  <pageMargins left="0.7" right="0.7" top="0.75" bottom="0.75" header="0.511811023622047" footer="0.511811023622047"/>
  <pageSetup orientation="portrait" horizontalDpi="300" verticalDpi="300"/>
  <tableParts count="1">
    <tablePart r:id="rId70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7520</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abSelected="1" topLeftCell="A4"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7502</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7395</v>
      </c>
      <c r="B12" t="s">
        <v>3518</v>
      </c>
      <c r="C12" t="s">
        <v>3531</v>
      </c>
      <c r="D12" t="s">
        <v>7403</v>
      </c>
      <c r="E12" t="s">
        <v>7409</v>
      </c>
      <c r="F12" t="s">
        <v>90</v>
      </c>
      <c r="G12" t="s">
        <v>7396</v>
      </c>
      <c r="H12" t="s">
        <v>3686</v>
      </c>
      <c r="I12" t="s">
        <v>7395</v>
      </c>
      <c r="J12" t="s">
        <v>3605</v>
      </c>
    </row>
    <row r="13" spans="1:10" x14ac:dyDescent="0.25">
      <c r="A13" t="s">
        <v>7919</v>
      </c>
      <c r="B13" t="s">
        <v>3530</v>
      </c>
      <c r="C13" t="s">
        <v>3539</v>
      </c>
      <c r="D13" t="s">
        <v>7920</v>
      </c>
      <c r="F13" t="s">
        <v>2620</v>
      </c>
      <c r="G13" t="s">
        <v>4694</v>
      </c>
      <c r="H13" t="s">
        <v>3722</v>
      </c>
      <c r="I13" t="s">
        <v>7919</v>
      </c>
      <c r="J13" t="s">
        <v>4009</v>
      </c>
    </row>
    <row r="14" spans="1:10" x14ac:dyDescent="0.25">
      <c r="A14" t="s">
        <v>3580</v>
      </c>
      <c r="B14" t="s">
        <v>3530</v>
      </c>
      <c r="C14" t="s">
        <v>3581</v>
      </c>
      <c r="D14" t="s">
        <v>3582</v>
      </c>
      <c r="E14" t="s">
        <v>3583</v>
      </c>
      <c r="F14" t="s">
        <v>160</v>
      </c>
      <c r="G14" t="s">
        <v>3584</v>
      </c>
      <c r="I14" t="s">
        <v>3585</v>
      </c>
      <c r="J14" t="s">
        <v>3449</v>
      </c>
    </row>
    <row r="15" spans="1:10" x14ac:dyDescent="0.25">
      <c r="A15" t="s">
        <v>3586</v>
      </c>
      <c r="B15" t="s">
        <v>3530</v>
      </c>
      <c r="C15" t="s">
        <v>3539</v>
      </c>
      <c r="D15" t="s">
        <v>3587</v>
      </c>
      <c r="E15" t="s">
        <v>3588</v>
      </c>
      <c r="F15" t="s">
        <v>2805</v>
      </c>
      <c r="G15" t="s">
        <v>3589</v>
      </c>
      <c r="I15" t="s">
        <v>3586</v>
      </c>
      <c r="J15" t="s">
        <v>3536</v>
      </c>
    </row>
    <row r="16" spans="1:10" x14ac:dyDescent="0.25">
      <c r="A16" t="s">
        <v>3590</v>
      </c>
      <c r="B16" t="s">
        <v>3530</v>
      </c>
      <c r="C16" t="s">
        <v>3525</v>
      </c>
      <c r="D16" t="s">
        <v>3591</v>
      </c>
      <c r="E16" t="s">
        <v>3592</v>
      </c>
      <c r="F16" t="s">
        <v>2805</v>
      </c>
      <c r="G16" t="s">
        <v>3593</v>
      </c>
      <c r="I16" t="s">
        <v>3590</v>
      </c>
      <c r="J16" t="s">
        <v>3594</v>
      </c>
    </row>
    <row r="17" spans="1:10" x14ac:dyDescent="0.25">
      <c r="A17" t="s">
        <v>3595</v>
      </c>
      <c r="B17" t="s">
        <v>41</v>
      </c>
      <c r="C17" t="s">
        <v>3596</v>
      </c>
      <c r="D17" t="s">
        <v>3597</v>
      </c>
      <c r="E17" t="s">
        <v>3598</v>
      </c>
      <c r="F17" t="s">
        <v>2620</v>
      </c>
      <c r="G17" t="s">
        <v>315</v>
      </c>
      <c r="I17" t="s">
        <v>3595</v>
      </c>
      <c r="J17" t="s">
        <v>3599</v>
      </c>
    </row>
    <row r="18" spans="1:10" x14ac:dyDescent="0.25">
      <c r="A18" t="s">
        <v>3483</v>
      </c>
      <c r="B18" t="s">
        <v>3530</v>
      </c>
      <c r="C18" t="s">
        <v>3596</v>
      </c>
      <c r="D18" t="s">
        <v>3471</v>
      </c>
      <c r="E18" t="s">
        <v>3600</v>
      </c>
      <c r="F18" t="s">
        <v>160</v>
      </c>
      <c r="G18" t="s">
        <v>315</v>
      </c>
      <c r="I18" t="s">
        <v>3483</v>
      </c>
      <c r="J18" t="s">
        <v>3536</v>
      </c>
    </row>
    <row r="19" spans="1:10" x14ac:dyDescent="0.25">
      <c r="A19" t="s">
        <v>7878</v>
      </c>
      <c r="B19" t="s">
        <v>3518</v>
      </c>
      <c r="C19" t="s">
        <v>3525</v>
      </c>
      <c r="D19" t="s">
        <v>7881</v>
      </c>
      <c r="E19" t="s">
        <v>7886</v>
      </c>
      <c r="F19" t="s">
        <v>38</v>
      </c>
      <c r="G19" t="s">
        <v>3651</v>
      </c>
      <c r="H19" t="s">
        <v>3686</v>
      </c>
      <c r="I19" t="s">
        <v>7879</v>
      </c>
      <c r="J19" t="s">
        <v>3594</v>
      </c>
    </row>
    <row r="20" spans="1:10" x14ac:dyDescent="0.25">
      <c r="A20" t="s">
        <v>3601</v>
      </c>
      <c r="B20" t="s">
        <v>3518</v>
      </c>
      <c r="C20" t="s">
        <v>3539</v>
      </c>
      <c r="D20" t="s">
        <v>3602</v>
      </c>
      <c r="E20" t="s">
        <v>3603</v>
      </c>
      <c r="F20" t="s">
        <v>2620</v>
      </c>
      <c r="I20" t="s">
        <v>3604</v>
      </c>
      <c r="J20" t="s">
        <v>3605</v>
      </c>
    </row>
    <row r="21" spans="1:10" x14ac:dyDescent="0.25">
      <c r="A21" t="s">
        <v>7921</v>
      </c>
      <c r="B21" t="s">
        <v>3530</v>
      </c>
      <c r="C21" t="s">
        <v>3539</v>
      </c>
      <c r="D21" t="s">
        <v>7922</v>
      </c>
      <c r="F21" t="s">
        <v>2620</v>
      </c>
      <c r="G21" t="s">
        <v>7923</v>
      </c>
      <c r="I21" t="s">
        <v>7924</v>
      </c>
      <c r="J21" t="s">
        <v>3594</v>
      </c>
    </row>
    <row r="22" spans="1:10" x14ac:dyDescent="0.25">
      <c r="A22" t="s">
        <v>3606</v>
      </c>
      <c r="B22" t="s">
        <v>41</v>
      </c>
      <c r="C22" t="s">
        <v>3525</v>
      </c>
      <c r="D22" t="s">
        <v>3607</v>
      </c>
      <c r="E22" t="s">
        <v>3608</v>
      </c>
      <c r="F22" t="s">
        <v>1650</v>
      </c>
      <c r="G22" t="s">
        <v>3609</v>
      </c>
      <c r="I22" t="s">
        <v>3610</v>
      </c>
      <c r="J22" t="s">
        <v>3594</v>
      </c>
    </row>
    <row r="23" spans="1:10" x14ac:dyDescent="0.25">
      <c r="A23" t="s">
        <v>7892</v>
      </c>
      <c r="B23" t="s">
        <v>41</v>
      </c>
      <c r="C23" t="s">
        <v>3539</v>
      </c>
      <c r="D23" t="s">
        <v>7893</v>
      </c>
      <c r="E23" t="s">
        <v>7900</v>
      </c>
      <c r="F23" t="s">
        <v>2137</v>
      </c>
      <c r="G23" t="s">
        <v>3692</v>
      </c>
      <c r="I23" t="s">
        <v>7892</v>
      </c>
      <c r="J23" t="s">
        <v>3599</v>
      </c>
    </row>
    <row r="24" spans="1:10" x14ac:dyDescent="0.25">
      <c r="A24" t="s">
        <v>131</v>
      </c>
      <c r="B24" t="s">
        <v>0</v>
      </c>
      <c r="C24" t="s">
        <v>3539</v>
      </c>
      <c r="D24" t="s">
        <v>3611</v>
      </c>
      <c r="E24" t="s">
        <v>3612</v>
      </c>
      <c r="F24" t="s">
        <v>90</v>
      </c>
      <c r="G24" t="s">
        <v>3613</v>
      </c>
      <c r="I24" t="s">
        <v>132</v>
      </c>
      <c r="J24" t="s">
        <v>3594</v>
      </c>
    </row>
    <row r="25" spans="1:10" x14ac:dyDescent="0.25">
      <c r="A25" t="s">
        <v>3614</v>
      </c>
      <c r="B25" t="s">
        <v>41</v>
      </c>
      <c r="C25" t="s">
        <v>3531</v>
      </c>
      <c r="D25" t="s">
        <v>7896</v>
      </c>
      <c r="E25" t="s">
        <v>3615</v>
      </c>
      <c r="F25" t="s">
        <v>2805</v>
      </c>
      <c r="G25" t="s">
        <v>3616</v>
      </c>
      <c r="I25" t="s">
        <v>3617</v>
      </c>
      <c r="J25" t="s">
        <v>3449</v>
      </c>
    </row>
    <row r="26" spans="1:10" x14ac:dyDescent="0.25">
      <c r="A26" t="s">
        <v>3618</v>
      </c>
      <c r="B26" t="s">
        <v>3530</v>
      </c>
      <c r="C26" t="s">
        <v>3539</v>
      </c>
      <c r="D26" t="s">
        <v>7653</v>
      </c>
      <c r="E26" t="s">
        <v>3619</v>
      </c>
      <c r="F26" t="s">
        <v>2620</v>
      </c>
      <c r="G26" t="s">
        <v>3620</v>
      </c>
      <c r="I26" t="s">
        <v>3621</v>
      </c>
      <c r="J26" t="s">
        <v>3562</v>
      </c>
    </row>
    <row r="27" spans="1:10" x14ac:dyDescent="0.25">
      <c r="A27" t="s">
        <v>7894</v>
      </c>
      <c r="B27" t="s">
        <v>3530</v>
      </c>
      <c r="C27" t="s">
        <v>3525</v>
      </c>
      <c r="D27" t="s">
        <v>7895</v>
      </c>
      <c r="E27" t="s">
        <v>7901</v>
      </c>
      <c r="F27" t="s">
        <v>2137</v>
      </c>
      <c r="G27" t="s">
        <v>3547</v>
      </c>
      <c r="I27" t="s">
        <v>7894</v>
      </c>
      <c r="J27" t="s">
        <v>3449</v>
      </c>
    </row>
    <row r="28" spans="1:10" x14ac:dyDescent="0.25">
      <c r="A28" t="s">
        <v>3622</v>
      </c>
      <c r="B28" t="s">
        <v>0</v>
      </c>
      <c r="C28" t="s">
        <v>3623</v>
      </c>
      <c r="D28" t="s">
        <v>3624</v>
      </c>
      <c r="E28" t="s">
        <v>3625</v>
      </c>
      <c r="F28" t="s">
        <v>160</v>
      </c>
      <c r="G28" t="s">
        <v>3547</v>
      </c>
      <c r="I28" t="s">
        <v>3626</v>
      </c>
      <c r="J28" t="s">
        <v>3594</v>
      </c>
    </row>
    <row r="29" spans="1:10" x14ac:dyDescent="0.25">
      <c r="A29" t="s">
        <v>3627</v>
      </c>
      <c r="B29" t="s">
        <v>3530</v>
      </c>
      <c r="C29" t="s">
        <v>3539</v>
      </c>
      <c r="D29" t="s">
        <v>3628</v>
      </c>
      <c r="E29" t="s">
        <v>3629</v>
      </c>
      <c r="F29" t="s">
        <v>497</v>
      </c>
      <c r="G29" t="s">
        <v>3559</v>
      </c>
      <c r="I29" t="s">
        <v>3627</v>
      </c>
      <c r="J29" t="s">
        <v>3599</v>
      </c>
    </row>
    <row r="30" spans="1:10" x14ac:dyDescent="0.25">
      <c r="A30" t="s">
        <v>3630</v>
      </c>
      <c r="B30" t="s">
        <v>3575</v>
      </c>
      <c r="C30" t="s">
        <v>3539</v>
      </c>
      <c r="D30" t="s">
        <v>3631</v>
      </c>
      <c r="E30" t="s">
        <v>3632</v>
      </c>
      <c r="F30" t="s">
        <v>38</v>
      </c>
      <c r="G30" t="s">
        <v>3633</v>
      </c>
      <c r="I30" t="s">
        <v>3634</v>
      </c>
      <c r="J30" t="s">
        <v>3579</v>
      </c>
    </row>
    <row r="31" spans="1:10" x14ac:dyDescent="0.25">
      <c r="A31" t="s">
        <v>3635</v>
      </c>
      <c r="B31" t="s">
        <v>3530</v>
      </c>
      <c r="C31" t="s">
        <v>3568</v>
      </c>
      <c r="D31" t="s">
        <v>3636</v>
      </c>
      <c r="E31" t="s">
        <v>3637</v>
      </c>
      <c r="F31" t="s">
        <v>160</v>
      </c>
      <c r="G31" t="s">
        <v>3638</v>
      </c>
      <c r="I31" t="s">
        <v>3639</v>
      </c>
      <c r="J31" t="s">
        <v>3573</v>
      </c>
    </row>
    <row r="32" spans="1:10" x14ac:dyDescent="0.25">
      <c r="A32" t="s">
        <v>7880</v>
      </c>
      <c r="B32" t="s">
        <v>3530</v>
      </c>
      <c r="C32" t="s">
        <v>3525</v>
      </c>
      <c r="D32" t="s">
        <v>7882</v>
      </c>
      <c r="E32" t="s">
        <v>7887</v>
      </c>
      <c r="F32" t="s">
        <v>38</v>
      </c>
      <c r="G32" t="s">
        <v>3870</v>
      </c>
      <c r="I32" t="s">
        <v>7883</v>
      </c>
      <c r="J32" t="s">
        <v>3594</v>
      </c>
    </row>
    <row r="33" spans="1:10" x14ac:dyDescent="0.25">
      <c r="A33" t="s">
        <v>3640</v>
      </c>
      <c r="B33" t="s">
        <v>41</v>
      </c>
      <c r="C33" t="s">
        <v>3539</v>
      </c>
      <c r="D33" t="s">
        <v>3641</v>
      </c>
      <c r="E33" t="s">
        <v>3642</v>
      </c>
      <c r="F33" t="s">
        <v>1650</v>
      </c>
      <c r="G33" t="s">
        <v>3643</v>
      </c>
      <c r="I33" t="s">
        <v>3644</v>
      </c>
      <c r="J33" t="s">
        <v>3536</v>
      </c>
    </row>
    <row r="34" spans="1:10" x14ac:dyDescent="0.25">
      <c r="A34" t="s">
        <v>3645</v>
      </c>
      <c r="B34" t="s">
        <v>41</v>
      </c>
      <c r="C34" t="s">
        <v>3531</v>
      </c>
      <c r="D34" t="s">
        <v>3646</v>
      </c>
      <c r="E34" t="s">
        <v>3647</v>
      </c>
      <c r="F34" t="s">
        <v>160</v>
      </c>
      <c r="G34" t="s">
        <v>264</v>
      </c>
      <c r="I34" t="s">
        <v>3645</v>
      </c>
      <c r="J34" t="s">
        <v>3449</v>
      </c>
    </row>
    <row r="35" spans="1:10" x14ac:dyDescent="0.25">
      <c r="A35" t="s">
        <v>3648</v>
      </c>
      <c r="B35" t="s">
        <v>3518</v>
      </c>
      <c r="C35" t="s">
        <v>3531</v>
      </c>
      <c r="D35" t="s">
        <v>3649</v>
      </c>
      <c r="E35" t="s">
        <v>3650</v>
      </c>
      <c r="F35" t="s">
        <v>90</v>
      </c>
      <c r="G35" t="s">
        <v>3651</v>
      </c>
      <c r="I35" t="s">
        <v>3648</v>
      </c>
      <c r="J35" t="s">
        <v>3449</v>
      </c>
    </row>
    <row r="36" spans="1:10" x14ac:dyDescent="0.25">
      <c r="A36" t="s">
        <v>3652</v>
      </c>
      <c r="B36" t="s">
        <v>3530</v>
      </c>
      <c r="C36" t="s">
        <v>3525</v>
      </c>
      <c r="D36" t="s">
        <v>3653</v>
      </c>
      <c r="E36" t="s">
        <v>3654</v>
      </c>
      <c r="F36" t="s">
        <v>90</v>
      </c>
      <c r="G36" t="s">
        <v>3655</v>
      </c>
      <c r="I36" t="s">
        <v>3656</v>
      </c>
      <c r="J36" t="s">
        <v>3449</v>
      </c>
    </row>
    <row r="37" spans="1:10" x14ac:dyDescent="0.25">
      <c r="A37" t="s">
        <v>3657</v>
      </c>
      <c r="B37" t="s">
        <v>3530</v>
      </c>
      <c r="C37" t="s">
        <v>3539</v>
      </c>
      <c r="D37" t="s">
        <v>3658</v>
      </c>
      <c r="E37" t="s">
        <v>3659</v>
      </c>
      <c r="F37" t="s">
        <v>493</v>
      </c>
      <c r="G37" t="s">
        <v>3660</v>
      </c>
      <c r="I37" t="s">
        <v>3661</v>
      </c>
      <c r="J37" t="s">
        <v>3599</v>
      </c>
    </row>
    <row r="38" spans="1:10" x14ac:dyDescent="0.25">
      <c r="A38" t="s">
        <v>3662</v>
      </c>
      <c r="B38" t="s">
        <v>41</v>
      </c>
      <c r="C38" t="s">
        <v>3596</v>
      </c>
      <c r="D38" t="s">
        <v>3663</v>
      </c>
      <c r="E38" t="s">
        <v>3664</v>
      </c>
      <c r="F38" t="s">
        <v>160</v>
      </c>
      <c r="G38" t="s">
        <v>3665</v>
      </c>
      <c r="I38" t="s">
        <v>3666</v>
      </c>
      <c r="J38" t="s">
        <v>3605</v>
      </c>
    </row>
    <row r="39" spans="1:10" x14ac:dyDescent="0.25">
      <c r="A39" t="s">
        <v>3667</v>
      </c>
      <c r="B39" t="s">
        <v>41</v>
      </c>
      <c r="C39" t="s">
        <v>3531</v>
      </c>
      <c r="D39" t="s">
        <v>3668</v>
      </c>
      <c r="E39" t="s">
        <v>3669</v>
      </c>
      <c r="F39" t="s">
        <v>160</v>
      </c>
      <c r="G39" t="s">
        <v>3670</v>
      </c>
      <c r="I39" t="s">
        <v>3671</v>
      </c>
      <c r="J39" t="s">
        <v>3605</v>
      </c>
    </row>
    <row r="40" spans="1:10" x14ac:dyDescent="0.25">
      <c r="A40" t="s">
        <v>3672</v>
      </c>
      <c r="B40" t="s">
        <v>41</v>
      </c>
      <c r="C40" t="s">
        <v>3673</v>
      </c>
      <c r="D40" t="s">
        <v>3674</v>
      </c>
      <c r="E40" t="s">
        <v>3675</v>
      </c>
      <c r="F40" t="s">
        <v>90</v>
      </c>
      <c r="G40" t="s">
        <v>3676</v>
      </c>
      <c r="I40" t="s">
        <v>3677</v>
      </c>
      <c r="J40" t="s">
        <v>3536</v>
      </c>
    </row>
    <row r="41" spans="1:10" x14ac:dyDescent="0.25">
      <c r="A41" t="s">
        <v>4779</v>
      </c>
      <c r="B41" t="s">
        <v>3518</v>
      </c>
      <c r="C41" t="s">
        <v>3531</v>
      </c>
      <c r="D41" t="s">
        <v>7405</v>
      </c>
      <c r="E41" t="s">
        <v>7410</v>
      </c>
      <c r="F41" t="s">
        <v>90</v>
      </c>
      <c r="G41" t="s">
        <v>4687</v>
      </c>
      <c r="I41" t="s">
        <v>4782</v>
      </c>
      <c r="J41" t="s">
        <v>3594</v>
      </c>
    </row>
    <row r="42" spans="1:10" x14ac:dyDescent="0.25">
      <c r="A42" t="s">
        <v>3678</v>
      </c>
      <c r="B42" t="s">
        <v>3575</v>
      </c>
      <c r="C42" t="s">
        <v>3539</v>
      </c>
      <c r="D42" t="s">
        <v>3679</v>
      </c>
      <c r="E42" t="s">
        <v>3680</v>
      </c>
      <c r="F42" t="s">
        <v>90</v>
      </c>
      <c r="G42" t="s">
        <v>3676</v>
      </c>
      <c r="I42" t="s">
        <v>3681</v>
      </c>
      <c r="J42" t="s">
        <v>3599</v>
      </c>
    </row>
    <row r="43" spans="1:10" x14ac:dyDescent="0.25">
      <c r="A43" t="s">
        <v>3682</v>
      </c>
      <c r="B43" t="s">
        <v>3530</v>
      </c>
      <c r="C43" t="s">
        <v>3539</v>
      </c>
      <c r="D43" t="s">
        <v>3683</v>
      </c>
      <c r="E43" t="s">
        <v>3684</v>
      </c>
      <c r="F43" t="s">
        <v>2620</v>
      </c>
      <c r="G43" t="s">
        <v>3685</v>
      </c>
      <c r="H43" t="s">
        <v>3686</v>
      </c>
      <c r="I43" t="s">
        <v>3687</v>
      </c>
      <c r="J43" t="s">
        <v>3594</v>
      </c>
    </row>
    <row r="44" spans="1:10" x14ac:dyDescent="0.25">
      <c r="A44" t="s">
        <v>3495</v>
      </c>
      <c r="B44" t="s">
        <v>3530</v>
      </c>
      <c r="C44" t="s">
        <v>3525</v>
      </c>
      <c r="D44" t="s">
        <v>3564</v>
      </c>
      <c r="E44" t="s">
        <v>3565</v>
      </c>
      <c r="F44" t="s">
        <v>2805</v>
      </c>
      <c r="G44" t="s">
        <v>3616</v>
      </c>
      <c r="I44" t="s">
        <v>3495</v>
      </c>
      <c r="J44" t="s">
        <v>3449</v>
      </c>
    </row>
    <row r="45" spans="1:10" x14ac:dyDescent="0.25">
      <c r="A45" t="s">
        <v>3688</v>
      </c>
      <c r="B45" t="s">
        <v>41</v>
      </c>
      <c r="C45" t="s">
        <v>3689</v>
      </c>
      <c r="D45" t="s">
        <v>3690</v>
      </c>
      <c r="E45" t="s">
        <v>3691</v>
      </c>
      <c r="F45" t="s">
        <v>2620</v>
      </c>
      <c r="G45" t="s">
        <v>3692</v>
      </c>
      <c r="H45" t="s">
        <v>3686</v>
      </c>
      <c r="I45" t="s">
        <v>3693</v>
      </c>
      <c r="J45" t="s">
        <v>3599</v>
      </c>
    </row>
    <row r="46" spans="1:10" x14ac:dyDescent="0.25">
      <c r="A46" t="s">
        <v>7897</v>
      </c>
      <c r="B46" t="s">
        <v>3518</v>
      </c>
      <c r="C46" t="s">
        <v>3539</v>
      </c>
      <c r="D46" t="s">
        <v>7898</v>
      </c>
      <c r="E46" t="s">
        <v>7902</v>
      </c>
      <c r="F46" t="s">
        <v>2137</v>
      </c>
      <c r="I46" t="s">
        <v>7899</v>
      </c>
      <c r="J46" t="s">
        <v>3449</v>
      </c>
    </row>
    <row r="47" spans="1:10" x14ac:dyDescent="0.25">
      <c r="A47" t="s">
        <v>7397</v>
      </c>
      <c r="B47" t="s">
        <v>3530</v>
      </c>
      <c r="C47" t="s">
        <v>3525</v>
      </c>
      <c r="D47" t="s">
        <v>7398</v>
      </c>
      <c r="E47" t="s">
        <v>7411</v>
      </c>
      <c r="F47" t="s">
        <v>38</v>
      </c>
      <c r="I47" t="s">
        <v>7399</v>
      </c>
      <c r="J47" t="s">
        <v>3573</v>
      </c>
    </row>
    <row r="48" spans="1:10" x14ac:dyDescent="0.25">
      <c r="A48" t="s">
        <v>7406</v>
      </c>
      <c r="B48" t="s">
        <v>3530</v>
      </c>
      <c r="C48" t="s">
        <v>3525</v>
      </c>
      <c r="D48" t="s">
        <v>7408</v>
      </c>
      <c r="E48" t="s">
        <v>7412</v>
      </c>
      <c r="F48" t="s">
        <v>38</v>
      </c>
      <c r="I48" t="s">
        <v>7407</v>
      </c>
      <c r="J48" t="s">
        <v>4009</v>
      </c>
    </row>
    <row r="49" spans="1:10" x14ac:dyDescent="0.25">
      <c r="A49" t="s">
        <v>3698</v>
      </c>
      <c r="B49" t="s">
        <v>3575</v>
      </c>
      <c r="C49" t="s">
        <v>3539</v>
      </c>
      <c r="D49" t="s">
        <v>3699</v>
      </c>
      <c r="E49" t="s">
        <v>3700</v>
      </c>
      <c r="F49" t="s">
        <v>90</v>
      </c>
      <c r="I49" t="s">
        <v>3701</v>
      </c>
      <c r="J49" t="s">
        <v>3599</v>
      </c>
    </row>
    <row r="50" spans="1:10" x14ac:dyDescent="0.25">
      <c r="A50" t="s">
        <v>3702</v>
      </c>
      <c r="B50" t="s">
        <v>3575</v>
      </c>
      <c r="C50" t="s">
        <v>3539</v>
      </c>
      <c r="D50" t="s">
        <v>3703</v>
      </c>
      <c r="E50" t="s">
        <v>3704</v>
      </c>
      <c r="F50" t="s">
        <v>90</v>
      </c>
      <c r="G50" t="s">
        <v>3705</v>
      </c>
      <c r="I50" t="s">
        <v>3706</v>
      </c>
      <c r="J50" t="s">
        <v>3579</v>
      </c>
    </row>
    <row r="51" spans="1:10" x14ac:dyDescent="0.25">
      <c r="A51" t="s">
        <v>3707</v>
      </c>
      <c r="B51" t="s">
        <v>3530</v>
      </c>
      <c r="C51" t="s">
        <v>3525</v>
      </c>
      <c r="D51" t="s">
        <v>3708</v>
      </c>
      <c r="E51" t="s">
        <v>3709</v>
      </c>
      <c r="F51" t="s">
        <v>497</v>
      </c>
      <c r="G51" t="s">
        <v>3710</v>
      </c>
      <c r="I51" t="s">
        <v>3707</v>
      </c>
      <c r="J51" t="s">
        <v>3536</v>
      </c>
    </row>
    <row r="52" spans="1:10" x14ac:dyDescent="0.25">
      <c r="A52" t="s">
        <v>3711</v>
      </c>
      <c r="B52" t="s">
        <v>3518</v>
      </c>
      <c r="C52" t="s">
        <v>3596</v>
      </c>
      <c r="D52" t="s">
        <v>3712</v>
      </c>
      <c r="E52" t="s">
        <v>3713</v>
      </c>
      <c r="F52" t="s">
        <v>1650</v>
      </c>
      <c r="G52" t="s">
        <v>3714</v>
      </c>
      <c r="I52" t="s">
        <v>3715</v>
      </c>
      <c r="J52" t="s">
        <v>3599</v>
      </c>
    </row>
    <row r="53" spans="1:10" x14ac:dyDescent="0.25">
      <c r="A53" t="s">
        <v>3716</v>
      </c>
      <c r="B53" t="s">
        <v>3530</v>
      </c>
      <c r="C53" t="s">
        <v>3519</v>
      </c>
      <c r="D53" t="s">
        <v>7654</v>
      </c>
      <c r="E53" t="s">
        <v>7677</v>
      </c>
      <c r="F53" t="s">
        <v>2620</v>
      </c>
      <c r="G53" t="s">
        <v>3717</v>
      </c>
      <c r="I53" t="s">
        <v>3718</v>
      </c>
      <c r="J53" t="s">
        <v>3554</v>
      </c>
    </row>
    <row r="54" spans="1:10" x14ac:dyDescent="0.25">
      <c r="A54" t="s">
        <v>3719</v>
      </c>
      <c r="B54" t="s">
        <v>3530</v>
      </c>
      <c r="C54" t="s">
        <v>3531</v>
      </c>
      <c r="D54" t="s">
        <v>3720</v>
      </c>
      <c r="E54" t="s">
        <v>3721</v>
      </c>
      <c r="F54" t="s">
        <v>160</v>
      </c>
      <c r="G54" t="s">
        <v>3705</v>
      </c>
      <c r="H54" t="s">
        <v>3722</v>
      </c>
      <c r="I54" t="s">
        <v>3719</v>
      </c>
      <c r="J54" t="s">
        <v>3723</v>
      </c>
    </row>
    <row r="55" spans="1:10" x14ac:dyDescent="0.25">
      <c r="A55" t="s">
        <v>3724</v>
      </c>
      <c r="B55" t="s">
        <v>3530</v>
      </c>
      <c r="C55" t="s">
        <v>3556</v>
      </c>
      <c r="D55" t="s">
        <v>3725</v>
      </c>
      <c r="E55" t="s">
        <v>3726</v>
      </c>
      <c r="F55" t="s">
        <v>160</v>
      </c>
      <c r="G55" t="s">
        <v>3727</v>
      </c>
      <c r="H55" t="s">
        <v>3560</v>
      </c>
      <c r="I55" t="s">
        <v>3728</v>
      </c>
      <c r="J55" t="s">
        <v>3536</v>
      </c>
    </row>
    <row r="56" spans="1:10" x14ac:dyDescent="0.25">
      <c r="A56" t="s">
        <v>3729</v>
      </c>
      <c r="B56" t="s">
        <v>3530</v>
      </c>
      <c r="C56" t="s">
        <v>3539</v>
      </c>
      <c r="D56" t="s">
        <v>3730</v>
      </c>
      <c r="E56" t="s">
        <v>3731</v>
      </c>
      <c r="F56" t="s">
        <v>2620</v>
      </c>
      <c r="H56" t="s">
        <v>3686</v>
      </c>
      <c r="I56" t="s">
        <v>3732</v>
      </c>
      <c r="J56" t="s">
        <v>3536</v>
      </c>
    </row>
    <row r="57" spans="1:10" x14ac:dyDescent="0.25">
      <c r="A57" t="s">
        <v>3733</v>
      </c>
      <c r="B57" t="s">
        <v>3530</v>
      </c>
      <c r="C57" t="s">
        <v>3525</v>
      </c>
      <c r="D57" t="s">
        <v>3734</v>
      </c>
      <c r="E57" t="s">
        <v>3735</v>
      </c>
      <c r="F57" t="s">
        <v>553</v>
      </c>
      <c r="G57" t="s">
        <v>3736</v>
      </c>
      <c r="I57" t="s">
        <v>3737</v>
      </c>
      <c r="J57" t="s">
        <v>3594</v>
      </c>
    </row>
    <row r="58" spans="1:10" x14ac:dyDescent="0.25">
      <c r="A58" t="s">
        <v>3738</v>
      </c>
      <c r="B58" t="s">
        <v>41</v>
      </c>
      <c r="C58" t="s">
        <v>3673</v>
      </c>
      <c r="D58" t="s">
        <v>3739</v>
      </c>
      <c r="E58" t="s">
        <v>3740</v>
      </c>
      <c r="F58" t="s">
        <v>90</v>
      </c>
      <c r="I58" t="s">
        <v>3738</v>
      </c>
      <c r="J58" t="s">
        <v>3536</v>
      </c>
    </row>
    <row r="59" spans="1:10" x14ac:dyDescent="0.25">
      <c r="A59" t="s">
        <v>7400</v>
      </c>
      <c r="B59" t="s">
        <v>3530</v>
      </c>
      <c r="C59" t="s">
        <v>3539</v>
      </c>
      <c r="D59" t="s">
        <v>7402</v>
      </c>
      <c r="E59" t="s">
        <v>7413</v>
      </c>
      <c r="F59" t="s">
        <v>90</v>
      </c>
      <c r="G59" t="s">
        <v>7404</v>
      </c>
      <c r="I59" t="s">
        <v>7401</v>
      </c>
      <c r="J59" t="s">
        <v>3605</v>
      </c>
    </row>
    <row r="60" spans="1:10" x14ac:dyDescent="0.25">
      <c r="A60" t="s">
        <v>3746</v>
      </c>
      <c r="B60" t="s">
        <v>41</v>
      </c>
      <c r="C60" t="s">
        <v>3689</v>
      </c>
      <c r="D60" t="s">
        <v>3747</v>
      </c>
      <c r="E60" t="s">
        <v>3748</v>
      </c>
      <c r="F60" t="s">
        <v>2620</v>
      </c>
      <c r="G60" t="s">
        <v>3749</v>
      </c>
      <c r="I60" t="s">
        <v>3750</v>
      </c>
      <c r="J60"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3751</v>
      </c>
      <c r="D1" t="s">
        <v>3752</v>
      </c>
      <c r="E1" t="s">
        <v>1</v>
      </c>
      <c r="F1" t="s">
        <v>3449</v>
      </c>
      <c r="G1" t="s">
        <v>3753</v>
      </c>
      <c r="H1" t="s">
        <v>3754</v>
      </c>
      <c r="I1" t="s">
        <v>3755</v>
      </c>
      <c r="J1" t="s">
        <v>3756</v>
      </c>
      <c r="K1" t="s">
        <v>171</v>
      </c>
      <c r="L1" t="s">
        <v>3757</v>
      </c>
    </row>
    <row r="2" spans="1:12" x14ac:dyDescent="0.25">
      <c r="A2" t="s">
        <v>3758</v>
      </c>
      <c r="B2" t="s">
        <v>176</v>
      </c>
      <c r="C2" t="s">
        <v>3759</v>
      </c>
      <c r="D2" t="s">
        <v>3760</v>
      </c>
      <c r="E2" t="s">
        <v>160</v>
      </c>
      <c r="F2">
        <v>1</v>
      </c>
      <c r="G2">
        <v>1</v>
      </c>
      <c r="H2" t="s">
        <v>3761</v>
      </c>
      <c r="I2" t="s">
        <v>3762</v>
      </c>
      <c r="J2" t="s">
        <v>3467</v>
      </c>
      <c r="K2" t="s">
        <v>3763</v>
      </c>
      <c r="L2" t="s">
        <v>3764</v>
      </c>
    </row>
    <row r="3" spans="1:12" x14ac:dyDescent="0.25">
      <c r="A3" t="s">
        <v>3765</v>
      </c>
      <c r="B3" t="s">
        <v>176</v>
      </c>
      <c r="C3" t="s">
        <v>3759</v>
      </c>
      <c r="D3" t="s">
        <v>3760</v>
      </c>
      <c r="E3" t="s">
        <v>497</v>
      </c>
      <c r="F3">
        <v>1</v>
      </c>
      <c r="G3">
        <v>1</v>
      </c>
      <c r="H3" t="s">
        <v>3761</v>
      </c>
      <c r="I3" t="s">
        <v>3766</v>
      </c>
      <c r="J3" t="s">
        <v>3467</v>
      </c>
      <c r="K3" t="s">
        <v>3767</v>
      </c>
      <c r="L3" t="s">
        <v>3522</v>
      </c>
    </row>
    <row r="4" spans="1:12" x14ac:dyDescent="0.25">
      <c r="A4" t="s">
        <v>7390</v>
      </c>
      <c r="B4" t="s">
        <v>176</v>
      </c>
      <c r="C4" t="s">
        <v>3759</v>
      </c>
      <c r="D4" t="s">
        <v>3760</v>
      </c>
      <c r="E4" t="s">
        <v>2174</v>
      </c>
      <c r="F4">
        <v>1</v>
      </c>
      <c r="G4">
        <v>1</v>
      </c>
      <c r="H4" t="s">
        <v>3769</v>
      </c>
      <c r="I4" t="s">
        <v>7391</v>
      </c>
      <c r="J4" t="s">
        <v>3467</v>
      </c>
      <c r="K4" t="s">
        <v>7390</v>
      </c>
      <c r="L4" t="s">
        <v>7392</v>
      </c>
    </row>
    <row r="5" spans="1:12" x14ac:dyDescent="0.25">
      <c r="A5" t="s">
        <v>3768</v>
      </c>
      <c r="B5" t="s">
        <v>176</v>
      </c>
      <c r="C5" t="s">
        <v>3759</v>
      </c>
      <c r="D5" t="s">
        <v>3760</v>
      </c>
      <c r="E5" t="s">
        <v>2620</v>
      </c>
      <c r="F5">
        <v>1</v>
      </c>
      <c r="G5">
        <v>1</v>
      </c>
      <c r="H5" t="s">
        <v>3769</v>
      </c>
      <c r="I5" t="s">
        <v>3770</v>
      </c>
      <c r="J5" t="s">
        <v>7479</v>
      </c>
      <c r="K5" t="s">
        <v>3771</v>
      </c>
      <c r="L5" t="s">
        <v>3692</v>
      </c>
    </row>
    <row r="6" spans="1:12" x14ac:dyDescent="0.25">
      <c r="A6" t="s">
        <v>3772</v>
      </c>
      <c r="B6" t="s">
        <v>176</v>
      </c>
      <c r="C6" t="s">
        <v>3759</v>
      </c>
      <c r="D6" t="s">
        <v>3760</v>
      </c>
      <c r="E6" t="s">
        <v>1047</v>
      </c>
      <c r="F6">
        <v>1</v>
      </c>
      <c r="G6">
        <v>1</v>
      </c>
      <c r="H6" t="s">
        <v>3773</v>
      </c>
      <c r="I6" t="s">
        <v>3774</v>
      </c>
      <c r="J6" t="s">
        <v>3467</v>
      </c>
      <c r="K6" t="s">
        <v>3775</v>
      </c>
    </row>
    <row r="7" spans="1:12" x14ac:dyDescent="0.25">
      <c r="A7" t="s">
        <v>3776</v>
      </c>
      <c r="B7" t="s">
        <v>176</v>
      </c>
      <c r="C7" t="s">
        <v>3759</v>
      </c>
      <c r="D7" t="s">
        <v>3760</v>
      </c>
      <c r="E7" t="s">
        <v>1753</v>
      </c>
      <c r="F7">
        <v>1</v>
      </c>
      <c r="G7">
        <v>1</v>
      </c>
      <c r="H7" t="s">
        <v>3769</v>
      </c>
      <c r="I7" t="s">
        <v>3777</v>
      </c>
      <c r="J7" t="s">
        <v>3467</v>
      </c>
      <c r="K7" t="s">
        <v>3778</v>
      </c>
    </row>
    <row r="8" spans="1:12" x14ac:dyDescent="0.25">
      <c r="A8" t="s">
        <v>3779</v>
      </c>
      <c r="B8" t="s">
        <v>176</v>
      </c>
      <c r="C8" t="s">
        <v>3759</v>
      </c>
      <c r="D8" t="s">
        <v>3760</v>
      </c>
      <c r="E8" t="s">
        <v>1295</v>
      </c>
      <c r="F8">
        <v>1</v>
      </c>
      <c r="G8">
        <v>1</v>
      </c>
      <c r="H8" t="s">
        <v>3761</v>
      </c>
      <c r="I8" t="s">
        <v>3780</v>
      </c>
      <c r="J8" t="s">
        <v>3467</v>
      </c>
      <c r="K8" t="s">
        <v>3779</v>
      </c>
      <c r="L8" t="s">
        <v>3781</v>
      </c>
    </row>
    <row r="9" spans="1:12" x14ac:dyDescent="0.25">
      <c r="A9" t="s">
        <v>3782</v>
      </c>
      <c r="B9" t="s">
        <v>176</v>
      </c>
      <c r="C9" t="s">
        <v>3759</v>
      </c>
      <c r="D9" t="s">
        <v>3760</v>
      </c>
      <c r="E9" t="s">
        <v>2620</v>
      </c>
      <c r="F9">
        <v>1</v>
      </c>
      <c r="G9">
        <v>1</v>
      </c>
      <c r="H9" t="s">
        <v>3769</v>
      </c>
      <c r="I9" t="s">
        <v>3783</v>
      </c>
      <c r="J9" t="s">
        <v>7486</v>
      </c>
      <c r="K9" t="s">
        <v>3784</v>
      </c>
    </row>
    <row r="10" spans="1:12" x14ac:dyDescent="0.25">
      <c r="A10" t="s">
        <v>3785</v>
      </c>
      <c r="B10" t="s">
        <v>176</v>
      </c>
      <c r="C10" t="s">
        <v>3759</v>
      </c>
      <c r="D10" t="s">
        <v>3760</v>
      </c>
      <c r="E10" t="s">
        <v>360</v>
      </c>
      <c r="F10">
        <v>1</v>
      </c>
      <c r="G10">
        <v>1</v>
      </c>
      <c r="H10" t="s">
        <v>3761</v>
      </c>
      <c r="I10" t="s">
        <v>3786</v>
      </c>
      <c r="J10" t="s">
        <v>3467</v>
      </c>
      <c r="K10" t="s">
        <v>3787</v>
      </c>
      <c r="L10" t="s">
        <v>3781</v>
      </c>
    </row>
    <row r="11" spans="1:12" x14ac:dyDescent="0.25">
      <c r="A11" t="s">
        <v>3788</v>
      </c>
      <c r="B11" t="s">
        <v>176</v>
      </c>
      <c r="C11" t="s">
        <v>3759</v>
      </c>
      <c r="D11" t="s">
        <v>3760</v>
      </c>
      <c r="E11" t="s">
        <v>160</v>
      </c>
      <c r="F11">
        <v>1</v>
      </c>
      <c r="G11">
        <v>1</v>
      </c>
      <c r="H11" t="s">
        <v>3761</v>
      </c>
      <c r="I11" t="s">
        <v>3789</v>
      </c>
      <c r="J11" t="s">
        <v>3467</v>
      </c>
      <c r="K11" t="s">
        <v>3788</v>
      </c>
      <c r="L11" t="s">
        <v>3790</v>
      </c>
    </row>
    <row r="12" spans="1:12" x14ac:dyDescent="0.25">
      <c r="A12" t="s">
        <v>3791</v>
      </c>
      <c r="B12" t="s">
        <v>176</v>
      </c>
      <c r="C12" t="s">
        <v>3759</v>
      </c>
      <c r="D12" t="s">
        <v>3760</v>
      </c>
      <c r="E12" t="s">
        <v>2133</v>
      </c>
      <c r="F12">
        <v>1</v>
      </c>
      <c r="G12">
        <v>1</v>
      </c>
      <c r="H12" t="s">
        <v>3761</v>
      </c>
      <c r="I12" t="s">
        <v>3792</v>
      </c>
      <c r="J12" t="s">
        <v>3467</v>
      </c>
      <c r="K12" t="s">
        <v>3791</v>
      </c>
      <c r="L12" t="s">
        <v>3692</v>
      </c>
    </row>
    <row r="13" spans="1:12" x14ac:dyDescent="0.25">
      <c r="A13" t="s">
        <v>3793</v>
      </c>
      <c r="B13" t="s">
        <v>176</v>
      </c>
      <c r="C13" t="s">
        <v>3759</v>
      </c>
      <c r="D13" t="s">
        <v>3760</v>
      </c>
      <c r="E13" t="s">
        <v>1295</v>
      </c>
      <c r="F13">
        <v>1</v>
      </c>
      <c r="G13">
        <v>1</v>
      </c>
      <c r="H13" t="s">
        <v>3769</v>
      </c>
      <c r="I13" t="s">
        <v>3794</v>
      </c>
      <c r="J13" t="s">
        <v>3467</v>
      </c>
      <c r="K13" t="s">
        <v>3793</v>
      </c>
      <c r="L13" t="s">
        <v>458</v>
      </c>
    </row>
    <row r="14" spans="1:12" x14ac:dyDescent="0.25">
      <c r="A14" t="s">
        <v>3795</v>
      </c>
      <c r="B14" t="s">
        <v>176</v>
      </c>
      <c r="C14" t="s">
        <v>3796</v>
      </c>
      <c r="D14" t="s">
        <v>3760</v>
      </c>
      <c r="E14" t="s">
        <v>2620</v>
      </c>
      <c r="F14">
        <v>1</v>
      </c>
      <c r="G14">
        <v>2</v>
      </c>
      <c r="H14" t="s">
        <v>3761</v>
      </c>
      <c r="I14" t="s">
        <v>3797</v>
      </c>
      <c r="J14" t="s">
        <v>7471</v>
      </c>
      <c r="K14" t="s">
        <v>3795</v>
      </c>
      <c r="L14" t="s">
        <v>3781</v>
      </c>
    </row>
    <row r="15" spans="1:12" x14ac:dyDescent="0.25">
      <c r="A15" t="s">
        <v>3798</v>
      </c>
      <c r="B15" t="s">
        <v>176</v>
      </c>
      <c r="C15" t="s">
        <v>3796</v>
      </c>
      <c r="D15" t="s">
        <v>3760</v>
      </c>
      <c r="E15" t="s">
        <v>2133</v>
      </c>
      <c r="F15">
        <v>1</v>
      </c>
      <c r="G15">
        <v>2</v>
      </c>
      <c r="H15" t="s">
        <v>3761</v>
      </c>
      <c r="I15" t="s">
        <v>3799</v>
      </c>
      <c r="J15" t="s">
        <v>3467</v>
      </c>
      <c r="K15" t="s">
        <v>3798</v>
      </c>
      <c r="L15" t="s">
        <v>3522</v>
      </c>
    </row>
    <row r="16" spans="1:12" x14ac:dyDescent="0.25">
      <c r="A16" t="s">
        <v>3800</v>
      </c>
      <c r="B16" t="s">
        <v>176</v>
      </c>
      <c r="C16" t="s">
        <v>3796</v>
      </c>
      <c r="D16" t="s">
        <v>3760</v>
      </c>
      <c r="E16" t="s">
        <v>2620</v>
      </c>
      <c r="F16">
        <v>1</v>
      </c>
      <c r="G16">
        <v>2</v>
      </c>
      <c r="H16" t="s">
        <v>3769</v>
      </c>
      <c r="I16" t="s">
        <v>3801</v>
      </c>
      <c r="J16" t="s">
        <v>3467</v>
      </c>
      <c r="K16" t="s">
        <v>3802</v>
      </c>
      <c r="L16" t="s">
        <v>3803</v>
      </c>
    </row>
    <row r="17" spans="1:12" x14ac:dyDescent="0.25">
      <c r="A17" t="s">
        <v>3804</v>
      </c>
      <c r="B17" t="s">
        <v>176</v>
      </c>
      <c r="C17" t="s">
        <v>3796</v>
      </c>
      <c r="D17" t="s">
        <v>3760</v>
      </c>
      <c r="E17" t="s">
        <v>160</v>
      </c>
      <c r="F17">
        <v>1</v>
      </c>
      <c r="G17">
        <v>2</v>
      </c>
      <c r="H17" t="s">
        <v>3761</v>
      </c>
      <c r="I17" t="s">
        <v>3805</v>
      </c>
      <c r="J17" t="s">
        <v>7490</v>
      </c>
      <c r="K17" t="s">
        <v>3806</v>
      </c>
      <c r="L17" t="s">
        <v>3692</v>
      </c>
    </row>
    <row r="18" spans="1:12" x14ac:dyDescent="0.25">
      <c r="A18" t="s">
        <v>3807</v>
      </c>
      <c r="B18" t="s">
        <v>176</v>
      </c>
      <c r="C18" t="s">
        <v>3796</v>
      </c>
      <c r="D18" t="s">
        <v>3808</v>
      </c>
      <c r="E18" t="s">
        <v>360</v>
      </c>
      <c r="F18">
        <v>1</v>
      </c>
      <c r="G18">
        <v>2</v>
      </c>
      <c r="H18" t="s">
        <v>3761</v>
      </c>
      <c r="I18" t="s">
        <v>3786</v>
      </c>
      <c r="J18" t="s">
        <v>3467</v>
      </c>
      <c r="K18" t="s">
        <v>3809</v>
      </c>
      <c r="L18" t="s">
        <v>3781</v>
      </c>
    </row>
    <row r="19" spans="1:12" x14ac:dyDescent="0.25">
      <c r="A19" t="s">
        <v>3810</v>
      </c>
      <c r="B19" t="s">
        <v>176</v>
      </c>
      <c r="C19" t="s">
        <v>3811</v>
      </c>
      <c r="D19" t="s">
        <v>3760</v>
      </c>
      <c r="E19" t="s">
        <v>2620</v>
      </c>
      <c r="F19">
        <v>1</v>
      </c>
      <c r="G19">
        <v>3</v>
      </c>
      <c r="H19" t="s">
        <v>3769</v>
      </c>
      <c r="I19" t="s">
        <v>7468</v>
      </c>
      <c r="J19" t="s">
        <v>7470</v>
      </c>
      <c r="K19" t="s">
        <v>3810</v>
      </c>
    </row>
    <row r="20" spans="1:12" x14ac:dyDescent="0.25">
      <c r="A20" t="s">
        <v>3812</v>
      </c>
      <c r="B20" t="s">
        <v>176</v>
      </c>
      <c r="C20" t="s">
        <v>3811</v>
      </c>
      <c r="D20" t="s">
        <v>3813</v>
      </c>
      <c r="E20" t="s">
        <v>1295</v>
      </c>
      <c r="F20">
        <v>1</v>
      </c>
      <c r="G20">
        <v>3</v>
      </c>
      <c r="H20" t="s">
        <v>3761</v>
      </c>
      <c r="I20" t="s">
        <v>3814</v>
      </c>
      <c r="J20" t="s">
        <v>3467</v>
      </c>
      <c r="K20" t="s">
        <v>3815</v>
      </c>
      <c r="L20" t="s">
        <v>3816</v>
      </c>
    </row>
    <row r="21" spans="1:12" x14ac:dyDescent="0.25">
      <c r="A21" t="s">
        <v>3817</v>
      </c>
      <c r="B21" t="s">
        <v>176</v>
      </c>
      <c r="C21" t="s">
        <v>3811</v>
      </c>
      <c r="D21" t="s">
        <v>3760</v>
      </c>
      <c r="E21" t="s">
        <v>1295</v>
      </c>
      <c r="F21">
        <v>1</v>
      </c>
      <c r="G21">
        <v>3</v>
      </c>
      <c r="H21" t="s">
        <v>3769</v>
      </c>
      <c r="I21" t="s">
        <v>3818</v>
      </c>
      <c r="J21" t="s">
        <v>7462</v>
      </c>
      <c r="K21" t="s">
        <v>3819</v>
      </c>
    </row>
    <row r="22" spans="1:12" x14ac:dyDescent="0.25">
      <c r="A22" t="s">
        <v>3820</v>
      </c>
      <c r="B22" t="s">
        <v>176</v>
      </c>
      <c r="C22" t="s">
        <v>3811</v>
      </c>
      <c r="D22" t="s">
        <v>3821</v>
      </c>
      <c r="E22" t="s">
        <v>360</v>
      </c>
      <c r="F22">
        <v>1</v>
      </c>
      <c r="G22">
        <v>3</v>
      </c>
      <c r="H22" t="s">
        <v>3761</v>
      </c>
      <c r="I22" t="s">
        <v>3786</v>
      </c>
      <c r="J22" t="s">
        <v>3467</v>
      </c>
      <c r="K22" t="s">
        <v>3822</v>
      </c>
      <c r="L22" t="s">
        <v>3781</v>
      </c>
    </row>
    <row r="23" spans="1:12" x14ac:dyDescent="0.25">
      <c r="A23" t="s">
        <v>3823</v>
      </c>
      <c r="B23" t="s">
        <v>182</v>
      </c>
      <c r="C23" t="s">
        <v>3759</v>
      </c>
      <c r="D23" t="s">
        <v>3760</v>
      </c>
      <c r="E23" t="s">
        <v>90</v>
      </c>
      <c r="F23">
        <v>1</v>
      </c>
      <c r="G23">
        <v>1</v>
      </c>
      <c r="H23" t="s">
        <v>3769</v>
      </c>
      <c r="I23" t="s">
        <v>3824</v>
      </c>
      <c r="J23" t="s">
        <v>5296</v>
      </c>
      <c r="K23" t="s">
        <v>3823</v>
      </c>
    </row>
    <row r="24" spans="1:12" x14ac:dyDescent="0.25">
      <c r="A24" t="s">
        <v>3825</v>
      </c>
      <c r="B24" t="s">
        <v>182</v>
      </c>
      <c r="C24" t="s">
        <v>3759</v>
      </c>
      <c r="D24" t="s">
        <v>3760</v>
      </c>
      <c r="E24" t="s">
        <v>90</v>
      </c>
      <c r="F24">
        <v>1</v>
      </c>
      <c r="G24">
        <v>1</v>
      </c>
      <c r="H24" t="s">
        <v>3769</v>
      </c>
      <c r="I24" t="s">
        <v>3826</v>
      </c>
      <c r="J24" t="s">
        <v>3467</v>
      </c>
      <c r="K24" t="s">
        <v>3827</v>
      </c>
      <c r="L24" t="s">
        <v>3828</v>
      </c>
    </row>
    <row r="25" spans="1:12" x14ac:dyDescent="0.25">
      <c r="A25" t="s">
        <v>3829</v>
      </c>
      <c r="B25" t="s">
        <v>182</v>
      </c>
      <c r="C25" t="s">
        <v>3759</v>
      </c>
      <c r="D25" t="s">
        <v>3760</v>
      </c>
      <c r="E25" t="s">
        <v>961</v>
      </c>
      <c r="F25">
        <v>1</v>
      </c>
      <c r="G25">
        <v>1</v>
      </c>
      <c r="H25" t="s">
        <v>3769</v>
      </c>
      <c r="I25" t="s">
        <v>3830</v>
      </c>
      <c r="J25" t="s">
        <v>3467</v>
      </c>
      <c r="K25" t="s">
        <v>3831</v>
      </c>
      <c r="L25" t="s">
        <v>3832</v>
      </c>
    </row>
    <row r="26" spans="1:12" x14ac:dyDescent="0.25">
      <c r="A26" t="s">
        <v>3833</v>
      </c>
      <c r="B26" t="s">
        <v>182</v>
      </c>
      <c r="C26" t="s">
        <v>3759</v>
      </c>
      <c r="D26" t="s">
        <v>3760</v>
      </c>
      <c r="E26" t="s">
        <v>961</v>
      </c>
      <c r="F26">
        <v>1</v>
      </c>
      <c r="G26">
        <v>1</v>
      </c>
      <c r="H26" t="s">
        <v>3769</v>
      </c>
      <c r="I26" t="s">
        <v>3834</v>
      </c>
      <c r="J26" t="s">
        <v>7489</v>
      </c>
      <c r="K26" t="s">
        <v>3835</v>
      </c>
      <c r="L26" t="s">
        <v>3836</v>
      </c>
    </row>
    <row r="27" spans="1:12" x14ac:dyDescent="0.25">
      <c r="A27" t="s">
        <v>3837</v>
      </c>
      <c r="B27" t="s">
        <v>182</v>
      </c>
      <c r="C27" t="s">
        <v>3759</v>
      </c>
      <c r="D27" t="s">
        <v>3760</v>
      </c>
      <c r="E27" t="s">
        <v>38</v>
      </c>
      <c r="F27">
        <v>1</v>
      </c>
      <c r="G27">
        <v>1</v>
      </c>
      <c r="H27" t="s">
        <v>3769</v>
      </c>
      <c r="I27" t="s">
        <v>3838</v>
      </c>
      <c r="J27" t="s">
        <v>3467</v>
      </c>
      <c r="K27" t="s">
        <v>3839</v>
      </c>
      <c r="L27" t="s">
        <v>3840</v>
      </c>
    </row>
    <row r="28" spans="1:12" x14ac:dyDescent="0.25">
      <c r="A28" t="s">
        <v>3841</v>
      </c>
      <c r="B28" t="s">
        <v>182</v>
      </c>
      <c r="C28" t="s">
        <v>3759</v>
      </c>
      <c r="D28" t="s">
        <v>3760</v>
      </c>
      <c r="E28" t="s">
        <v>38</v>
      </c>
      <c r="F28">
        <v>1</v>
      </c>
      <c r="G28">
        <v>1</v>
      </c>
      <c r="H28" t="s">
        <v>3769</v>
      </c>
      <c r="I28" t="s">
        <v>3842</v>
      </c>
      <c r="J28" t="s">
        <v>3467</v>
      </c>
      <c r="K28" t="s">
        <v>3843</v>
      </c>
      <c r="L28" t="s">
        <v>3844</v>
      </c>
    </row>
    <row r="29" spans="1:12" x14ac:dyDescent="0.25">
      <c r="A29" t="s">
        <v>3845</v>
      </c>
      <c r="B29" t="s">
        <v>182</v>
      </c>
      <c r="C29" t="s">
        <v>3759</v>
      </c>
      <c r="D29" t="s">
        <v>3813</v>
      </c>
      <c r="E29" t="s">
        <v>90</v>
      </c>
      <c r="F29">
        <v>1</v>
      </c>
      <c r="G29">
        <v>1</v>
      </c>
      <c r="H29" t="s">
        <v>3761</v>
      </c>
      <c r="I29" t="s">
        <v>3846</v>
      </c>
      <c r="J29" t="s">
        <v>7461</v>
      </c>
      <c r="K29" t="s">
        <v>3847</v>
      </c>
      <c r="L29" t="s">
        <v>3848</v>
      </c>
    </row>
    <row r="30" spans="1:12" x14ac:dyDescent="0.25">
      <c r="A30" t="s">
        <v>3849</v>
      </c>
      <c r="B30" t="s">
        <v>182</v>
      </c>
      <c r="C30" t="s">
        <v>3796</v>
      </c>
      <c r="D30" t="s">
        <v>3760</v>
      </c>
      <c r="E30" t="s">
        <v>90</v>
      </c>
      <c r="F30">
        <v>1</v>
      </c>
      <c r="G30">
        <v>2</v>
      </c>
      <c r="H30" t="s">
        <v>3761</v>
      </c>
      <c r="I30" t="s">
        <v>3850</v>
      </c>
      <c r="J30" t="s">
        <v>3467</v>
      </c>
      <c r="K30" t="s">
        <v>3851</v>
      </c>
    </row>
    <row r="31" spans="1:12" x14ac:dyDescent="0.25">
      <c r="A31" t="s">
        <v>3852</v>
      </c>
      <c r="B31" t="s">
        <v>182</v>
      </c>
      <c r="C31" t="s">
        <v>3796</v>
      </c>
      <c r="D31" t="s">
        <v>3760</v>
      </c>
      <c r="E31" t="s">
        <v>90</v>
      </c>
      <c r="F31">
        <v>1</v>
      </c>
      <c r="G31">
        <v>2</v>
      </c>
      <c r="H31" t="s">
        <v>3853</v>
      </c>
      <c r="I31" t="s">
        <v>3854</v>
      </c>
      <c r="J31" t="s">
        <v>3467</v>
      </c>
      <c r="K31" t="s">
        <v>3852</v>
      </c>
    </row>
    <row r="32" spans="1:12" x14ac:dyDescent="0.25">
      <c r="A32" t="s">
        <v>3855</v>
      </c>
      <c r="B32" t="s">
        <v>182</v>
      </c>
      <c r="C32" t="s">
        <v>3796</v>
      </c>
      <c r="D32" t="s">
        <v>3760</v>
      </c>
      <c r="E32" t="s">
        <v>38</v>
      </c>
      <c r="F32">
        <v>1</v>
      </c>
      <c r="G32">
        <v>2</v>
      </c>
      <c r="H32" t="s">
        <v>3769</v>
      </c>
      <c r="I32" t="s">
        <v>3856</v>
      </c>
      <c r="J32" t="s">
        <v>7499</v>
      </c>
      <c r="K32" t="s">
        <v>3857</v>
      </c>
    </row>
    <row r="33" spans="1:12" x14ac:dyDescent="0.25">
      <c r="A33" t="s">
        <v>3858</v>
      </c>
      <c r="B33" t="s">
        <v>182</v>
      </c>
      <c r="C33" t="s">
        <v>3811</v>
      </c>
      <c r="D33" t="s">
        <v>3760</v>
      </c>
      <c r="E33" t="s">
        <v>90</v>
      </c>
      <c r="F33">
        <v>1</v>
      </c>
      <c r="G33">
        <v>3</v>
      </c>
      <c r="H33" t="s">
        <v>3853</v>
      </c>
      <c r="I33" t="s">
        <v>3859</v>
      </c>
      <c r="J33" t="s">
        <v>7444</v>
      </c>
      <c r="K33" t="s">
        <v>3858</v>
      </c>
    </row>
    <row r="34" spans="1:12" x14ac:dyDescent="0.25">
      <c r="A34" t="s">
        <v>3860</v>
      </c>
      <c r="B34" t="s">
        <v>182</v>
      </c>
      <c r="C34" t="s">
        <v>3811</v>
      </c>
      <c r="D34" t="s">
        <v>3813</v>
      </c>
      <c r="E34" t="s">
        <v>90</v>
      </c>
      <c r="F34">
        <v>1</v>
      </c>
      <c r="G34">
        <v>3</v>
      </c>
      <c r="H34" t="s">
        <v>3861</v>
      </c>
      <c r="I34" t="s">
        <v>3862</v>
      </c>
      <c r="J34" t="s">
        <v>7456</v>
      </c>
      <c r="K34" t="s">
        <v>3860</v>
      </c>
    </row>
    <row r="35" spans="1:12" x14ac:dyDescent="0.25">
      <c r="A35" t="s">
        <v>3863</v>
      </c>
      <c r="B35" t="s">
        <v>222</v>
      </c>
      <c r="C35" t="s">
        <v>3759</v>
      </c>
      <c r="D35" t="s">
        <v>3760</v>
      </c>
      <c r="E35" t="s">
        <v>1650</v>
      </c>
      <c r="F35">
        <v>1</v>
      </c>
      <c r="G35">
        <v>1</v>
      </c>
      <c r="H35" t="s">
        <v>3761</v>
      </c>
      <c r="I35" t="s">
        <v>3864</v>
      </c>
      <c r="J35" t="s">
        <v>7472</v>
      </c>
      <c r="K35" t="s">
        <v>3863</v>
      </c>
    </row>
    <row r="36" spans="1:12" x14ac:dyDescent="0.25">
      <c r="A36" t="s">
        <v>7746</v>
      </c>
      <c r="B36" t="s">
        <v>222</v>
      </c>
      <c r="C36" t="s">
        <v>3759</v>
      </c>
      <c r="D36" t="s">
        <v>3760</v>
      </c>
      <c r="E36" t="s">
        <v>1650</v>
      </c>
      <c r="F36">
        <v>1</v>
      </c>
      <c r="G36">
        <v>1</v>
      </c>
      <c r="H36" t="s">
        <v>3769</v>
      </c>
      <c r="I36" t="s">
        <v>7747</v>
      </c>
      <c r="J36" t="s">
        <v>3467</v>
      </c>
      <c r="K36" t="s">
        <v>7748</v>
      </c>
      <c r="L36" t="s">
        <v>7749</v>
      </c>
    </row>
    <row r="37" spans="1:12" x14ac:dyDescent="0.25">
      <c r="A37" t="s">
        <v>3865</v>
      </c>
      <c r="B37" t="s">
        <v>222</v>
      </c>
      <c r="C37" t="s">
        <v>3759</v>
      </c>
      <c r="D37" t="s">
        <v>3760</v>
      </c>
      <c r="E37" t="s">
        <v>1202</v>
      </c>
      <c r="F37">
        <v>1</v>
      </c>
      <c r="G37">
        <v>1</v>
      </c>
      <c r="H37" t="s">
        <v>3761</v>
      </c>
      <c r="I37" t="s">
        <v>3866</v>
      </c>
      <c r="J37" t="s">
        <v>3467</v>
      </c>
      <c r="K37" t="s">
        <v>3865</v>
      </c>
      <c r="L37" t="s">
        <v>3867</v>
      </c>
    </row>
    <row r="38" spans="1:12" x14ac:dyDescent="0.25">
      <c r="A38" t="s">
        <v>7473</v>
      </c>
      <c r="B38" t="s">
        <v>222</v>
      </c>
      <c r="C38" t="s">
        <v>3759</v>
      </c>
      <c r="D38" t="s">
        <v>3760</v>
      </c>
      <c r="E38" t="s">
        <v>1650</v>
      </c>
      <c r="F38">
        <v>1</v>
      </c>
      <c r="G38">
        <v>1</v>
      </c>
      <c r="H38" t="s">
        <v>3761</v>
      </c>
      <c r="I38" t="s">
        <v>7474</v>
      </c>
      <c r="J38" t="s">
        <v>3467</v>
      </c>
      <c r="K38" t="s">
        <v>7473</v>
      </c>
      <c r="L38" t="s">
        <v>7475</v>
      </c>
    </row>
    <row r="39" spans="1:12" x14ac:dyDescent="0.25">
      <c r="A39" t="s">
        <v>3868</v>
      </c>
      <c r="B39" t="s">
        <v>222</v>
      </c>
      <c r="C39" t="s">
        <v>3759</v>
      </c>
      <c r="D39" t="s">
        <v>3760</v>
      </c>
      <c r="E39" t="s">
        <v>501</v>
      </c>
      <c r="F39">
        <v>1</v>
      </c>
      <c r="G39">
        <v>1</v>
      </c>
      <c r="H39" t="s">
        <v>3773</v>
      </c>
      <c r="I39" t="s">
        <v>3869</v>
      </c>
      <c r="J39" t="s">
        <v>3467</v>
      </c>
      <c r="K39" t="s">
        <v>3868</v>
      </c>
      <c r="L39" t="s">
        <v>3870</v>
      </c>
    </row>
    <row r="40" spans="1:12" x14ac:dyDescent="0.25">
      <c r="A40" t="s">
        <v>7735</v>
      </c>
      <c r="B40" t="s">
        <v>222</v>
      </c>
      <c r="C40" t="s">
        <v>3796</v>
      </c>
      <c r="D40" t="s">
        <v>3760</v>
      </c>
      <c r="E40" t="s">
        <v>1650</v>
      </c>
      <c r="F40">
        <v>1</v>
      </c>
      <c r="G40">
        <v>2</v>
      </c>
      <c r="H40" t="s">
        <v>3761</v>
      </c>
      <c r="I40" t="s">
        <v>7736</v>
      </c>
      <c r="J40" t="s">
        <v>3467</v>
      </c>
      <c r="K40" t="s">
        <v>7737</v>
      </c>
      <c r="L40" t="s">
        <v>7738</v>
      </c>
    </row>
    <row r="41" spans="1:12" x14ac:dyDescent="0.25">
      <c r="A41" t="s">
        <v>3871</v>
      </c>
      <c r="B41" t="s">
        <v>222</v>
      </c>
      <c r="C41" t="s">
        <v>3796</v>
      </c>
      <c r="D41" t="s">
        <v>3760</v>
      </c>
      <c r="E41" t="s">
        <v>1650</v>
      </c>
      <c r="F41">
        <v>1</v>
      </c>
      <c r="G41">
        <v>2</v>
      </c>
      <c r="H41" t="s">
        <v>3769</v>
      </c>
      <c r="I41" t="s">
        <v>3872</v>
      </c>
      <c r="J41" t="s">
        <v>7443</v>
      </c>
      <c r="K41" t="s">
        <v>3871</v>
      </c>
    </row>
    <row r="42" spans="1:12" x14ac:dyDescent="0.25">
      <c r="A42" t="s">
        <v>3873</v>
      </c>
      <c r="B42" t="s">
        <v>222</v>
      </c>
      <c r="C42" t="s">
        <v>3796</v>
      </c>
      <c r="D42" t="s">
        <v>3760</v>
      </c>
      <c r="E42" t="s">
        <v>1650</v>
      </c>
      <c r="F42">
        <v>1</v>
      </c>
      <c r="G42">
        <v>2</v>
      </c>
      <c r="H42" t="s">
        <v>3769</v>
      </c>
      <c r="I42" t="s">
        <v>3874</v>
      </c>
      <c r="J42" t="s">
        <v>7439</v>
      </c>
      <c r="K42" t="s">
        <v>3875</v>
      </c>
      <c r="L42" t="s">
        <v>3840</v>
      </c>
    </row>
    <row r="43" spans="1:12" x14ac:dyDescent="0.25">
      <c r="A43" t="s">
        <v>3876</v>
      </c>
      <c r="B43" t="s">
        <v>222</v>
      </c>
      <c r="C43" t="s">
        <v>3796</v>
      </c>
      <c r="D43" t="s">
        <v>3808</v>
      </c>
      <c r="E43" t="s">
        <v>501</v>
      </c>
      <c r="F43">
        <v>1</v>
      </c>
      <c r="G43">
        <v>2</v>
      </c>
      <c r="H43" t="s">
        <v>3769</v>
      </c>
      <c r="I43" t="s">
        <v>3877</v>
      </c>
      <c r="J43" t="s">
        <v>7436</v>
      </c>
      <c r="K43" t="s">
        <v>3876</v>
      </c>
    </row>
    <row r="44" spans="1:12" x14ac:dyDescent="0.25">
      <c r="A44" t="s">
        <v>3878</v>
      </c>
      <c r="B44" t="s">
        <v>222</v>
      </c>
      <c r="C44" t="s">
        <v>3796</v>
      </c>
      <c r="D44" t="s">
        <v>3760</v>
      </c>
      <c r="E44" t="s">
        <v>1650</v>
      </c>
      <c r="F44">
        <v>1</v>
      </c>
      <c r="G44">
        <v>2</v>
      </c>
      <c r="H44" t="s">
        <v>3761</v>
      </c>
      <c r="I44" t="s">
        <v>3879</v>
      </c>
      <c r="J44" t="s">
        <v>3467</v>
      </c>
      <c r="K44" t="s">
        <v>3878</v>
      </c>
      <c r="L44" t="s">
        <v>3880</v>
      </c>
    </row>
    <row r="45" spans="1:12" x14ac:dyDescent="0.25">
      <c r="A45" t="s">
        <v>3881</v>
      </c>
      <c r="B45" t="s">
        <v>222</v>
      </c>
      <c r="C45" t="s">
        <v>3796</v>
      </c>
      <c r="D45" t="s">
        <v>3760</v>
      </c>
      <c r="E45" t="s">
        <v>1650</v>
      </c>
      <c r="F45">
        <v>1</v>
      </c>
      <c r="G45">
        <v>2</v>
      </c>
      <c r="H45" t="s">
        <v>3769</v>
      </c>
      <c r="I45" t="s">
        <v>3882</v>
      </c>
      <c r="J45" t="s">
        <v>7731</v>
      </c>
      <c r="K45" t="s">
        <v>3881</v>
      </c>
      <c r="L45" t="s">
        <v>3883</v>
      </c>
    </row>
    <row r="46" spans="1:12" x14ac:dyDescent="0.25">
      <c r="A46" t="s">
        <v>3884</v>
      </c>
      <c r="B46" t="s">
        <v>222</v>
      </c>
      <c r="C46" t="s">
        <v>3796</v>
      </c>
      <c r="D46" t="s">
        <v>3760</v>
      </c>
      <c r="E46" t="s">
        <v>1650</v>
      </c>
      <c r="F46">
        <v>1</v>
      </c>
      <c r="G46">
        <v>2</v>
      </c>
      <c r="H46" t="s">
        <v>3769</v>
      </c>
      <c r="I46" t="s">
        <v>3885</v>
      </c>
      <c r="J46" t="s">
        <v>3467</v>
      </c>
      <c r="K46" t="s">
        <v>3886</v>
      </c>
      <c r="L46" t="s">
        <v>3887</v>
      </c>
    </row>
    <row r="47" spans="1:12" x14ac:dyDescent="0.25">
      <c r="A47" t="s">
        <v>3888</v>
      </c>
      <c r="B47" t="s">
        <v>222</v>
      </c>
      <c r="C47" t="s">
        <v>3796</v>
      </c>
      <c r="D47" t="s">
        <v>3760</v>
      </c>
      <c r="E47" t="s">
        <v>1130</v>
      </c>
      <c r="F47">
        <v>1</v>
      </c>
      <c r="G47">
        <v>2</v>
      </c>
      <c r="H47" t="s">
        <v>3861</v>
      </c>
      <c r="I47" t="s">
        <v>3889</v>
      </c>
      <c r="J47" t="s">
        <v>3467</v>
      </c>
      <c r="K47" t="s">
        <v>3888</v>
      </c>
    </row>
    <row r="48" spans="1:12" x14ac:dyDescent="0.25">
      <c r="A48" t="s">
        <v>3890</v>
      </c>
      <c r="B48" t="s">
        <v>222</v>
      </c>
      <c r="C48" t="s">
        <v>3811</v>
      </c>
      <c r="D48" t="s">
        <v>3760</v>
      </c>
      <c r="E48" t="s">
        <v>501</v>
      </c>
      <c r="F48">
        <v>1</v>
      </c>
      <c r="G48">
        <v>3</v>
      </c>
      <c r="H48" t="s">
        <v>3861</v>
      </c>
      <c r="I48" t="s">
        <v>3891</v>
      </c>
      <c r="J48" t="s">
        <v>7500</v>
      </c>
      <c r="K48" t="s">
        <v>3892</v>
      </c>
    </row>
    <row r="49" spans="1:12" x14ac:dyDescent="0.25">
      <c r="A49" t="s">
        <v>3893</v>
      </c>
      <c r="B49" t="s">
        <v>222</v>
      </c>
      <c r="C49" t="s">
        <v>3811</v>
      </c>
      <c r="D49" t="s">
        <v>3760</v>
      </c>
      <c r="E49" t="s">
        <v>1650</v>
      </c>
      <c r="F49">
        <v>1</v>
      </c>
      <c r="G49">
        <v>3</v>
      </c>
      <c r="H49" t="s">
        <v>3769</v>
      </c>
      <c r="I49" t="s">
        <v>3894</v>
      </c>
      <c r="J49" t="s">
        <v>7730</v>
      </c>
      <c r="K49" t="s">
        <v>3895</v>
      </c>
      <c r="L49" t="s">
        <v>3896</v>
      </c>
    </row>
    <row r="50" spans="1:12" x14ac:dyDescent="0.25">
      <c r="A50" t="s">
        <v>1169</v>
      </c>
      <c r="B50" t="s">
        <v>222</v>
      </c>
      <c r="C50" t="s">
        <v>3937</v>
      </c>
      <c r="D50" t="s">
        <v>3760</v>
      </c>
      <c r="E50" t="s">
        <v>1650</v>
      </c>
      <c r="F50">
        <v>1</v>
      </c>
      <c r="G50">
        <v>4</v>
      </c>
      <c r="H50" t="s">
        <v>3769</v>
      </c>
      <c r="I50" t="s">
        <v>7739</v>
      </c>
      <c r="J50" t="s">
        <v>7745</v>
      </c>
      <c r="K50" t="s">
        <v>1169</v>
      </c>
      <c r="L50" t="s">
        <v>458</v>
      </c>
    </row>
    <row r="51" spans="1:12" x14ac:dyDescent="0.25">
      <c r="A51" t="s">
        <v>3897</v>
      </c>
      <c r="B51" t="s">
        <v>179</v>
      </c>
      <c r="C51" t="s">
        <v>3759</v>
      </c>
      <c r="D51" t="s">
        <v>3760</v>
      </c>
      <c r="E51" t="s">
        <v>1796</v>
      </c>
      <c r="F51">
        <v>1</v>
      </c>
      <c r="G51">
        <v>1</v>
      </c>
      <c r="H51" t="s">
        <v>3861</v>
      </c>
      <c r="I51" t="s">
        <v>3898</v>
      </c>
      <c r="J51" t="s">
        <v>7501</v>
      </c>
      <c r="K51" t="s">
        <v>3897</v>
      </c>
    </row>
    <row r="52" spans="1:12" x14ac:dyDescent="0.25">
      <c r="A52" t="s">
        <v>7732</v>
      </c>
      <c r="B52" t="s">
        <v>179</v>
      </c>
      <c r="C52" t="s">
        <v>3759</v>
      </c>
      <c r="D52" t="s">
        <v>3760</v>
      </c>
      <c r="E52" t="s">
        <v>689</v>
      </c>
      <c r="F52">
        <v>1</v>
      </c>
      <c r="G52">
        <v>1</v>
      </c>
      <c r="H52" t="s">
        <v>3761</v>
      </c>
      <c r="I52" t="s">
        <v>7733</v>
      </c>
      <c r="J52" t="s">
        <v>3467</v>
      </c>
      <c r="K52" t="s">
        <v>7732</v>
      </c>
      <c r="L52" t="s">
        <v>7734</v>
      </c>
    </row>
    <row r="53" spans="1:12" x14ac:dyDescent="0.25">
      <c r="A53" t="s">
        <v>3899</v>
      </c>
      <c r="B53" t="s">
        <v>179</v>
      </c>
      <c r="C53" t="s">
        <v>3796</v>
      </c>
      <c r="D53" t="s">
        <v>3760</v>
      </c>
      <c r="E53" t="s">
        <v>1796</v>
      </c>
      <c r="F53">
        <v>1</v>
      </c>
      <c r="G53">
        <v>2</v>
      </c>
      <c r="H53" t="s">
        <v>3853</v>
      </c>
      <c r="I53" t="s">
        <v>3900</v>
      </c>
      <c r="J53" t="s">
        <v>7431</v>
      </c>
      <c r="K53" t="s">
        <v>3901</v>
      </c>
    </row>
    <row r="54" spans="1:12" x14ac:dyDescent="0.25">
      <c r="A54" t="s">
        <v>3902</v>
      </c>
      <c r="B54" t="s">
        <v>179</v>
      </c>
      <c r="C54" t="s">
        <v>3796</v>
      </c>
      <c r="D54" t="s">
        <v>3760</v>
      </c>
      <c r="E54" t="s">
        <v>1796</v>
      </c>
      <c r="F54">
        <v>1</v>
      </c>
      <c r="G54">
        <v>2</v>
      </c>
      <c r="H54" t="s">
        <v>3769</v>
      </c>
      <c r="I54" t="s">
        <v>3903</v>
      </c>
      <c r="J54" t="s">
        <v>7432</v>
      </c>
      <c r="K54" t="s">
        <v>3902</v>
      </c>
    </row>
    <row r="55" spans="1:12" x14ac:dyDescent="0.25">
      <c r="A55" t="s">
        <v>3904</v>
      </c>
      <c r="B55" t="s">
        <v>179</v>
      </c>
      <c r="C55" t="s">
        <v>3811</v>
      </c>
      <c r="D55" t="s">
        <v>3760</v>
      </c>
      <c r="E55" t="s">
        <v>1796</v>
      </c>
      <c r="F55">
        <v>1</v>
      </c>
      <c r="G55">
        <v>3</v>
      </c>
      <c r="H55" t="s">
        <v>3769</v>
      </c>
      <c r="I55" t="s">
        <v>3905</v>
      </c>
      <c r="J55" t="s">
        <v>3467</v>
      </c>
      <c r="K55" t="s">
        <v>3904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3751</v>
      </c>
      <c r="D1" t="s">
        <v>3752</v>
      </c>
      <c r="E1" t="s">
        <v>1</v>
      </c>
      <c r="F1" t="s">
        <v>3449</v>
      </c>
      <c r="G1" t="s">
        <v>3753</v>
      </c>
      <c r="H1" t="s">
        <v>3754</v>
      </c>
      <c r="I1" t="s">
        <v>3755</v>
      </c>
      <c r="J1" t="s">
        <v>3756</v>
      </c>
      <c r="K1" t="s">
        <v>171</v>
      </c>
      <c r="L1" t="s">
        <v>3757</v>
      </c>
      <c r="M1" t="s">
        <v>7503</v>
      </c>
    </row>
    <row r="2" spans="1:13" x14ac:dyDescent="0.25">
      <c r="A2" t="s">
        <v>3906</v>
      </c>
      <c r="B2" t="s">
        <v>176</v>
      </c>
      <c r="C2" t="s">
        <v>3759</v>
      </c>
      <c r="D2" t="s">
        <v>3813</v>
      </c>
      <c r="E2" t="s">
        <v>1047</v>
      </c>
      <c r="F2">
        <v>1</v>
      </c>
      <c r="G2">
        <v>3</v>
      </c>
      <c r="H2" t="s">
        <v>3773</v>
      </c>
      <c r="I2" t="s">
        <v>3907</v>
      </c>
      <c r="J2" t="s">
        <v>7484</v>
      </c>
      <c r="K2" t="s">
        <v>3906</v>
      </c>
      <c r="L2" t="s">
        <v>3908</v>
      </c>
    </row>
    <row r="3" spans="1:13" x14ac:dyDescent="0.25">
      <c r="A3" t="s">
        <v>3909</v>
      </c>
      <c r="B3" t="s">
        <v>176</v>
      </c>
      <c r="C3" t="s">
        <v>3759</v>
      </c>
      <c r="D3" t="s">
        <v>3813</v>
      </c>
      <c r="E3" t="s">
        <v>1753</v>
      </c>
      <c r="F3">
        <v>1</v>
      </c>
      <c r="G3">
        <v>3</v>
      </c>
      <c r="H3" t="s">
        <v>3761</v>
      </c>
      <c r="I3" t="s">
        <v>3910</v>
      </c>
      <c r="J3" t="s">
        <v>3467</v>
      </c>
      <c r="K3" t="s">
        <v>3911</v>
      </c>
      <c r="L3" t="s">
        <v>3912</v>
      </c>
    </row>
    <row r="4" spans="1:13" x14ac:dyDescent="0.25">
      <c r="A4" t="s">
        <v>3913</v>
      </c>
      <c r="B4" t="s">
        <v>176</v>
      </c>
      <c r="C4" t="s">
        <v>3759</v>
      </c>
      <c r="D4" t="s">
        <v>3813</v>
      </c>
      <c r="E4" t="s">
        <v>2133</v>
      </c>
      <c r="F4">
        <v>1</v>
      </c>
      <c r="G4">
        <v>3</v>
      </c>
      <c r="H4" t="s">
        <v>3861</v>
      </c>
      <c r="I4" t="s">
        <v>3914</v>
      </c>
      <c r="J4" t="s">
        <v>7414</v>
      </c>
      <c r="K4" t="s">
        <v>3913</v>
      </c>
    </row>
    <row r="5" spans="1:13" x14ac:dyDescent="0.25">
      <c r="A5" t="s">
        <v>3915</v>
      </c>
      <c r="B5" t="s">
        <v>176</v>
      </c>
      <c r="C5" t="s">
        <v>3759</v>
      </c>
      <c r="D5" t="s">
        <v>3760</v>
      </c>
      <c r="E5" t="s">
        <v>160</v>
      </c>
      <c r="F5">
        <v>1</v>
      </c>
      <c r="G5">
        <v>3</v>
      </c>
      <c r="H5" t="s">
        <v>3853</v>
      </c>
      <c r="I5" t="s">
        <v>3916</v>
      </c>
      <c r="J5" t="s">
        <v>7492</v>
      </c>
      <c r="K5" t="s">
        <v>3915</v>
      </c>
    </row>
    <row r="6" spans="1:13" x14ac:dyDescent="0.25">
      <c r="A6" t="s">
        <v>7393</v>
      </c>
      <c r="B6" t="s">
        <v>176</v>
      </c>
      <c r="C6" t="s">
        <v>3759</v>
      </c>
      <c r="D6" t="s">
        <v>3813</v>
      </c>
      <c r="E6" t="s">
        <v>2174</v>
      </c>
      <c r="F6">
        <v>1</v>
      </c>
      <c r="G6">
        <v>3</v>
      </c>
      <c r="H6" t="s">
        <v>3769</v>
      </c>
      <c r="I6" t="s">
        <v>7394</v>
      </c>
      <c r="J6" t="s">
        <v>3467</v>
      </c>
      <c r="K6" t="s">
        <v>7393</v>
      </c>
      <c r="L6" t="s">
        <v>4604</v>
      </c>
    </row>
    <row r="7" spans="1:13" x14ac:dyDescent="0.25">
      <c r="A7" t="s">
        <v>3917</v>
      </c>
      <c r="B7" t="s">
        <v>176</v>
      </c>
      <c r="C7" t="s">
        <v>3759</v>
      </c>
      <c r="D7" t="s">
        <v>3813</v>
      </c>
      <c r="E7" t="s">
        <v>2620</v>
      </c>
      <c r="F7">
        <v>1</v>
      </c>
      <c r="G7">
        <v>3</v>
      </c>
      <c r="H7" t="s">
        <v>3761</v>
      </c>
      <c r="I7" t="s">
        <v>3918</v>
      </c>
      <c r="J7" t="s">
        <v>7494</v>
      </c>
      <c r="K7" t="s">
        <v>3919</v>
      </c>
    </row>
    <row r="8" spans="1:13" x14ac:dyDescent="0.25">
      <c r="A8" t="s">
        <v>3920</v>
      </c>
      <c r="B8" t="s">
        <v>176</v>
      </c>
      <c r="C8" t="s">
        <v>3759</v>
      </c>
      <c r="D8" t="s">
        <v>3760</v>
      </c>
      <c r="E8" t="s">
        <v>1295</v>
      </c>
      <c r="F8">
        <v>1</v>
      </c>
      <c r="G8">
        <v>3</v>
      </c>
      <c r="H8" t="s">
        <v>3773</v>
      </c>
      <c r="I8" t="s">
        <v>3921</v>
      </c>
      <c r="J8" t="s">
        <v>3467</v>
      </c>
      <c r="K8" t="s">
        <v>3920</v>
      </c>
    </row>
    <row r="9" spans="1:13" x14ac:dyDescent="0.25">
      <c r="A9" t="s">
        <v>3922</v>
      </c>
      <c r="B9" t="s">
        <v>176</v>
      </c>
      <c r="C9" t="s">
        <v>3759</v>
      </c>
      <c r="D9" t="s">
        <v>3760</v>
      </c>
      <c r="E9" t="s">
        <v>160</v>
      </c>
      <c r="F9">
        <v>1</v>
      </c>
      <c r="G9">
        <v>3</v>
      </c>
      <c r="H9" t="s">
        <v>3861</v>
      </c>
      <c r="I9" t="s">
        <v>3923</v>
      </c>
      <c r="J9" t="s">
        <v>3467</v>
      </c>
      <c r="K9" t="s">
        <v>3922</v>
      </c>
    </row>
    <row r="10" spans="1:13" x14ac:dyDescent="0.25">
      <c r="A10" t="s">
        <v>3924</v>
      </c>
      <c r="B10" t="s">
        <v>176</v>
      </c>
      <c r="C10" t="s">
        <v>3796</v>
      </c>
      <c r="D10" t="s">
        <v>3925</v>
      </c>
      <c r="E10" t="s">
        <v>1295</v>
      </c>
      <c r="F10">
        <v>1</v>
      </c>
      <c r="G10">
        <v>5</v>
      </c>
      <c r="H10" t="s">
        <v>3773</v>
      </c>
      <c r="I10" t="s">
        <v>3926</v>
      </c>
      <c r="J10" t="s">
        <v>3467</v>
      </c>
      <c r="K10" t="s">
        <v>3924</v>
      </c>
    </row>
    <row r="11" spans="1:13" x14ac:dyDescent="0.25">
      <c r="A11" t="s">
        <v>3927</v>
      </c>
      <c r="B11" t="s">
        <v>176</v>
      </c>
      <c r="C11" t="s">
        <v>3796</v>
      </c>
      <c r="D11" t="s">
        <v>3760</v>
      </c>
      <c r="E11" t="s">
        <v>160</v>
      </c>
      <c r="F11">
        <v>1</v>
      </c>
      <c r="G11">
        <v>5</v>
      </c>
      <c r="H11" t="s">
        <v>3769</v>
      </c>
      <c r="I11" t="s">
        <v>3928</v>
      </c>
      <c r="J11" t="s">
        <v>3467</v>
      </c>
      <c r="K11" t="s">
        <v>3929</v>
      </c>
    </row>
    <row r="12" spans="1:13" x14ac:dyDescent="0.25">
      <c r="A12" t="s">
        <v>3930</v>
      </c>
      <c r="B12" t="s">
        <v>176</v>
      </c>
      <c r="C12" t="s">
        <v>3796</v>
      </c>
      <c r="D12" t="s">
        <v>3760</v>
      </c>
      <c r="E12" t="s">
        <v>1030</v>
      </c>
      <c r="F12">
        <v>1</v>
      </c>
      <c r="G12">
        <v>5</v>
      </c>
      <c r="H12" t="s">
        <v>3769</v>
      </c>
      <c r="I12" t="s">
        <v>3931</v>
      </c>
      <c r="J12" t="s">
        <v>7482</v>
      </c>
      <c r="K12" t="s">
        <v>3932</v>
      </c>
    </row>
    <row r="13" spans="1:13" x14ac:dyDescent="0.25">
      <c r="A13" t="s">
        <v>3933</v>
      </c>
      <c r="B13" t="s">
        <v>176</v>
      </c>
      <c r="C13" t="s">
        <v>3796</v>
      </c>
      <c r="D13" t="s">
        <v>3760</v>
      </c>
      <c r="E13" t="s">
        <v>1299</v>
      </c>
      <c r="F13">
        <v>1</v>
      </c>
      <c r="G13">
        <v>5</v>
      </c>
      <c r="H13" t="s">
        <v>3769</v>
      </c>
      <c r="I13" t="s">
        <v>3934</v>
      </c>
      <c r="J13" t="s">
        <v>3467</v>
      </c>
      <c r="K13" t="s">
        <v>3933</v>
      </c>
    </row>
    <row r="14" spans="1:13" x14ac:dyDescent="0.25">
      <c r="A14" t="s">
        <v>3479</v>
      </c>
      <c r="B14" t="s">
        <v>176</v>
      </c>
      <c r="C14" t="s">
        <v>3811</v>
      </c>
      <c r="D14" t="s">
        <v>3760</v>
      </c>
      <c r="E14" t="s">
        <v>160</v>
      </c>
      <c r="F14">
        <v>1</v>
      </c>
      <c r="G14">
        <v>7</v>
      </c>
      <c r="H14" t="s">
        <v>3761</v>
      </c>
      <c r="I14" t="s">
        <v>3935</v>
      </c>
      <c r="J14" t="s">
        <v>3467</v>
      </c>
      <c r="K14" t="s">
        <v>3479</v>
      </c>
    </row>
    <row r="15" spans="1:13" x14ac:dyDescent="0.25">
      <c r="A15" t="s">
        <v>3936</v>
      </c>
      <c r="B15" t="s">
        <v>176</v>
      </c>
      <c r="C15" t="s">
        <v>3937</v>
      </c>
      <c r="D15" t="s">
        <v>3808</v>
      </c>
      <c r="E15" t="s">
        <v>1047</v>
      </c>
      <c r="F15">
        <v>1</v>
      </c>
      <c r="G15">
        <v>9</v>
      </c>
      <c r="H15" t="s">
        <v>3761</v>
      </c>
      <c r="I15" t="s">
        <v>3938</v>
      </c>
      <c r="J15" t="s">
        <v>3467</v>
      </c>
      <c r="K15" t="s">
        <v>3936</v>
      </c>
      <c r="L15" t="s">
        <v>3781</v>
      </c>
    </row>
    <row r="16" spans="1:13" x14ac:dyDescent="0.25">
      <c r="A16" t="s">
        <v>3939</v>
      </c>
      <c r="B16" t="s">
        <v>182</v>
      </c>
      <c r="C16" t="s">
        <v>3759</v>
      </c>
      <c r="D16" t="s">
        <v>3813</v>
      </c>
      <c r="E16" t="s">
        <v>90</v>
      </c>
      <c r="F16">
        <v>1</v>
      </c>
      <c r="G16">
        <v>3</v>
      </c>
      <c r="H16" t="s">
        <v>3769</v>
      </c>
      <c r="I16" t="s">
        <v>3940</v>
      </c>
      <c r="J16" t="s">
        <v>3467</v>
      </c>
      <c r="K16" t="s">
        <v>3941</v>
      </c>
    </row>
    <row r="17" spans="1:12" x14ac:dyDescent="0.25">
      <c r="A17" t="s">
        <v>3942</v>
      </c>
      <c r="B17" t="s">
        <v>182</v>
      </c>
      <c r="C17" t="s">
        <v>3759</v>
      </c>
      <c r="D17" t="s">
        <v>3760</v>
      </c>
      <c r="E17" t="s">
        <v>38</v>
      </c>
      <c r="F17">
        <v>1</v>
      </c>
      <c r="G17">
        <v>3</v>
      </c>
      <c r="H17" t="s">
        <v>3769</v>
      </c>
      <c r="I17" t="s">
        <v>3943</v>
      </c>
      <c r="J17" t="s">
        <v>7446</v>
      </c>
      <c r="K17" t="s">
        <v>3942</v>
      </c>
    </row>
    <row r="18" spans="1:12" x14ac:dyDescent="0.25">
      <c r="A18" t="s">
        <v>3944</v>
      </c>
      <c r="B18" t="s">
        <v>182</v>
      </c>
      <c r="C18" t="s">
        <v>3796</v>
      </c>
      <c r="D18" t="s">
        <v>3760</v>
      </c>
      <c r="E18" t="s">
        <v>353</v>
      </c>
      <c r="F18">
        <v>1</v>
      </c>
      <c r="G18">
        <v>5</v>
      </c>
      <c r="H18" t="s">
        <v>3853</v>
      </c>
      <c r="I18" t="s">
        <v>3945</v>
      </c>
      <c r="J18" t="s">
        <v>3467</v>
      </c>
      <c r="K18" t="s">
        <v>3946</v>
      </c>
    </row>
    <row r="19" spans="1:12" x14ac:dyDescent="0.25">
      <c r="A19" t="s">
        <v>3947</v>
      </c>
      <c r="B19" t="s">
        <v>182</v>
      </c>
      <c r="C19" t="s">
        <v>3796</v>
      </c>
      <c r="D19" t="s">
        <v>3760</v>
      </c>
      <c r="E19" t="s">
        <v>353</v>
      </c>
      <c r="F19">
        <v>1</v>
      </c>
      <c r="G19">
        <v>5</v>
      </c>
      <c r="H19" t="s">
        <v>3853</v>
      </c>
      <c r="I19" t="s">
        <v>3948</v>
      </c>
      <c r="J19" t="s">
        <v>3467</v>
      </c>
      <c r="K19" t="s">
        <v>3949</v>
      </c>
    </row>
    <row r="20" spans="1:12" x14ac:dyDescent="0.25">
      <c r="A20" t="s">
        <v>3950</v>
      </c>
      <c r="B20" t="s">
        <v>182</v>
      </c>
      <c r="C20" t="s">
        <v>3796</v>
      </c>
      <c r="D20" t="s">
        <v>3760</v>
      </c>
      <c r="E20" t="s">
        <v>353</v>
      </c>
      <c r="F20">
        <v>1</v>
      </c>
      <c r="G20">
        <v>5</v>
      </c>
      <c r="H20" t="s">
        <v>3853</v>
      </c>
      <c r="I20" t="s">
        <v>3951</v>
      </c>
      <c r="J20" t="s">
        <v>3467</v>
      </c>
      <c r="K20" t="s">
        <v>3952</v>
      </c>
    </row>
    <row r="21" spans="1:12" x14ac:dyDescent="0.25">
      <c r="A21" t="s">
        <v>3953</v>
      </c>
      <c r="B21" t="s">
        <v>182</v>
      </c>
      <c r="C21" t="s">
        <v>3796</v>
      </c>
      <c r="D21" t="s">
        <v>3813</v>
      </c>
      <c r="E21" t="s">
        <v>38</v>
      </c>
      <c r="F21">
        <v>1</v>
      </c>
      <c r="G21">
        <v>5</v>
      </c>
      <c r="H21" t="s">
        <v>3761</v>
      </c>
      <c r="I21" t="s">
        <v>3954</v>
      </c>
      <c r="J21" t="s">
        <v>7498</v>
      </c>
      <c r="K21" t="s">
        <v>3955</v>
      </c>
    </row>
    <row r="22" spans="1:12" x14ac:dyDescent="0.25">
      <c r="A22" t="s">
        <v>3956</v>
      </c>
      <c r="B22" t="s">
        <v>182</v>
      </c>
      <c r="C22" t="s">
        <v>3796</v>
      </c>
      <c r="D22" t="s">
        <v>3760</v>
      </c>
      <c r="E22" t="s">
        <v>353</v>
      </c>
      <c r="F22">
        <v>1</v>
      </c>
      <c r="G22">
        <v>5</v>
      </c>
      <c r="H22" t="s">
        <v>3853</v>
      </c>
      <c r="I22" t="s">
        <v>3957</v>
      </c>
      <c r="J22" t="s">
        <v>3467</v>
      </c>
      <c r="K22" t="s">
        <v>3958</v>
      </c>
    </row>
    <row r="23" spans="1:12" x14ac:dyDescent="0.25">
      <c r="A23" t="s">
        <v>3959</v>
      </c>
      <c r="B23" t="s">
        <v>182</v>
      </c>
      <c r="C23" t="s">
        <v>3811</v>
      </c>
      <c r="D23" t="s">
        <v>3760</v>
      </c>
      <c r="E23" t="s">
        <v>353</v>
      </c>
      <c r="F23">
        <v>1</v>
      </c>
      <c r="G23">
        <v>7</v>
      </c>
      <c r="H23" t="s">
        <v>3853</v>
      </c>
      <c r="I23" t="s">
        <v>3960</v>
      </c>
      <c r="J23" t="s">
        <v>3467</v>
      </c>
      <c r="K23" t="s">
        <v>3961</v>
      </c>
    </row>
    <row r="24" spans="1:12" x14ac:dyDescent="0.25">
      <c r="A24" t="s">
        <v>3962</v>
      </c>
      <c r="B24" t="s">
        <v>182</v>
      </c>
      <c r="C24" t="s">
        <v>3811</v>
      </c>
      <c r="D24" t="s">
        <v>3760</v>
      </c>
      <c r="E24" t="s">
        <v>90</v>
      </c>
      <c r="F24">
        <v>1</v>
      </c>
      <c r="G24">
        <v>7</v>
      </c>
      <c r="H24" t="s">
        <v>3853</v>
      </c>
      <c r="I24" t="s">
        <v>3963</v>
      </c>
      <c r="J24" t="s">
        <v>7467</v>
      </c>
      <c r="K24" t="s">
        <v>3964</v>
      </c>
    </row>
    <row r="25" spans="1:12" x14ac:dyDescent="0.25">
      <c r="A25" t="s">
        <v>3965</v>
      </c>
      <c r="B25" t="s">
        <v>182</v>
      </c>
      <c r="C25" t="s">
        <v>3937</v>
      </c>
      <c r="D25" t="s">
        <v>3813</v>
      </c>
      <c r="E25" t="s">
        <v>90</v>
      </c>
      <c r="F25">
        <v>1</v>
      </c>
      <c r="G25">
        <v>9</v>
      </c>
      <c r="H25" t="s">
        <v>3769</v>
      </c>
      <c r="I25" t="s">
        <v>3966</v>
      </c>
      <c r="J25" t="s">
        <v>7495</v>
      </c>
      <c r="K25" t="s">
        <v>3967</v>
      </c>
    </row>
    <row r="26" spans="1:12" x14ac:dyDescent="0.25">
      <c r="A26" t="s">
        <v>3968</v>
      </c>
      <c r="B26" t="s">
        <v>222</v>
      </c>
      <c r="C26" t="s">
        <v>3759</v>
      </c>
      <c r="D26" t="s">
        <v>3813</v>
      </c>
      <c r="E26" t="s">
        <v>1130</v>
      </c>
      <c r="F26">
        <v>1</v>
      </c>
      <c r="G26">
        <v>3</v>
      </c>
      <c r="H26" t="s">
        <v>3761</v>
      </c>
      <c r="I26" t="s">
        <v>3969</v>
      </c>
      <c r="J26" t="s">
        <v>3467</v>
      </c>
      <c r="K26" t="s">
        <v>3970</v>
      </c>
      <c r="L26" t="s">
        <v>3790</v>
      </c>
    </row>
    <row r="27" spans="1:12" x14ac:dyDescent="0.25">
      <c r="A27" t="s">
        <v>3971</v>
      </c>
      <c r="B27" t="s">
        <v>222</v>
      </c>
      <c r="C27" t="s">
        <v>3759</v>
      </c>
      <c r="D27" t="s">
        <v>3760</v>
      </c>
      <c r="E27" t="s">
        <v>501</v>
      </c>
      <c r="F27">
        <v>1</v>
      </c>
      <c r="G27">
        <v>3</v>
      </c>
      <c r="H27" t="s">
        <v>3769</v>
      </c>
      <c r="I27" t="s">
        <v>3972</v>
      </c>
      <c r="J27" t="s">
        <v>7489</v>
      </c>
      <c r="K27" t="s">
        <v>3971</v>
      </c>
      <c r="L27" t="s">
        <v>3692</v>
      </c>
    </row>
    <row r="28" spans="1:12" x14ac:dyDescent="0.25">
      <c r="A28" t="s">
        <v>3973</v>
      </c>
      <c r="B28" t="s">
        <v>222</v>
      </c>
      <c r="C28" t="s">
        <v>3759</v>
      </c>
      <c r="D28" t="s">
        <v>3760</v>
      </c>
      <c r="E28" t="s">
        <v>1650</v>
      </c>
      <c r="F28">
        <v>1</v>
      </c>
      <c r="G28">
        <v>3</v>
      </c>
      <c r="H28" t="s">
        <v>3769</v>
      </c>
      <c r="I28" t="s">
        <v>3974</v>
      </c>
      <c r="J28" t="s">
        <v>3467</v>
      </c>
      <c r="K28" t="s">
        <v>3973</v>
      </c>
      <c r="L28" t="s">
        <v>3887</v>
      </c>
    </row>
    <row r="29" spans="1:12" x14ac:dyDescent="0.25">
      <c r="A29" t="s">
        <v>3975</v>
      </c>
      <c r="B29" t="s">
        <v>222</v>
      </c>
      <c r="C29" t="s">
        <v>3759</v>
      </c>
      <c r="D29" t="s">
        <v>3813</v>
      </c>
      <c r="E29" t="s">
        <v>501</v>
      </c>
      <c r="F29">
        <v>1</v>
      </c>
      <c r="G29">
        <v>3</v>
      </c>
      <c r="H29" t="s">
        <v>3773</v>
      </c>
      <c r="I29" t="s">
        <v>3976</v>
      </c>
      <c r="J29" t="s">
        <v>3467</v>
      </c>
      <c r="K29" t="s">
        <v>3975</v>
      </c>
      <c r="L29" t="s">
        <v>3870</v>
      </c>
    </row>
    <row r="30" spans="1:12" x14ac:dyDescent="0.25">
      <c r="A30" t="s">
        <v>3977</v>
      </c>
      <c r="B30" t="s">
        <v>222</v>
      </c>
      <c r="C30" t="s">
        <v>3759</v>
      </c>
      <c r="D30" t="s">
        <v>3760</v>
      </c>
      <c r="E30" t="s">
        <v>1650</v>
      </c>
      <c r="F30">
        <v>1</v>
      </c>
      <c r="G30">
        <v>3</v>
      </c>
      <c r="H30" t="s">
        <v>3769</v>
      </c>
      <c r="I30" t="s">
        <v>3978</v>
      </c>
      <c r="J30" t="s">
        <v>7481</v>
      </c>
      <c r="K30" t="s">
        <v>3977</v>
      </c>
      <c r="L30" t="s">
        <v>3887</v>
      </c>
    </row>
    <row r="31" spans="1:12" x14ac:dyDescent="0.25">
      <c r="A31" t="s">
        <v>3979</v>
      </c>
      <c r="B31" t="s">
        <v>222</v>
      </c>
      <c r="C31" t="s">
        <v>3759</v>
      </c>
      <c r="D31" t="s">
        <v>3760</v>
      </c>
      <c r="E31" t="s">
        <v>501</v>
      </c>
      <c r="F31">
        <v>1</v>
      </c>
      <c r="G31">
        <v>3</v>
      </c>
      <c r="H31" t="s">
        <v>3761</v>
      </c>
      <c r="I31" t="s">
        <v>3980</v>
      </c>
      <c r="J31" t="s">
        <v>3467</v>
      </c>
      <c r="K31" t="s">
        <v>3981</v>
      </c>
    </row>
    <row r="32" spans="1:12" x14ac:dyDescent="0.25">
      <c r="A32" t="s">
        <v>3982</v>
      </c>
      <c r="B32" t="s">
        <v>222</v>
      </c>
      <c r="C32" t="s">
        <v>3796</v>
      </c>
      <c r="D32" t="s">
        <v>3760</v>
      </c>
      <c r="E32" t="s">
        <v>1650</v>
      </c>
      <c r="F32">
        <v>1</v>
      </c>
      <c r="G32">
        <v>5</v>
      </c>
      <c r="H32" t="s">
        <v>3769</v>
      </c>
      <c r="I32" t="s">
        <v>3983</v>
      </c>
      <c r="J32" t="s">
        <v>3467</v>
      </c>
      <c r="K32" t="s">
        <v>3982</v>
      </c>
    </row>
    <row r="33" spans="1:13" x14ac:dyDescent="0.25">
      <c r="A33" t="s">
        <v>7463</v>
      </c>
      <c r="B33" t="s">
        <v>222</v>
      </c>
      <c r="C33" t="s">
        <v>3796</v>
      </c>
      <c r="D33" t="s">
        <v>3813</v>
      </c>
      <c r="E33" t="s">
        <v>1650</v>
      </c>
      <c r="F33">
        <v>1</v>
      </c>
      <c r="G33">
        <v>5</v>
      </c>
      <c r="H33" t="s">
        <v>7504</v>
      </c>
      <c r="I33" t="s">
        <v>7505</v>
      </c>
      <c r="J33" t="s">
        <v>7493</v>
      </c>
      <c r="K33" t="s">
        <v>7506</v>
      </c>
      <c r="L33" t="s">
        <v>3887</v>
      </c>
      <c r="M33">
        <v>3</v>
      </c>
    </row>
    <row r="34" spans="1:13" x14ac:dyDescent="0.25">
      <c r="A34" t="s">
        <v>3984</v>
      </c>
      <c r="B34" t="s">
        <v>222</v>
      </c>
      <c r="C34" t="s">
        <v>3796</v>
      </c>
      <c r="D34" t="s">
        <v>3925</v>
      </c>
      <c r="E34" t="s">
        <v>1650</v>
      </c>
      <c r="F34">
        <v>1</v>
      </c>
      <c r="G34">
        <v>5</v>
      </c>
      <c r="H34" t="s">
        <v>3773</v>
      </c>
      <c r="I34" t="s">
        <v>3985</v>
      </c>
      <c r="J34" t="s">
        <v>7498</v>
      </c>
      <c r="K34" t="s">
        <v>3986</v>
      </c>
    </row>
    <row r="35" spans="1:13" x14ac:dyDescent="0.25">
      <c r="A35" t="s">
        <v>3987</v>
      </c>
      <c r="B35" t="s">
        <v>222</v>
      </c>
      <c r="C35" t="s">
        <v>3796</v>
      </c>
      <c r="D35" t="s">
        <v>3760</v>
      </c>
      <c r="E35" t="s">
        <v>1650</v>
      </c>
      <c r="F35">
        <v>1</v>
      </c>
      <c r="G35">
        <v>5</v>
      </c>
      <c r="H35" t="s">
        <v>3769</v>
      </c>
      <c r="I35" t="s">
        <v>3988</v>
      </c>
      <c r="J35" t="s">
        <v>3467</v>
      </c>
      <c r="K35" t="s">
        <v>3987</v>
      </c>
      <c r="L35" t="s">
        <v>3887</v>
      </c>
    </row>
    <row r="36" spans="1:13" x14ac:dyDescent="0.25">
      <c r="A36" t="s">
        <v>3989</v>
      </c>
      <c r="B36" t="s">
        <v>222</v>
      </c>
      <c r="C36" t="s">
        <v>3811</v>
      </c>
      <c r="D36" t="s">
        <v>3990</v>
      </c>
      <c r="E36" t="s">
        <v>1650</v>
      </c>
      <c r="F36">
        <v>1</v>
      </c>
      <c r="G36">
        <v>7</v>
      </c>
      <c r="H36" t="s">
        <v>3861</v>
      </c>
      <c r="I36" t="s">
        <v>3991</v>
      </c>
      <c r="J36" t="s">
        <v>7414</v>
      </c>
      <c r="K36" t="s">
        <v>3992</v>
      </c>
    </row>
    <row r="37" spans="1:13" x14ac:dyDescent="0.25">
      <c r="A37" t="s">
        <v>3993</v>
      </c>
      <c r="B37" t="s">
        <v>222</v>
      </c>
      <c r="C37" t="s">
        <v>3811</v>
      </c>
      <c r="D37" t="s">
        <v>3813</v>
      </c>
      <c r="E37" t="s">
        <v>1650</v>
      </c>
      <c r="F37">
        <v>1</v>
      </c>
      <c r="G37">
        <v>7</v>
      </c>
      <c r="H37" t="s">
        <v>3773</v>
      </c>
      <c r="I37" t="s">
        <v>3994</v>
      </c>
      <c r="J37" t="s">
        <v>7485</v>
      </c>
      <c r="K37" t="s">
        <v>3995</v>
      </c>
    </row>
    <row r="38" spans="1:13" x14ac:dyDescent="0.25">
      <c r="A38" t="s">
        <v>3996</v>
      </c>
      <c r="B38" t="s">
        <v>222</v>
      </c>
      <c r="C38" t="s">
        <v>3937</v>
      </c>
      <c r="D38" t="s">
        <v>3813</v>
      </c>
      <c r="E38" t="s">
        <v>1650</v>
      </c>
      <c r="F38">
        <v>1</v>
      </c>
      <c r="G38">
        <v>9</v>
      </c>
      <c r="H38" t="s">
        <v>3761</v>
      </c>
      <c r="I38" t="s">
        <v>7480</v>
      </c>
      <c r="J38" t="s">
        <v>3467</v>
      </c>
      <c r="K38" t="s">
        <v>3997</v>
      </c>
      <c r="L38" t="s">
        <v>3998</v>
      </c>
    </row>
    <row r="39" spans="1:13" x14ac:dyDescent="0.25">
      <c r="A39" t="s">
        <v>3999</v>
      </c>
      <c r="B39" t="s">
        <v>179</v>
      </c>
      <c r="C39" t="s">
        <v>3759</v>
      </c>
      <c r="D39" t="s">
        <v>3760</v>
      </c>
      <c r="E39" t="s">
        <v>689</v>
      </c>
      <c r="F39">
        <v>1</v>
      </c>
      <c r="G39">
        <v>3</v>
      </c>
      <c r="H39" t="s">
        <v>3853</v>
      </c>
      <c r="I39" t="s">
        <v>4000</v>
      </c>
      <c r="J39" t="s">
        <v>3467</v>
      </c>
      <c r="K39" t="s">
        <v>3999</v>
      </c>
    </row>
    <row r="40" spans="1:13" x14ac:dyDescent="0.25">
      <c r="A40" t="s">
        <v>4001</v>
      </c>
      <c r="B40" t="s">
        <v>179</v>
      </c>
      <c r="C40" t="s">
        <v>3796</v>
      </c>
      <c r="D40" t="s">
        <v>3760</v>
      </c>
      <c r="E40" t="s">
        <v>689</v>
      </c>
      <c r="F40">
        <v>1</v>
      </c>
      <c r="G40">
        <v>5</v>
      </c>
      <c r="H40" t="s">
        <v>3853</v>
      </c>
      <c r="I40" t="s">
        <v>4000</v>
      </c>
      <c r="J40" t="s">
        <v>3467</v>
      </c>
      <c r="K40" t="s">
        <v>4002</v>
      </c>
    </row>
    <row r="41" spans="1:13" x14ac:dyDescent="0.25">
      <c r="A41" t="s">
        <v>4003</v>
      </c>
      <c r="B41" t="s">
        <v>179</v>
      </c>
      <c r="C41" t="s">
        <v>3811</v>
      </c>
      <c r="D41" t="s">
        <v>3808</v>
      </c>
      <c r="E41" t="s">
        <v>2155</v>
      </c>
      <c r="F41">
        <v>1</v>
      </c>
      <c r="G41">
        <v>7</v>
      </c>
      <c r="H41" t="s">
        <v>3761</v>
      </c>
      <c r="I41" t="s">
        <v>4004</v>
      </c>
      <c r="J41" t="s">
        <v>7491</v>
      </c>
      <c r="K41" t="s">
        <v>4003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 sqref="D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7417</v>
      </c>
      <c r="D1" t="s">
        <v>3461</v>
      </c>
      <c r="E1" t="s">
        <v>3512</v>
      </c>
    </row>
    <row r="2" spans="1:5" x14ac:dyDescent="0.25">
      <c r="A2" t="s">
        <v>7476</v>
      </c>
      <c r="B2" t="s">
        <v>7447</v>
      </c>
      <c r="C2" t="s">
        <v>7478</v>
      </c>
      <c r="D2" t="s">
        <v>7477</v>
      </c>
    </row>
    <row r="3" spans="1:5" x14ac:dyDescent="0.25">
      <c r="A3" t="s">
        <v>7507</v>
      </c>
      <c r="B3" t="s">
        <v>3697</v>
      </c>
      <c r="C3" t="s">
        <v>3467</v>
      </c>
      <c r="D3" t="s">
        <v>7508</v>
      </c>
    </row>
    <row r="4" spans="1:5" x14ac:dyDescent="0.25">
      <c r="A4" t="s">
        <v>7466</v>
      </c>
      <c r="B4" t="s">
        <v>4015</v>
      </c>
      <c r="C4" t="s">
        <v>7430</v>
      </c>
      <c r="D4" t="s">
        <v>7469</v>
      </c>
    </row>
    <row r="5" spans="1:5" x14ac:dyDescent="0.25">
      <c r="A5" t="s">
        <v>7436</v>
      </c>
      <c r="B5" t="s">
        <v>5320</v>
      </c>
      <c r="C5" t="s">
        <v>7425</v>
      </c>
      <c r="D5" t="s">
        <v>7438</v>
      </c>
    </row>
    <row r="6" spans="1:5" x14ac:dyDescent="0.25">
      <c r="A6" t="s">
        <v>7431</v>
      </c>
      <c r="B6" t="s">
        <v>5756</v>
      </c>
      <c r="C6" t="s">
        <v>7424</v>
      </c>
      <c r="D6" t="s">
        <v>7445</v>
      </c>
    </row>
    <row r="7" spans="1:5" x14ac:dyDescent="0.25">
      <c r="A7" t="s">
        <v>7483</v>
      </c>
      <c r="B7" t="s">
        <v>5756</v>
      </c>
      <c r="C7" t="s">
        <v>3467</v>
      </c>
      <c r="D7" t="s">
        <v>7497</v>
      </c>
    </row>
    <row r="8" spans="1:5" x14ac:dyDescent="0.25">
      <c r="A8" t="s">
        <v>7740</v>
      </c>
      <c r="B8" t="s">
        <v>5756</v>
      </c>
      <c r="C8" t="s">
        <v>7741</v>
      </c>
      <c r="D8" t="s">
        <v>7742</v>
      </c>
    </row>
    <row r="9" spans="1:5" x14ac:dyDescent="0.25">
      <c r="A9" t="s">
        <v>7743</v>
      </c>
      <c r="B9" t="s">
        <v>7418</v>
      </c>
      <c r="C9" t="s">
        <v>7420</v>
      </c>
      <c r="D9" t="s">
        <v>7744</v>
      </c>
    </row>
    <row r="10" spans="1:5" x14ac:dyDescent="0.25">
      <c r="A10" t="s">
        <v>5236</v>
      </c>
      <c r="B10" t="s">
        <v>7447</v>
      </c>
      <c r="C10" t="s">
        <v>7424</v>
      </c>
      <c r="D10" t="s">
        <v>7448</v>
      </c>
    </row>
    <row r="11" spans="1:5" x14ac:dyDescent="0.25">
      <c r="A11" t="s">
        <v>7422</v>
      </c>
      <c r="B11" t="s">
        <v>7423</v>
      </c>
      <c r="C11" t="s">
        <v>3467</v>
      </c>
      <c r="D11" t="s">
        <v>7455</v>
      </c>
    </row>
    <row r="12" spans="1:5" x14ac:dyDescent="0.25">
      <c r="A12" t="s">
        <v>1323</v>
      </c>
      <c r="B12" t="s">
        <v>4015</v>
      </c>
      <c r="C12" t="s">
        <v>7425</v>
      </c>
      <c r="D12" t="s">
        <v>7453</v>
      </c>
    </row>
    <row r="13" spans="1:5" x14ac:dyDescent="0.25">
      <c r="A13" t="s">
        <v>7444</v>
      </c>
      <c r="B13" t="s">
        <v>5756</v>
      </c>
      <c r="C13" t="s">
        <v>7424</v>
      </c>
      <c r="D13" t="s">
        <v>7509</v>
      </c>
    </row>
    <row r="14" spans="1:5" x14ac:dyDescent="0.25">
      <c r="A14" t="s">
        <v>7459</v>
      </c>
      <c r="B14" t="s">
        <v>7447</v>
      </c>
      <c r="C14" t="s">
        <v>3467</v>
      </c>
      <c r="D14" t="s">
        <v>7460</v>
      </c>
    </row>
    <row r="15" spans="1:5" x14ac:dyDescent="0.25">
      <c r="A15" t="s">
        <v>7457</v>
      </c>
      <c r="B15" t="s">
        <v>7418</v>
      </c>
      <c r="C15" t="s">
        <v>7420</v>
      </c>
      <c r="D15" t="s">
        <v>7458</v>
      </c>
    </row>
    <row r="16" spans="1:5" x14ac:dyDescent="0.25">
      <c r="A16" t="s">
        <v>7440</v>
      </c>
      <c r="B16" t="s">
        <v>3697</v>
      </c>
      <c r="C16" t="s">
        <v>3467</v>
      </c>
      <c r="D16" t="s">
        <v>7442</v>
      </c>
    </row>
    <row r="17" spans="1:4" x14ac:dyDescent="0.25">
      <c r="A17" t="s">
        <v>7487</v>
      </c>
      <c r="B17" t="s">
        <v>5756</v>
      </c>
      <c r="C17" t="s">
        <v>7430</v>
      </c>
      <c r="D17" t="s">
        <v>7488</v>
      </c>
    </row>
    <row r="18" spans="1:4" x14ac:dyDescent="0.25">
      <c r="A18" t="s">
        <v>7432</v>
      </c>
      <c r="B18" t="s">
        <v>4015</v>
      </c>
      <c r="C18" t="s">
        <v>3467</v>
      </c>
      <c r="D18" t="s">
        <v>7450</v>
      </c>
    </row>
    <row r="19" spans="1:4" x14ac:dyDescent="0.25">
      <c r="A19" t="s">
        <v>7446</v>
      </c>
      <c r="B19" t="s">
        <v>5756</v>
      </c>
      <c r="C19" t="s">
        <v>3467</v>
      </c>
      <c r="D19" t="s">
        <v>7510</v>
      </c>
    </row>
    <row r="20" spans="1:4" x14ac:dyDescent="0.25">
      <c r="A20" t="s">
        <v>7428</v>
      </c>
      <c r="B20" t="s">
        <v>5320</v>
      </c>
      <c r="C20" t="s">
        <v>7430</v>
      </c>
      <c r="D20" t="s">
        <v>7429</v>
      </c>
    </row>
    <row r="21" spans="1:4" x14ac:dyDescent="0.25">
      <c r="A21" t="s">
        <v>7421</v>
      </c>
      <c r="B21" t="s">
        <v>7418</v>
      </c>
      <c r="C21" t="s">
        <v>7424</v>
      </c>
      <c r="D21" t="s">
        <v>7452</v>
      </c>
    </row>
    <row r="22" spans="1:4" x14ac:dyDescent="0.25">
      <c r="A22" t="s">
        <v>7419</v>
      </c>
      <c r="B22" t="s">
        <v>7418</v>
      </c>
      <c r="C22" t="s">
        <v>7420</v>
      </c>
      <c r="D22" t="s">
        <v>7454</v>
      </c>
    </row>
    <row r="23" spans="1:4" x14ac:dyDescent="0.25">
      <c r="A23" t="s">
        <v>7435</v>
      </c>
      <c r="B23" t="s">
        <v>3697</v>
      </c>
      <c r="C23" t="s">
        <v>3467</v>
      </c>
      <c r="D23" t="s">
        <v>7449</v>
      </c>
    </row>
    <row r="24" spans="1:4" x14ac:dyDescent="0.25">
      <c r="A24" t="s">
        <v>5483</v>
      </c>
      <c r="B24" t="s">
        <v>5756</v>
      </c>
      <c r="C24" t="s">
        <v>7416</v>
      </c>
      <c r="D24" t="s">
        <v>7441</v>
      </c>
    </row>
    <row r="25" spans="1:4" x14ac:dyDescent="0.25">
      <c r="A25" t="s">
        <v>5296</v>
      </c>
      <c r="B25" t="s">
        <v>5320</v>
      </c>
      <c r="C25" t="s">
        <v>3467</v>
      </c>
      <c r="D25" t="s">
        <v>7437</v>
      </c>
    </row>
    <row r="26" spans="1:4" x14ac:dyDescent="0.25">
      <c r="A26" t="s">
        <v>7485</v>
      </c>
      <c r="B26" t="s">
        <v>5756</v>
      </c>
      <c r="C26" t="s">
        <v>3467</v>
      </c>
      <c r="D26" t="s">
        <v>7496</v>
      </c>
    </row>
    <row r="27" spans="1:4" x14ac:dyDescent="0.25">
      <c r="A27" t="s">
        <v>5310</v>
      </c>
      <c r="B27" t="s">
        <v>7447</v>
      </c>
      <c r="C27" t="s">
        <v>7420</v>
      </c>
      <c r="D27" t="s">
        <v>7427</v>
      </c>
    </row>
    <row r="28" spans="1:4" x14ac:dyDescent="0.25">
      <c r="A28" t="s">
        <v>7426</v>
      </c>
      <c r="B28" t="s">
        <v>4015</v>
      </c>
      <c r="C28" t="s">
        <v>7425</v>
      </c>
      <c r="D28" t="s">
        <v>7451</v>
      </c>
    </row>
    <row r="29" spans="1:4" x14ac:dyDescent="0.25">
      <c r="A29" t="s">
        <v>7434</v>
      </c>
      <c r="B29" t="s">
        <v>5320</v>
      </c>
      <c r="C29" t="s">
        <v>7433</v>
      </c>
      <c r="D29" t="s">
        <v>7511</v>
      </c>
    </row>
    <row r="30" spans="1:4" x14ac:dyDescent="0.25">
      <c r="A30" t="s">
        <v>7414</v>
      </c>
      <c r="B30" t="s">
        <v>3697</v>
      </c>
      <c r="C30" t="s">
        <v>3467</v>
      </c>
      <c r="D30" t="s">
        <v>7415</v>
      </c>
    </row>
    <row r="31" spans="1:4" x14ac:dyDescent="0.25">
      <c r="A31" t="s">
        <v>7464</v>
      </c>
      <c r="B31" t="s">
        <v>7447</v>
      </c>
      <c r="C31" t="s">
        <v>7424</v>
      </c>
      <c r="D31" t="s">
        <v>7465</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4005</v>
      </c>
      <c r="E1" t="s">
        <v>4006</v>
      </c>
      <c r="F1" t="s">
        <v>4007</v>
      </c>
      <c r="G1" t="s">
        <v>4008</v>
      </c>
      <c r="H1" t="s">
        <v>4009</v>
      </c>
      <c r="I1" t="s">
        <v>4010</v>
      </c>
      <c r="J1" t="s">
        <v>4011</v>
      </c>
      <c r="K1" t="s">
        <v>4012</v>
      </c>
      <c r="L1" t="s">
        <v>4013</v>
      </c>
      <c r="M1" t="s">
        <v>7</v>
      </c>
    </row>
    <row r="2" spans="1:13" x14ac:dyDescent="0.25">
      <c r="A2" t="s">
        <v>4036</v>
      </c>
      <c r="B2" t="s">
        <v>4026</v>
      </c>
      <c r="C2" t="s">
        <v>501</v>
      </c>
      <c r="D2" t="s">
        <v>7720</v>
      </c>
      <c r="E2" t="s">
        <v>4037</v>
      </c>
      <c r="F2" t="s">
        <v>7759</v>
      </c>
      <c r="G2" t="s">
        <v>4038</v>
      </c>
      <c r="H2" t="s">
        <v>4039</v>
      </c>
      <c r="I2" t="s">
        <v>4030</v>
      </c>
      <c r="J2" t="s">
        <v>187</v>
      </c>
      <c r="K2" t="s">
        <v>4040</v>
      </c>
      <c r="L2" t="s">
        <v>4041</v>
      </c>
      <c r="M2" t="s">
        <v>4036</v>
      </c>
    </row>
    <row r="3" spans="1:13" x14ac:dyDescent="0.25">
      <c r="A3" t="s">
        <v>4033</v>
      </c>
      <c r="B3" t="s">
        <v>4015</v>
      </c>
      <c r="C3" t="s">
        <v>90</v>
      </c>
      <c r="D3" t="s">
        <v>7719</v>
      </c>
      <c r="E3" t="s">
        <v>7516</v>
      </c>
      <c r="F3" t="s">
        <v>7750</v>
      </c>
      <c r="G3" t="s">
        <v>7517</v>
      </c>
      <c r="H3" t="s">
        <v>4034</v>
      </c>
      <c r="I3" t="s">
        <v>3467</v>
      </c>
      <c r="J3" t="s">
        <v>187</v>
      </c>
      <c r="K3" t="s">
        <v>4035</v>
      </c>
      <c r="L3" t="s">
        <v>4018</v>
      </c>
      <c r="M3" t="s">
        <v>4033</v>
      </c>
    </row>
    <row r="4" spans="1:13" x14ac:dyDescent="0.25">
      <c r="A4" t="s">
        <v>4025</v>
      </c>
      <c r="B4" t="s">
        <v>4026</v>
      </c>
      <c r="C4" t="s">
        <v>1650</v>
      </c>
      <c r="D4" t="s">
        <v>7718</v>
      </c>
      <c r="E4" t="s">
        <v>4027</v>
      </c>
      <c r="F4" t="s">
        <v>7751</v>
      </c>
      <c r="G4" t="s">
        <v>4028</v>
      </c>
      <c r="H4" t="s">
        <v>4029</v>
      </c>
      <c r="I4" t="s">
        <v>4030</v>
      </c>
      <c r="J4" t="s">
        <v>4031</v>
      </c>
      <c r="K4" t="s">
        <v>4032</v>
      </c>
      <c r="L4" t="s">
        <v>4018</v>
      </c>
      <c r="M4" t="s">
        <v>4025</v>
      </c>
    </row>
    <row r="5" spans="1:13" x14ac:dyDescent="0.25">
      <c r="A5" t="s">
        <v>4019</v>
      </c>
      <c r="B5" t="s">
        <v>4015</v>
      </c>
      <c r="C5" t="s">
        <v>1650</v>
      </c>
      <c r="D5" t="s">
        <v>4020</v>
      </c>
      <c r="E5" t="s">
        <v>4021</v>
      </c>
      <c r="F5" t="s">
        <v>7752</v>
      </c>
      <c r="G5" t="s">
        <v>4022</v>
      </c>
      <c r="H5" t="s">
        <v>4023</v>
      </c>
      <c r="I5" t="s">
        <v>3467</v>
      </c>
      <c r="J5" t="s">
        <v>187</v>
      </c>
      <c r="K5" t="s">
        <v>4024</v>
      </c>
      <c r="L5" t="s">
        <v>4018</v>
      </c>
      <c r="M5" t="s">
        <v>4019</v>
      </c>
    </row>
    <row r="6" spans="1:13" x14ac:dyDescent="0.25">
      <c r="A6" t="s">
        <v>4014</v>
      </c>
      <c r="B6" t="s">
        <v>4015</v>
      </c>
      <c r="C6" t="s">
        <v>90</v>
      </c>
      <c r="D6" t="s">
        <v>7717</v>
      </c>
      <c r="E6" t="s">
        <v>7518</v>
      </c>
      <c r="F6" t="s">
        <v>7753</v>
      </c>
      <c r="G6" t="s">
        <v>7519</v>
      </c>
      <c r="H6" t="s">
        <v>4016</v>
      </c>
      <c r="I6" t="s">
        <v>3467</v>
      </c>
      <c r="J6" t="s">
        <v>187</v>
      </c>
      <c r="K6" t="s">
        <v>4017</v>
      </c>
      <c r="L6" t="s">
        <v>4018</v>
      </c>
      <c r="M6" t="s">
        <v>4014</v>
      </c>
    </row>
    <row r="7" spans="1:13" x14ac:dyDescent="0.25">
      <c r="A7" t="s">
        <v>5185</v>
      </c>
      <c r="B7" t="s">
        <v>4026</v>
      </c>
      <c r="C7" t="s">
        <v>1650</v>
      </c>
      <c r="D7" t="s">
        <v>7721</v>
      </c>
      <c r="E7" t="s">
        <v>7678</v>
      </c>
      <c r="F7" t="s">
        <v>7754</v>
      </c>
      <c r="G7" t="s">
        <v>7679</v>
      </c>
      <c r="H7" t="s">
        <v>7660</v>
      </c>
      <c r="I7" t="s">
        <v>7661</v>
      </c>
      <c r="J7" t="s">
        <v>187</v>
      </c>
      <c r="K7" t="s">
        <v>7680</v>
      </c>
      <c r="L7" t="s">
        <v>4018</v>
      </c>
      <c r="M7" t="s">
        <v>5185</v>
      </c>
    </row>
    <row r="8" spans="1:13" x14ac:dyDescent="0.25">
      <c r="A8" t="s">
        <v>5314</v>
      </c>
      <c r="B8" t="s">
        <v>4026</v>
      </c>
      <c r="C8" t="s">
        <v>90</v>
      </c>
      <c r="D8" t="s">
        <v>7681</v>
      </c>
      <c r="E8" t="s">
        <v>7682</v>
      </c>
      <c r="F8" t="s">
        <v>7755</v>
      </c>
      <c r="G8" t="s">
        <v>7683</v>
      </c>
      <c r="H8" t="s">
        <v>7658</v>
      </c>
      <c r="I8" t="s">
        <v>7657</v>
      </c>
      <c r="J8" t="s">
        <v>187</v>
      </c>
      <c r="K8" t="s">
        <v>7684</v>
      </c>
      <c r="L8" t="s">
        <v>4018</v>
      </c>
      <c r="M8" t="s">
        <v>5314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7831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7848</v>
      </c>
      <c r="B6" t="s">
        <v>2699</v>
      </c>
      <c r="C6" t="s">
        <v>39</v>
      </c>
      <c r="F6" t="s">
        <v>40</v>
      </c>
      <c r="G6" t="s">
        <v>41</v>
      </c>
      <c r="H6" t="s">
        <v>7849</v>
      </c>
      <c r="O6" t="s">
        <v>7850</v>
      </c>
      <c r="R6" t="s">
        <v>7851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7845</v>
      </c>
      <c r="B9" t="s">
        <v>2699</v>
      </c>
      <c r="C9" t="s">
        <v>39</v>
      </c>
      <c r="F9" t="s">
        <v>40</v>
      </c>
      <c r="G9" t="s">
        <v>3518</v>
      </c>
      <c r="H9" t="s">
        <v>7846</v>
      </c>
      <c r="J9" t="s">
        <v>7847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7832</v>
      </c>
      <c r="B11" t="s">
        <v>38</v>
      </c>
      <c r="C11" t="s">
        <v>39</v>
      </c>
      <c r="E11" t="s">
        <v>7833</v>
      </c>
      <c r="F11" t="s">
        <v>40</v>
      </c>
      <c r="G11" t="s">
        <v>41</v>
      </c>
      <c r="H11" t="s">
        <v>7834</v>
      </c>
      <c r="I11" t="s">
        <v>7835</v>
      </c>
      <c r="O11" t="s">
        <v>7836</v>
      </c>
      <c r="Q11" t="s">
        <v>7837</v>
      </c>
      <c r="R11" t="s">
        <v>7838</v>
      </c>
      <c r="S11" t="s">
        <v>7839</v>
      </c>
      <c r="U11" t="s">
        <v>7840</v>
      </c>
      <c r="V11" t="s">
        <v>7841</v>
      </c>
      <c r="W11" t="s">
        <v>7842</v>
      </c>
      <c r="Y11" t="s">
        <v>7843</v>
      </c>
      <c r="Z11" t="s">
        <v>7844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7862</v>
      </c>
      <c r="B14" t="s">
        <v>90</v>
      </c>
      <c r="C14" t="s">
        <v>39</v>
      </c>
      <c r="E14" t="s">
        <v>7863</v>
      </c>
      <c r="F14" t="s">
        <v>40</v>
      </c>
      <c r="G14" t="s">
        <v>41</v>
      </c>
      <c r="H14" t="s">
        <v>7864</v>
      </c>
      <c r="I14" t="s">
        <v>7865</v>
      </c>
      <c r="O14" t="s">
        <v>7866</v>
      </c>
      <c r="Q14" t="s">
        <v>7867</v>
      </c>
      <c r="R14" t="s">
        <v>7868</v>
      </c>
      <c r="S14" t="s">
        <v>7869</v>
      </c>
      <c r="U14" t="s">
        <v>7867</v>
      </c>
      <c r="V14" t="s">
        <v>7870</v>
      </c>
      <c r="W14" t="s">
        <v>7871</v>
      </c>
      <c r="Y14" t="s">
        <v>7867</v>
      </c>
      <c r="Z14" t="s">
        <v>7872</v>
      </c>
      <c r="AA14" t="s">
        <v>99</v>
      </c>
      <c r="AC14" t="s">
        <v>7873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7852</v>
      </c>
      <c r="B16" t="s">
        <v>90</v>
      </c>
      <c r="C16" t="s">
        <v>39</v>
      </c>
      <c r="E16" t="s">
        <v>7853</v>
      </c>
      <c r="F16" t="s">
        <v>40</v>
      </c>
      <c r="G16" t="s">
        <v>41</v>
      </c>
      <c r="H16" t="s">
        <v>7854</v>
      </c>
      <c r="I16" t="s">
        <v>7855</v>
      </c>
      <c r="O16" t="s">
        <v>7839</v>
      </c>
      <c r="Q16" t="s">
        <v>7856</v>
      </c>
      <c r="R16" t="s">
        <v>7841</v>
      </c>
      <c r="S16" t="s">
        <v>7836</v>
      </c>
      <c r="U16" t="s">
        <v>7857</v>
      </c>
      <c r="V16" t="s">
        <v>7838</v>
      </c>
      <c r="W16" t="s">
        <v>7858</v>
      </c>
      <c r="Y16" t="s">
        <v>7859</v>
      </c>
      <c r="Z16" t="s">
        <v>7860</v>
      </c>
      <c r="AA16" t="s">
        <v>5756</v>
      </c>
      <c r="AC16" t="s">
        <v>7861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7529</v>
      </c>
    </row>
    <row r="2" spans="1:6" x14ac:dyDescent="0.25">
      <c r="A2" t="s">
        <v>7563</v>
      </c>
      <c r="B2" t="s">
        <v>3530</v>
      </c>
      <c r="C2" t="s">
        <v>7564</v>
      </c>
      <c r="D2" t="s">
        <v>7576</v>
      </c>
      <c r="E2" t="s">
        <v>7577</v>
      </c>
      <c r="F2" t="s">
        <v>7546</v>
      </c>
    </row>
    <row r="3" spans="1:6" x14ac:dyDescent="0.25">
      <c r="A3" t="s">
        <v>7542</v>
      </c>
      <c r="B3" t="s">
        <v>3530</v>
      </c>
      <c r="C3" t="s">
        <v>7544</v>
      </c>
      <c r="D3" t="s">
        <v>7570</v>
      </c>
      <c r="E3" t="s">
        <v>7543</v>
      </c>
      <c r="F3" t="s">
        <v>7532</v>
      </c>
    </row>
    <row r="4" spans="1:6" x14ac:dyDescent="0.25">
      <c r="A4" t="s">
        <v>7547</v>
      </c>
      <c r="B4" t="s">
        <v>3518</v>
      </c>
      <c r="C4" t="s">
        <v>7548</v>
      </c>
      <c r="D4" t="s">
        <v>7571</v>
      </c>
      <c r="E4" t="s">
        <v>7552</v>
      </c>
      <c r="F4" t="s">
        <v>7546</v>
      </c>
    </row>
    <row r="5" spans="1:6" x14ac:dyDescent="0.25">
      <c r="A5" t="s">
        <v>7549</v>
      </c>
      <c r="B5" t="s">
        <v>3518</v>
      </c>
      <c r="C5" t="s">
        <v>7550</v>
      </c>
      <c r="D5" t="s">
        <v>7572</v>
      </c>
      <c r="E5" t="s">
        <v>7551</v>
      </c>
      <c r="F5" t="s">
        <v>7546</v>
      </c>
    </row>
    <row r="6" spans="1:6" x14ac:dyDescent="0.25">
      <c r="A6" t="s">
        <v>7553</v>
      </c>
      <c r="B6" t="s">
        <v>3518</v>
      </c>
      <c r="C6" t="s">
        <v>7555</v>
      </c>
      <c r="D6" t="s">
        <v>7573</v>
      </c>
      <c r="E6" t="s">
        <v>7554</v>
      </c>
      <c r="F6" t="s">
        <v>7546</v>
      </c>
    </row>
    <row r="7" spans="1:6" x14ac:dyDescent="0.25">
      <c r="A7" t="s">
        <v>7559</v>
      </c>
      <c r="B7" t="s">
        <v>3518</v>
      </c>
      <c r="C7" t="s">
        <v>7560</v>
      </c>
      <c r="D7" t="s">
        <v>7575</v>
      </c>
      <c r="E7" t="s">
        <v>7561</v>
      </c>
      <c r="F7" t="s">
        <v>7562</v>
      </c>
    </row>
    <row r="8" spans="1:6" x14ac:dyDescent="0.25">
      <c r="A8" t="s">
        <v>3537</v>
      </c>
      <c r="B8" t="s">
        <v>3518</v>
      </c>
      <c r="C8" t="s">
        <v>7530</v>
      </c>
      <c r="D8" t="s">
        <v>7565</v>
      </c>
      <c r="E8" t="s">
        <v>3537</v>
      </c>
      <c r="F8" t="s">
        <v>7531</v>
      </c>
    </row>
    <row r="9" spans="1:6" x14ac:dyDescent="0.25">
      <c r="A9" t="s">
        <v>7765</v>
      </c>
      <c r="B9" t="s">
        <v>3518</v>
      </c>
      <c r="C9" t="s">
        <v>7768</v>
      </c>
      <c r="D9" t="s">
        <v>7903</v>
      </c>
      <c r="E9" t="s">
        <v>7766</v>
      </c>
      <c r="F9" t="s">
        <v>7767</v>
      </c>
    </row>
    <row r="10" spans="1:6" x14ac:dyDescent="0.25">
      <c r="A10" t="s">
        <v>7536</v>
      </c>
      <c r="B10" t="s">
        <v>3530</v>
      </c>
      <c r="C10" t="s">
        <v>7537</v>
      </c>
      <c r="D10" t="s">
        <v>7568</v>
      </c>
      <c r="E10" t="s">
        <v>7538</v>
      </c>
      <c r="F10" t="s">
        <v>7532</v>
      </c>
    </row>
    <row r="11" spans="1:6" x14ac:dyDescent="0.25">
      <c r="A11" t="s">
        <v>7556</v>
      </c>
      <c r="B11" t="s">
        <v>3518</v>
      </c>
      <c r="C11" t="s">
        <v>7557</v>
      </c>
      <c r="D11" t="s">
        <v>7574</v>
      </c>
      <c r="E11" t="s">
        <v>7558</v>
      </c>
      <c r="F11" t="s">
        <v>7546</v>
      </c>
    </row>
    <row r="12" spans="1:6" x14ac:dyDescent="0.25">
      <c r="A12" t="s">
        <v>3694</v>
      </c>
      <c r="B12" t="s">
        <v>3530</v>
      </c>
      <c r="C12" t="s">
        <v>3695</v>
      </c>
      <c r="D12" t="s">
        <v>7566</v>
      </c>
      <c r="E12" t="s">
        <v>3696</v>
      </c>
      <c r="F12" t="s">
        <v>7545</v>
      </c>
    </row>
    <row r="13" spans="1:6" x14ac:dyDescent="0.25">
      <c r="A13" t="s">
        <v>7533</v>
      </c>
      <c r="B13" t="s">
        <v>41</v>
      </c>
      <c r="C13" t="s">
        <v>4187</v>
      </c>
      <c r="D13" t="s">
        <v>4188</v>
      </c>
      <c r="E13" t="s">
        <v>7567</v>
      </c>
      <c r="F13" t="s">
        <v>7532</v>
      </c>
    </row>
    <row r="14" spans="1:6" x14ac:dyDescent="0.25">
      <c r="A14" t="s">
        <v>7534</v>
      </c>
      <c r="B14" t="s">
        <v>41</v>
      </c>
      <c r="C14" t="s">
        <v>4242</v>
      </c>
      <c r="D14" t="s">
        <v>4243</v>
      </c>
      <c r="E14" t="s">
        <v>7535</v>
      </c>
      <c r="F14" t="s">
        <v>7532</v>
      </c>
    </row>
    <row r="15" spans="1:6" x14ac:dyDescent="0.25">
      <c r="A15" t="s">
        <v>7539</v>
      </c>
      <c r="B15" t="s">
        <v>41</v>
      </c>
      <c r="C15" t="s">
        <v>7541</v>
      </c>
      <c r="D15" t="s">
        <v>7569</v>
      </c>
      <c r="E15" t="s">
        <v>7540</v>
      </c>
      <c r="F15" t="s">
        <v>7532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4042</v>
      </c>
      <c r="B1" t="s">
        <v>1</v>
      </c>
      <c r="C1" t="s">
        <v>4043</v>
      </c>
      <c r="D1" t="s">
        <v>6</v>
      </c>
      <c r="E1" t="s">
        <v>3461</v>
      </c>
      <c r="F1" t="s">
        <v>3512</v>
      </c>
      <c r="G1" t="s">
        <v>171</v>
      </c>
      <c r="H1" t="s">
        <v>4044</v>
      </c>
      <c r="J1" t="s">
        <v>4045</v>
      </c>
      <c r="K1" t="s">
        <v>1</v>
      </c>
      <c r="M1" t="s">
        <v>4046</v>
      </c>
      <c r="N1" t="s">
        <v>1</v>
      </c>
    </row>
    <row r="2" spans="1:14" x14ac:dyDescent="0.25">
      <c r="A2" t="s">
        <v>4047</v>
      </c>
      <c r="B2" t="s">
        <v>2155</v>
      </c>
      <c r="C2" t="s">
        <v>4048</v>
      </c>
      <c r="D2" t="s">
        <v>41</v>
      </c>
      <c r="E2" t="s">
        <v>4049</v>
      </c>
      <c r="F2" t="s">
        <v>4050</v>
      </c>
      <c r="J2" t="s">
        <v>4051</v>
      </c>
      <c r="K2" t="s">
        <v>1796</v>
      </c>
      <c r="M2" t="s">
        <v>4052</v>
      </c>
      <c r="N2" t="s">
        <v>2155</v>
      </c>
    </row>
    <row r="3" spans="1:14" x14ac:dyDescent="0.25">
      <c r="A3" t="s">
        <v>4053</v>
      </c>
      <c r="B3" t="s">
        <v>1285</v>
      </c>
      <c r="C3" t="s">
        <v>4048</v>
      </c>
      <c r="D3" t="s">
        <v>3530</v>
      </c>
      <c r="E3" t="s">
        <v>4054</v>
      </c>
      <c r="F3" t="s">
        <v>4055</v>
      </c>
      <c r="G3" t="s">
        <v>4056</v>
      </c>
      <c r="J3" t="s">
        <v>4057</v>
      </c>
      <c r="K3" t="s">
        <v>1796</v>
      </c>
      <c r="M3" t="s">
        <v>4058</v>
      </c>
      <c r="N3" t="s">
        <v>2155</v>
      </c>
    </row>
    <row r="4" spans="1:14" x14ac:dyDescent="0.25">
      <c r="A4" t="s">
        <v>4059</v>
      </c>
      <c r="B4" t="s">
        <v>2155</v>
      </c>
      <c r="C4" t="s">
        <v>4048</v>
      </c>
      <c r="D4" t="s">
        <v>3530</v>
      </c>
      <c r="E4" t="s">
        <v>4060</v>
      </c>
      <c r="F4" t="s">
        <v>4061</v>
      </c>
      <c r="J4" t="s">
        <v>4062</v>
      </c>
      <c r="K4" t="s">
        <v>1796</v>
      </c>
      <c r="M4" t="s">
        <v>4063</v>
      </c>
      <c r="N4" t="s">
        <v>2155</v>
      </c>
    </row>
    <row r="5" spans="1:14" x14ac:dyDescent="0.25">
      <c r="A5" t="s">
        <v>4064</v>
      </c>
      <c r="B5" t="s">
        <v>2155</v>
      </c>
      <c r="C5" t="s">
        <v>4065</v>
      </c>
      <c r="D5" t="s">
        <v>41</v>
      </c>
      <c r="E5" t="s">
        <v>4066</v>
      </c>
      <c r="F5" t="s">
        <v>4067</v>
      </c>
      <c r="G5" t="s">
        <v>4068</v>
      </c>
      <c r="H5" t="s">
        <v>7512</v>
      </c>
      <c r="J5" t="s">
        <v>4069</v>
      </c>
      <c r="K5" t="s">
        <v>1796</v>
      </c>
      <c r="M5" t="s">
        <v>4070</v>
      </c>
      <c r="N5" t="s">
        <v>2155</v>
      </c>
    </row>
    <row r="6" spans="1:14" x14ac:dyDescent="0.25">
      <c r="A6" t="s">
        <v>4071</v>
      </c>
      <c r="B6" t="s">
        <v>2155</v>
      </c>
      <c r="C6" t="s">
        <v>4065</v>
      </c>
      <c r="D6" t="s">
        <v>3530</v>
      </c>
      <c r="E6" t="s">
        <v>7659</v>
      </c>
      <c r="F6" t="s">
        <v>4072</v>
      </c>
      <c r="J6" t="s">
        <v>4073</v>
      </c>
      <c r="K6" t="s">
        <v>1796</v>
      </c>
      <c r="M6" t="s">
        <v>4074</v>
      </c>
      <c r="N6" t="s">
        <v>2155</v>
      </c>
    </row>
    <row r="7" spans="1:14" x14ac:dyDescent="0.25">
      <c r="A7" t="s">
        <v>4075</v>
      </c>
      <c r="B7" t="s">
        <v>2155</v>
      </c>
      <c r="C7" t="s">
        <v>4076</v>
      </c>
      <c r="D7" t="s">
        <v>41</v>
      </c>
      <c r="E7" t="s">
        <v>4077</v>
      </c>
      <c r="F7" t="s">
        <v>4078</v>
      </c>
      <c r="G7" t="s">
        <v>4079</v>
      </c>
      <c r="J7" t="s">
        <v>4080</v>
      </c>
      <c r="K7" t="s">
        <v>1796</v>
      </c>
      <c r="M7" t="s">
        <v>4081</v>
      </c>
      <c r="N7" t="s">
        <v>2155</v>
      </c>
    </row>
    <row r="8" spans="1:14" x14ac:dyDescent="0.25">
      <c r="A8" t="s">
        <v>4082</v>
      </c>
      <c r="B8" t="s">
        <v>1285</v>
      </c>
      <c r="C8" t="s">
        <v>4048</v>
      </c>
      <c r="D8" t="s">
        <v>3530</v>
      </c>
      <c r="E8" t="s">
        <v>4083</v>
      </c>
      <c r="F8" t="s">
        <v>4084</v>
      </c>
      <c r="J8" t="s">
        <v>4085</v>
      </c>
      <c r="K8" t="s">
        <v>1796</v>
      </c>
      <c r="M8" t="s">
        <v>4086</v>
      </c>
      <c r="N8" t="s">
        <v>2155</v>
      </c>
    </row>
    <row r="9" spans="1:14" x14ac:dyDescent="0.25">
      <c r="A9" t="s">
        <v>4087</v>
      </c>
      <c r="B9" t="s">
        <v>2155</v>
      </c>
      <c r="C9" t="s">
        <v>4065</v>
      </c>
      <c r="D9" t="s">
        <v>3518</v>
      </c>
      <c r="E9" t="s">
        <v>4088</v>
      </c>
      <c r="F9" t="s">
        <v>4089</v>
      </c>
      <c r="J9" t="s">
        <v>4090</v>
      </c>
      <c r="K9" t="s">
        <v>1796</v>
      </c>
      <c r="M9" t="s">
        <v>4091</v>
      </c>
      <c r="N9" t="s">
        <v>2155</v>
      </c>
    </row>
    <row r="10" spans="1:14" x14ac:dyDescent="0.25">
      <c r="J10" t="s">
        <v>4092</v>
      </c>
      <c r="K10" t="s">
        <v>1796</v>
      </c>
      <c r="M10" t="s">
        <v>4093</v>
      </c>
      <c r="N10" t="s">
        <v>2155</v>
      </c>
    </row>
    <row r="11" spans="1:14" x14ac:dyDescent="0.25">
      <c r="J11" t="s">
        <v>4094</v>
      </c>
      <c r="K11" t="s">
        <v>1796</v>
      </c>
      <c r="M11" t="s">
        <v>4095</v>
      </c>
      <c r="N11" t="s">
        <v>2155</v>
      </c>
    </row>
    <row r="12" spans="1:14" x14ac:dyDescent="0.25">
      <c r="J12" t="s">
        <v>4096</v>
      </c>
      <c r="K12" t="s">
        <v>1796</v>
      </c>
      <c r="M12" t="s">
        <v>4097</v>
      </c>
      <c r="N12" t="s">
        <v>2155</v>
      </c>
    </row>
    <row r="13" spans="1:14" x14ac:dyDescent="0.25">
      <c r="J13" t="s">
        <v>4098</v>
      </c>
      <c r="K13" t="s">
        <v>1796</v>
      </c>
      <c r="M13" t="s">
        <v>4099</v>
      </c>
      <c r="N13" t="s">
        <v>2155</v>
      </c>
    </row>
    <row r="14" spans="1:14" x14ac:dyDescent="0.25">
      <c r="J14" t="s">
        <v>4100</v>
      </c>
      <c r="K14" t="s">
        <v>1796</v>
      </c>
      <c r="M14" t="s">
        <v>4101</v>
      </c>
      <c r="N14" t="s">
        <v>2155</v>
      </c>
    </row>
    <row r="15" spans="1:14" x14ac:dyDescent="0.25">
      <c r="J15" t="s">
        <v>4102</v>
      </c>
      <c r="K15" t="s">
        <v>1796</v>
      </c>
      <c r="M15" t="s">
        <v>4103</v>
      </c>
      <c r="N15" t="s">
        <v>2155</v>
      </c>
    </row>
    <row r="16" spans="1:14" x14ac:dyDescent="0.25">
      <c r="J16" t="s">
        <v>4104</v>
      </c>
      <c r="K16" t="s">
        <v>1796</v>
      </c>
      <c r="M16" t="s">
        <v>4105</v>
      </c>
      <c r="N16" t="s">
        <v>2155</v>
      </c>
    </row>
    <row r="17" spans="10:14" x14ac:dyDescent="0.25">
      <c r="J17" t="s">
        <v>4106</v>
      </c>
      <c r="K17" t="s">
        <v>1796</v>
      </c>
      <c r="M17" t="s">
        <v>4107</v>
      </c>
      <c r="N17" t="s">
        <v>2155</v>
      </c>
    </row>
    <row r="18" spans="10:14" x14ac:dyDescent="0.25">
      <c r="J18" t="s">
        <v>4108</v>
      </c>
      <c r="K18" t="s">
        <v>1796</v>
      </c>
      <c r="M18" t="s">
        <v>4109</v>
      </c>
      <c r="N18" t="s">
        <v>2155</v>
      </c>
    </row>
    <row r="19" spans="10:14" x14ac:dyDescent="0.25">
      <c r="J19" t="s">
        <v>4110</v>
      </c>
      <c r="K19" t="s">
        <v>1796</v>
      </c>
      <c r="M19" t="s">
        <v>4111</v>
      </c>
      <c r="N19" t="s">
        <v>2155</v>
      </c>
    </row>
    <row r="20" spans="10:14" x14ac:dyDescent="0.25">
      <c r="J20" t="s">
        <v>4112</v>
      </c>
      <c r="K20" t="s">
        <v>1796</v>
      </c>
      <c r="M20" t="s">
        <v>4113</v>
      </c>
      <c r="N20" t="s">
        <v>2155</v>
      </c>
    </row>
    <row r="21" spans="10:14" x14ac:dyDescent="0.25">
      <c r="J21" t="s">
        <v>4114</v>
      </c>
      <c r="K21" t="s">
        <v>1796</v>
      </c>
      <c r="M21" t="s">
        <v>4115</v>
      </c>
      <c r="N21" t="s">
        <v>2155</v>
      </c>
    </row>
    <row r="22" spans="10:14" x14ac:dyDescent="0.25">
      <c r="J22" t="s">
        <v>4116</v>
      </c>
      <c r="K22" t="s">
        <v>1796</v>
      </c>
      <c r="M22" t="s">
        <v>4117</v>
      </c>
      <c r="N22" t="s">
        <v>2155</v>
      </c>
    </row>
    <row r="23" spans="10:14" x14ac:dyDescent="0.25">
      <c r="J23" t="s">
        <v>4118</v>
      </c>
      <c r="K23" t="s">
        <v>1796</v>
      </c>
      <c r="M23" t="s">
        <v>4119</v>
      </c>
      <c r="N23" t="s">
        <v>2155</v>
      </c>
    </row>
    <row r="24" spans="10:14" x14ac:dyDescent="0.25">
      <c r="J24" t="s">
        <v>4120</v>
      </c>
      <c r="K24" t="s">
        <v>1796</v>
      </c>
      <c r="M24" t="s">
        <v>4121</v>
      </c>
      <c r="N24" t="s">
        <v>2155</v>
      </c>
    </row>
    <row r="25" spans="10:14" x14ac:dyDescent="0.25">
      <c r="J25" t="s">
        <v>4122</v>
      </c>
      <c r="K25" t="s">
        <v>1796</v>
      </c>
      <c r="M25" t="s">
        <v>4123</v>
      </c>
      <c r="N25" t="s">
        <v>2155</v>
      </c>
    </row>
    <row r="26" spans="10:14" x14ac:dyDescent="0.25">
      <c r="J26" t="s">
        <v>4124</v>
      </c>
      <c r="K26" t="s">
        <v>1796</v>
      </c>
      <c r="M26" t="s">
        <v>4125</v>
      </c>
      <c r="N26" t="s">
        <v>2155</v>
      </c>
    </row>
    <row r="27" spans="10:14" x14ac:dyDescent="0.25">
      <c r="J27" t="s">
        <v>4126</v>
      </c>
      <c r="K27" t="s">
        <v>2867</v>
      </c>
      <c r="M27" t="s">
        <v>4127</v>
      </c>
      <c r="N27" t="s">
        <v>2155</v>
      </c>
    </row>
    <row r="28" spans="10:14" x14ac:dyDescent="0.25">
      <c r="J28" t="s">
        <v>4128</v>
      </c>
      <c r="K28" t="s">
        <v>2867</v>
      </c>
      <c r="M28" t="s">
        <v>4129</v>
      </c>
      <c r="N28" t="s">
        <v>2155</v>
      </c>
    </row>
    <row r="29" spans="10:14" x14ac:dyDescent="0.25">
      <c r="J29" t="s">
        <v>4130</v>
      </c>
      <c r="K29" t="s">
        <v>2867</v>
      </c>
      <c r="M29" t="s">
        <v>4131</v>
      </c>
      <c r="N29" t="s">
        <v>2155</v>
      </c>
    </row>
    <row r="30" spans="10:14" x14ac:dyDescent="0.25">
      <c r="J30" t="s">
        <v>4132</v>
      </c>
      <c r="K30" t="s">
        <v>2867</v>
      </c>
      <c r="M30" t="s">
        <v>4133</v>
      </c>
      <c r="N30" t="s">
        <v>2155</v>
      </c>
    </row>
    <row r="31" spans="10:14" x14ac:dyDescent="0.25">
      <c r="J31" t="s">
        <v>4134</v>
      </c>
      <c r="K31" t="s">
        <v>2867</v>
      </c>
      <c r="M31" t="s">
        <v>4135</v>
      </c>
      <c r="N31" t="s">
        <v>2155</v>
      </c>
    </row>
    <row r="32" spans="10:14" x14ac:dyDescent="0.25">
      <c r="J32" t="s">
        <v>4136</v>
      </c>
      <c r="K32" t="s">
        <v>2867</v>
      </c>
      <c r="M32" t="s">
        <v>4137</v>
      </c>
      <c r="N32" t="s">
        <v>2155</v>
      </c>
    </row>
    <row r="33" spans="10:14" x14ac:dyDescent="0.25">
      <c r="J33" t="s">
        <v>4138</v>
      </c>
      <c r="K33" t="s">
        <v>2867</v>
      </c>
      <c r="M33" t="s">
        <v>4139</v>
      </c>
      <c r="N33" t="s">
        <v>2155</v>
      </c>
    </row>
    <row r="34" spans="10:14" x14ac:dyDescent="0.25">
      <c r="J34" t="s">
        <v>4140</v>
      </c>
      <c r="K34" t="s">
        <v>2867</v>
      </c>
      <c r="M34" t="s">
        <v>4141</v>
      </c>
      <c r="N34" t="s">
        <v>2155</v>
      </c>
    </row>
    <row r="35" spans="10:14" x14ac:dyDescent="0.25">
      <c r="J35" t="s">
        <v>4142</v>
      </c>
      <c r="K35" t="s">
        <v>2867</v>
      </c>
      <c r="M35" t="s">
        <v>4143</v>
      </c>
      <c r="N35" t="s">
        <v>2155</v>
      </c>
    </row>
    <row r="36" spans="10:14" x14ac:dyDescent="0.25">
      <c r="J36" t="s">
        <v>4108</v>
      </c>
      <c r="K36" t="s">
        <v>2867</v>
      </c>
      <c r="M36" t="s">
        <v>4144</v>
      </c>
      <c r="N36" t="s">
        <v>2155</v>
      </c>
    </row>
    <row r="37" spans="10:14" x14ac:dyDescent="0.25">
      <c r="J37" t="s">
        <v>4145</v>
      </c>
      <c r="K37" t="s">
        <v>2867</v>
      </c>
      <c r="M37" t="s">
        <v>4146</v>
      </c>
      <c r="N37" t="s">
        <v>2155</v>
      </c>
    </row>
    <row r="38" spans="10:14" x14ac:dyDescent="0.25">
      <c r="M38" t="s">
        <v>4147</v>
      </c>
      <c r="N38" t="s">
        <v>2155</v>
      </c>
    </row>
    <row r="39" spans="10:14" x14ac:dyDescent="0.25">
      <c r="M39" t="s">
        <v>4148</v>
      </c>
      <c r="N39" t="s">
        <v>2155</v>
      </c>
    </row>
    <row r="40" spans="10:14" x14ac:dyDescent="0.25">
      <c r="M40" t="s">
        <v>4149</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4043</v>
      </c>
      <c r="C1" t="s">
        <v>3461</v>
      </c>
      <c r="D1" t="s">
        <v>3512</v>
      </c>
      <c r="E1" t="s">
        <v>4150</v>
      </c>
      <c r="F1" t="s">
        <v>4151</v>
      </c>
      <c r="G1" t="s">
        <v>4044</v>
      </c>
    </row>
    <row r="2" spans="1:7" x14ac:dyDescent="0.25">
      <c r="A2" t="s">
        <v>4164</v>
      </c>
      <c r="B2" t="s">
        <v>4065</v>
      </c>
      <c r="C2" t="s">
        <v>7685</v>
      </c>
      <c r="D2" t="s">
        <v>4165</v>
      </c>
      <c r="E2" t="s">
        <v>7686</v>
      </c>
      <c r="F2" t="s">
        <v>4166</v>
      </c>
    </row>
    <row r="3" spans="1:7" x14ac:dyDescent="0.25">
      <c r="A3" t="s">
        <v>4056</v>
      </c>
      <c r="B3" t="s">
        <v>4048</v>
      </c>
      <c r="C3" t="s">
        <v>7787</v>
      </c>
      <c r="D3" t="s">
        <v>7788</v>
      </c>
      <c r="E3" t="s">
        <v>4191</v>
      </c>
      <c r="F3" t="s">
        <v>4192</v>
      </c>
    </row>
    <row r="4" spans="1:7" x14ac:dyDescent="0.25">
      <c r="A4" t="s">
        <v>4175</v>
      </c>
      <c r="B4" t="s">
        <v>4048</v>
      </c>
      <c r="C4" t="s">
        <v>4176</v>
      </c>
      <c r="D4" t="s">
        <v>4177</v>
      </c>
      <c r="E4" t="s">
        <v>4178</v>
      </c>
      <c r="F4" t="s">
        <v>4179</v>
      </c>
      <c r="G4" t="s">
        <v>4180</v>
      </c>
    </row>
    <row r="5" spans="1:7" x14ac:dyDescent="0.25">
      <c r="A5" t="s">
        <v>4186</v>
      </c>
      <c r="B5" t="s">
        <v>4065</v>
      </c>
      <c r="C5" t="s">
        <v>4187</v>
      </c>
      <c r="D5" t="s">
        <v>4188</v>
      </c>
      <c r="E5" t="s">
        <v>4189</v>
      </c>
      <c r="F5" t="s">
        <v>4190</v>
      </c>
    </row>
    <row r="6" spans="1:7" x14ac:dyDescent="0.25">
      <c r="A6" t="s">
        <v>4181</v>
      </c>
      <c r="B6" t="s">
        <v>4065</v>
      </c>
      <c r="C6" t="s">
        <v>4182</v>
      </c>
      <c r="D6" t="s">
        <v>4183</v>
      </c>
      <c r="E6" t="s">
        <v>4184</v>
      </c>
      <c r="F6" t="s">
        <v>4185</v>
      </c>
    </row>
    <row r="7" spans="1:7" x14ac:dyDescent="0.25">
      <c r="A7" t="s">
        <v>4170</v>
      </c>
      <c r="B7" t="s">
        <v>4048</v>
      </c>
      <c r="C7" t="s">
        <v>4171</v>
      </c>
      <c r="D7" t="s">
        <v>4172</v>
      </c>
      <c r="E7" t="s">
        <v>4173</v>
      </c>
      <c r="F7" t="s">
        <v>4174</v>
      </c>
    </row>
    <row r="8" spans="1:7" x14ac:dyDescent="0.25">
      <c r="A8" t="s">
        <v>4167</v>
      </c>
      <c r="B8" t="s">
        <v>4065</v>
      </c>
      <c r="C8" t="s">
        <v>3646</v>
      </c>
      <c r="D8" t="s">
        <v>4168</v>
      </c>
      <c r="E8" t="s">
        <v>3649</v>
      </c>
      <c r="F8" t="s">
        <v>4169</v>
      </c>
    </row>
    <row r="9" spans="1:7" x14ac:dyDescent="0.25">
      <c r="A9" t="s">
        <v>4156</v>
      </c>
      <c r="B9" t="s">
        <v>4048</v>
      </c>
      <c r="C9" t="s">
        <v>4157</v>
      </c>
      <c r="D9" t="s">
        <v>4158</v>
      </c>
      <c r="E9" t="s">
        <v>4159</v>
      </c>
      <c r="F9" t="s">
        <v>4160</v>
      </c>
    </row>
    <row r="10" spans="1:7" x14ac:dyDescent="0.25">
      <c r="A10" t="s">
        <v>4152</v>
      </c>
      <c r="B10" t="s">
        <v>4065</v>
      </c>
      <c r="C10" t="s">
        <v>3587</v>
      </c>
      <c r="D10" t="s">
        <v>4153</v>
      </c>
      <c r="E10" t="s">
        <v>4154</v>
      </c>
      <c r="F10" t="s">
        <v>4155</v>
      </c>
    </row>
    <row r="11" spans="1:7" x14ac:dyDescent="0.25">
      <c r="A11" t="s">
        <v>4161</v>
      </c>
      <c r="B11" t="s">
        <v>4076</v>
      </c>
      <c r="C11" t="s">
        <v>4077</v>
      </c>
      <c r="D11" t="s">
        <v>4078</v>
      </c>
      <c r="E11" t="s">
        <v>4162</v>
      </c>
      <c r="F11" t="s">
        <v>4163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4043</v>
      </c>
      <c r="D1" t="s">
        <v>4005</v>
      </c>
      <c r="E1" t="s">
        <v>4006</v>
      </c>
      <c r="F1" t="s">
        <v>4193</v>
      </c>
      <c r="G1" t="s">
        <v>4194</v>
      </c>
      <c r="H1" t="s">
        <v>3513</v>
      </c>
      <c r="I1" t="s">
        <v>171</v>
      </c>
    </row>
    <row r="2" spans="1:9" x14ac:dyDescent="0.25">
      <c r="A2" t="s">
        <v>4195</v>
      </c>
      <c r="B2" t="s">
        <v>41</v>
      </c>
      <c r="C2" t="s">
        <v>4048</v>
      </c>
      <c r="D2" t="s">
        <v>7797</v>
      </c>
      <c r="E2" t="s">
        <v>7798</v>
      </c>
      <c r="F2" t="s">
        <v>7799</v>
      </c>
      <c r="G2" t="s">
        <v>7800</v>
      </c>
      <c r="H2" t="s">
        <v>90</v>
      </c>
      <c r="I2" t="s">
        <v>4196</v>
      </c>
    </row>
    <row r="3" spans="1:9" x14ac:dyDescent="0.25">
      <c r="A3" t="s">
        <v>4197</v>
      </c>
      <c r="B3" t="s">
        <v>41</v>
      </c>
      <c r="C3" t="s">
        <v>4065</v>
      </c>
      <c r="D3" t="s">
        <v>4187</v>
      </c>
      <c r="E3" t="s">
        <v>4188</v>
      </c>
      <c r="F3" t="s">
        <v>4198</v>
      </c>
      <c r="G3" t="s">
        <v>4199</v>
      </c>
      <c r="H3" t="s">
        <v>90</v>
      </c>
      <c r="I3" t="s">
        <v>4200</v>
      </c>
    </row>
    <row r="4" spans="1:9" x14ac:dyDescent="0.25">
      <c r="A4" t="s">
        <v>4201</v>
      </c>
      <c r="B4" t="s">
        <v>41</v>
      </c>
      <c r="C4" t="s">
        <v>4065</v>
      </c>
      <c r="D4" t="s">
        <v>4202</v>
      </c>
      <c r="E4" t="s">
        <v>4203</v>
      </c>
      <c r="F4" t="s">
        <v>4204</v>
      </c>
      <c r="G4" t="s">
        <v>4205</v>
      </c>
      <c r="H4" t="s">
        <v>90</v>
      </c>
      <c r="I4" t="s">
        <v>4206</v>
      </c>
    </row>
    <row r="5" spans="1:9" x14ac:dyDescent="0.25">
      <c r="A5" t="s">
        <v>4207</v>
      </c>
      <c r="B5" t="s">
        <v>41</v>
      </c>
      <c r="C5" t="s">
        <v>4065</v>
      </c>
      <c r="D5" t="s">
        <v>4208</v>
      </c>
      <c r="E5" t="s">
        <v>4209</v>
      </c>
      <c r="F5" t="s">
        <v>4210</v>
      </c>
      <c r="G5" t="s">
        <v>4211</v>
      </c>
      <c r="H5" t="s">
        <v>90</v>
      </c>
      <c r="I5" t="s">
        <v>4212</v>
      </c>
    </row>
    <row r="6" spans="1:9" x14ac:dyDescent="0.25">
      <c r="A6" t="s">
        <v>4213</v>
      </c>
      <c r="B6" t="s">
        <v>3518</v>
      </c>
      <c r="C6" t="s">
        <v>4065</v>
      </c>
      <c r="D6" t="s">
        <v>3646</v>
      </c>
      <c r="E6" t="s">
        <v>4168</v>
      </c>
      <c r="F6" t="s">
        <v>4214</v>
      </c>
      <c r="G6" t="s">
        <v>4215</v>
      </c>
      <c r="H6" t="s">
        <v>90</v>
      </c>
      <c r="I6" t="s">
        <v>4216</v>
      </c>
    </row>
    <row r="7" spans="1:9" x14ac:dyDescent="0.25">
      <c r="A7" t="s">
        <v>4217</v>
      </c>
      <c r="B7" t="s">
        <v>41</v>
      </c>
      <c r="C7" t="s">
        <v>4065</v>
      </c>
      <c r="D7" t="s">
        <v>4218</v>
      </c>
      <c r="E7" t="s">
        <v>4219</v>
      </c>
      <c r="F7" t="s">
        <v>4220</v>
      </c>
      <c r="G7" t="s">
        <v>4221</v>
      </c>
      <c r="H7" t="s">
        <v>90</v>
      </c>
      <c r="I7" t="s">
        <v>4222</v>
      </c>
    </row>
    <row r="8" spans="1:9" x14ac:dyDescent="0.25">
      <c r="A8" t="s">
        <v>4223</v>
      </c>
      <c r="B8" t="s">
        <v>41</v>
      </c>
      <c r="C8" t="s">
        <v>4065</v>
      </c>
      <c r="D8" t="s">
        <v>4224</v>
      </c>
      <c r="E8" t="s">
        <v>4225</v>
      </c>
      <c r="F8" t="s">
        <v>4226</v>
      </c>
      <c r="G8" t="s">
        <v>4227</v>
      </c>
      <c r="H8" t="s">
        <v>90</v>
      </c>
      <c r="I8" t="s">
        <v>4228</v>
      </c>
    </row>
    <row r="9" spans="1:9" x14ac:dyDescent="0.25">
      <c r="A9" t="s">
        <v>4229</v>
      </c>
      <c r="B9" t="s">
        <v>41</v>
      </c>
      <c r="C9" t="s">
        <v>4048</v>
      </c>
      <c r="D9" t="s">
        <v>4230</v>
      </c>
      <c r="E9" t="s">
        <v>4231</v>
      </c>
      <c r="F9" t="s">
        <v>4232</v>
      </c>
      <c r="G9" t="s">
        <v>4233</v>
      </c>
      <c r="H9" t="s">
        <v>90</v>
      </c>
      <c r="I9" t="s">
        <v>4234</v>
      </c>
    </row>
    <row r="10" spans="1:9" x14ac:dyDescent="0.25">
      <c r="A10" t="s">
        <v>4235</v>
      </c>
      <c r="B10" t="s">
        <v>3530</v>
      </c>
      <c r="C10" t="s">
        <v>4065</v>
      </c>
      <c r="D10" t="s">
        <v>4236</v>
      </c>
      <c r="E10" t="s">
        <v>4237</v>
      </c>
      <c r="F10" t="s">
        <v>4238</v>
      </c>
      <c r="G10" t="s">
        <v>4239</v>
      </c>
      <c r="H10" t="s">
        <v>38</v>
      </c>
      <c r="I10" t="s">
        <v>4240</v>
      </c>
    </row>
    <row r="11" spans="1:9" x14ac:dyDescent="0.25">
      <c r="A11" t="s">
        <v>4241</v>
      </c>
      <c r="B11" t="s">
        <v>41</v>
      </c>
      <c r="C11" t="s">
        <v>4065</v>
      </c>
      <c r="D11" t="s">
        <v>4242</v>
      </c>
      <c r="E11" t="s">
        <v>4243</v>
      </c>
      <c r="F11" t="s">
        <v>4244</v>
      </c>
      <c r="G11" t="s">
        <v>4245</v>
      </c>
      <c r="H11" t="s">
        <v>2155</v>
      </c>
      <c r="I11" t="s">
        <v>3467</v>
      </c>
    </row>
    <row r="12" spans="1:9" x14ac:dyDescent="0.25">
      <c r="A12" t="s">
        <v>4246</v>
      </c>
      <c r="B12" t="s">
        <v>3518</v>
      </c>
      <c r="C12" t="s">
        <v>4065</v>
      </c>
      <c r="D12" t="s">
        <v>4247</v>
      </c>
      <c r="E12" t="s">
        <v>4248</v>
      </c>
      <c r="F12" t="s">
        <v>3467</v>
      </c>
      <c r="G12" t="s">
        <v>4249</v>
      </c>
      <c r="H12" t="s">
        <v>2155</v>
      </c>
      <c r="I12" t="s">
        <v>3467</v>
      </c>
    </row>
    <row r="13" spans="1:9" x14ac:dyDescent="0.25">
      <c r="A13" t="s">
        <v>4250</v>
      </c>
      <c r="B13" t="s">
        <v>3518</v>
      </c>
      <c r="C13" t="s">
        <v>4065</v>
      </c>
      <c r="D13" t="s">
        <v>4251</v>
      </c>
      <c r="E13" t="s">
        <v>4252</v>
      </c>
      <c r="F13" t="s">
        <v>4253</v>
      </c>
      <c r="G13" t="s">
        <v>4254</v>
      </c>
      <c r="H13" t="s">
        <v>2155</v>
      </c>
      <c r="I13" t="s">
        <v>3467</v>
      </c>
    </row>
    <row r="14" spans="1:9" x14ac:dyDescent="0.25">
      <c r="A14" t="s">
        <v>4255</v>
      </c>
      <c r="B14" t="s">
        <v>3530</v>
      </c>
      <c r="C14" t="s">
        <v>4065</v>
      </c>
      <c r="D14" t="s">
        <v>4256</v>
      </c>
      <c r="E14" t="s">
        <v>4257</v>
      </c>
      <c r="F14" t="s">
        <v>4258</v>
      </c>
      <c r="G14" t="s">
        <v>4259</v>
      </c>
      <c r="H14" t="s">
        <v>2155</v>
      </c>
      <c r="I14" t="s">
        <v>3467</v>
      </c>
    </row>
    <row r="15" spans="1:9" x14ac:dyDescent="0.25">
      <c r="A15" t="s">
        <v>4260</v>
      </c>
      <c r="B15" t="s">
        <v>41</v>
      </c>
      <c r="C15" t="s">
        <v>4048</v>
      </c>
      <c r="D15" t="s">
        <v>4230</v>
      </c>
      <c r="E15" t="s">
        <v>4231</v>
      </c>
      <c r="F15" t="s">
        <v>4261</v>
      </c>
      <c r="G15" t="s">
        <v>4262</v>
      </c>
      <c r="H15" t="s">
        <v>256</v>
      </c>
      <c r="I15" t="s">
        <v>3467</v>
      </c>
    </row>
    <row r="16" spans="1:9" x14ac:dyDescent="0.25">
      <c r="A16" t="s">
        <v>4263</v>
      </c>
      <c r="B16" t="s">
        <v>3530</v>
      </c>
      <c r="C16" t="s">
        <v>4076</v>
      </c>
      <c r="D16" t="s">
        <v>4264</v>
      </c>
      <c r="E16" t="s">
        <v>4249</v>
      </c>
      <c r="F16" t="s">
        <v>4264</v>
      </c>
      <c r="G16" t="s">
        <v>4249</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4043</v>
      </c>
      <c r="E1" t="s">
        <v>167</v>
      </c>
      <c r="F1" t="s">
        <v>7667</v>
      </c>
      <c r="G1" t="s">
        <v>3461</v>
      </c>
      <c r="H1" t="s">
        <v>3512</v>
      </c>
      <c r="I1" t="s">
        <v>171</v>
      </c>
    </row>
    <row r="2" spans="1:9" x14ac:dyDescent="0.25">
      <c r="A2" t="s">
        <v>7703</v>
      </c>
      <c r="B2" t="s">
        <v>3530</v>
      </c>
      <c r="C2" t="s">
        <v>2155</v>
      </c>
      <c r="D2" t="s">
        <v>4065</v>
      </c>
      <c r="E2" t="s">
        <v>7673</v>
      </c>
      <c r="F2">
        <v>3</v>
      </c>
      <c r="G2" t="s">
        <v>7711</v>
      </c>
      <c r="H2" t="s">
        <v>7722</v>
      </c>
      <c r="I2" t="s">
        <v>3467</v>
      </c>
    </row>
    <row r="3" spans="1:9" x14ac:dyDescent="0.25">
      <c r="A3" t="s">
        <v>7676</v>
      </c>
      <c r="B3" t="s">
        <v>3518</v>
      </c>
      <c r="C3" t="s">
        <v>1796</v>
      </c>
      <c r="D3" t="s">
        <v>4048</v>
      </c>
      <c r="E3" t="s">
        <v>7672</v>
      </c>
      <c r="F3">
        <v>4</v>
      </c>
      <c r="G3" t="s">
        <v>7675</v>
      </c>
      <c r="H3" t="s">
        <v>4061</v>
      </c>
      <c r="I3" t="s">
        <v>3467</v>
      </c>
    </row>
    <row r="4" spans="1:9" x14ac:dyDescent="0.25">
      <c r="A4" t="s">
        <v>7705</v>
      </c>
      <c r="B4" t="s">
        <v>3742</v>
      </c>
      <c r="C4" t="s">
        <v>1796</v>
      </c>
      <c r="D4" t="s">
        <v>4065</v>
      </c>
      <c r="E4" t="s">
        <v>7673</v>
      </c>
      <c r="F4">
        <v>1</v>
      </c>
      <c r="G4" t="s">
        <v>7713</v>
      </c>
      <c r="H4" t="s">
        <v>7723</v>
      </c>
      <c r="I4" t="s">
        <v>3467</v>
      </c>
    </row>
    <row r="5" spans="1:9" x14ac:dyDescent="0.25">
      <c r="A5" t="s">
        <v>7674</v>
      </c>
      <c r="B5" t="s">
        <v>3518</v>
      </c>
      <c r="C5" t="s">
        <v>2155</v>
      </c>
      <c r="D5" t="s">
        <v>4065</v>
      </c>
      <c r="E5" t="s">
        <v>7673</v>
      </c>
      <c r="F5">
        <v>3</v>
      </c>
      <c r="G5" t="s">
        <v>7707</v>
      </c>
      <c r="H5" t="s">
        <v>7688</v>
      </c>
      <c r="I5" t="s">
        <v>3467</v>
      </c>
    </row>
    <row r="6" spans="1:9" x14ac:dyDescent="0.25">
      <c r="A6" t="s">
        <v>7701</v>
      </c>
      <c r="B6" t="s">
        <v>41</v>
      </c>
      <c r="C6" t="s">
        <v>2155</v>
      </c>
      <c r="D6" t="s">
        <v>4048</v>
      </c>
      <c r="E6" t="s">
        <v>7673</v>
      </c>
      <c r="F6">
        <v>3</v>
      </c>
      <c r="G6" t="s">
        <v>7709</v>
      </c>
      <c r="H6" t="s">
        <v>7724</v>
      </c>
      <c r="I6" t="s">
        <v>3467</v>
      </c>
    </row>
    <row r="7" spans="1:9" x14ac:dyDescent="0.25">
      <c r="A7" t="s">
        <v>7700</v>
      </c>
      <c r="B7" t="s">
        <v>41</v>
      </c>
      <c r="C7" t="s">
        <v>2155</v>
      </c>
      <c r="D7" t="s">
        <v>4048</v>
      </c>
      <c r="E7" t="s">
        <v>7673</v>
      </c>
      <c r="F7">
        <v>3</v>
      </c>
      <c r="G7" t="s">
        <v>7708</v>
      </c>
      <c r="H7" t="s">
        <v>7725</v>
      </c>
      <c r="I7" t="s">
        <v>3467</v>
      </c>
    </row>
    <row r="8" spans="1:9" x14ac:dyDescent="0.25">
      <c r="A8" t="s">
        <v>7702</v>
      </c>
      <c r="B8" t="s">
        <v>41</v>
      </c>
      <c r="C8" t="s">
        <v>2155</v>
      </c>
      <c r="D8" t="s">
        <v>4065</v>
      </c>
      <c r="E8" t="s">
        <v>7673</v>
      </c>
      <c r="F8">
        <v>3</v>
      </c>
      <c r="G8" t="s">
        <v>7710</v>
      </c>
      <c r="H8" t="s">
        <v>7726</v>
      </c>
      <c r="I8" t="s">
        <v>3467</v>
      </c>
    </row>
    <row r="9" spans="1:9" x14ac:dyDescent="0.25">
      <c r="A9" t="s">
        <v>7671</v>
      </c>
      <c r="B9" t="s">
        <v>41</v>
      </c>
      <c r="C9" t="s">
        <v>2155</v>
      </c>
      <c r="D9" t="s">
        <v>4076</v>
      </c>
      <c r="E9" t="s">
        <v>3458</v>
      </c>
      <c r="F9">
        <v>4</v>
      </c>
      <c r="G9" t="s">
        <v>4264</v>
      </c>
      <c r="H9" t="s">
        <v>101</v>
      </c>
      <c r="I9" t="s">
        <v>3467</v>
      </c>
    </row>
    <row r="10" spans="1:9" x14ac:dyDescent="0.25">
      <c r="A10" t="s">
        <v>7715</v>
      </c>
      <c r="B10" t="s">
        <v>3530</v>
      </c>
      <c r="C10" t="s">
        <v>490</v>
      </c>
      <c r="D10" t="s">
        <v>4076</v>
      </c>
      <c r="E10" t="s">
        <v>7673</v>
      </c>
      <c r="F10">
        <v>2</v>
      </c>
      <c r="G10" t="s">
        <v>7716</v>
      </c>
      <c r="H10" t="s">
        <v>7727</v>
      </c>
      <c r="I10" t="s">
        <v>3467</v>
      </c>
    </row>
    <row r="11" spans="1:9" x14ac:dyDescent="0.25">
      <c r="A11" t="s">
        <v>7704</v>
      </c>
      <c r="B11" t="s">
        <v>3518</v>
      </c>
      <c r="C11" t="s">
        <v>2155</v>
      </c>
      <c r="D11" t="s">
        <v>4065</v>
      </c>
      <c r="E11" t="s">
        <v>7673</v>
      </c>
      <c r="F11">
        <v>3</v>
      </c>
      <c r="G11" t="s">
        <v>7712</v>
      </c>
      <c r="H11" t="s">
        <v>7728</v>
      </c>
      <c r="I11" t="s">
        <v>3467</v>
      </c>
    </row>
    <row r="12" spans="1:9" x14ac:dyDescent="0.25">
      <c r="A12" t="s">
        <v>7706</v>
      </c>
      <c r="B12" t="s">
        <v>3518</v>
      </c>
      <c r="C12" t="s">
        <v>2155</v>
      </c>
      <c r="D12" t="s">
        <v>4065</v>
      </c>
      <c r="E12" t="s">
        <v>7673</v>
      </c>
      <c r="F12">
        <v>3</v>
      </c>
      <c r="G12" t="s">
        <v>7714</v>
      </c>
      <c r="H12" t="s">
        <v>7729</v>
      </c>
      <c r="I12" t="s">
        <v>3467</v>
      </c>
    </row>
    <row r="13" spans="1:9" x14ac:dyDescent="0.25">
      <c r="A13" t="s">
        <v>3741</v>
      </c>
      <c r="B13" t="s">
        <v>3742</v>
      </c>
      <c r="C13" t="s">
        <v>1796</v>
      </c>
      <c r="D13" t="s">
        <v>4065</v>
      </c>
      <c r="E13" t="s">
        <v>7672</v>
      </c>
      <c r="F13">
        <v>1</v>
      </c>
      <c r="G13" t="s">
        <v>3743</v>
      </c>
      <c r="H13" t="s">
        <v>7687</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3757</v>
      </c>
      <c r="D1" t="s">
        <v>7</v>
      </c>
      <c r="E1" t="s">
        <v>6</v>
      </c>
      <c r="F1" t="s">
        <v>4265</v>
      </c>
      <c r="G1" t="s">
        <v>4266</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4267</v>
      </c>
      <c r="B2" t="s">
        <v>160</v>
      </c>
      <c r="C2" t="s">
        <v>4268</v>
      </c>
      <c r="D2" t="s">
        <v>4269</v>
      </c>
      <c r="E2" t="s">
        <v>41</v>
      </c>
      <c r="L2" t="s">
        <v>4270</v>
      </c>
      <c r="N2" t="s">
        <v>4271</v>
      </c>
      <c r="O2" t="s">
        <v>49</v>
      </c>
      <c r="Q2" t="s">
        <v>4272</v>
      </c>
      <c r="R2" t="s">
        <v>3554</v>
      </c>
      <c r="U2" t="s">
        <v>4273</v>
      </c>
    </row>
    <row r="3" spans="1:37" x14ac:dyDescent="0.25">
      <c r="A3" t="s">
        <v>4274</v>
      </c>
      <c r="B3" t="s">
        <v>2620</v>
      </c>
      <c r="C3" t="s">
        <v>4268</v>
      </c>
      <c r="D3" t="s">
        <v>4275</v>
      </c>
      <c r="E3" t="s">
        <v>41</v>
      </c>
      <c r="G3" t="s">
        <v>187</v>
      </c>
      <c r="N3" t="s">
        <v>4276</v>
      </c>
      <c r="O3" t="s">
        <v>49</v>
      </c>
      <c r="Q3" t="s">
        <v>4277</v>
      </c>
      <c r="R3" t="s">
        <v>3554</v>
      </c>
      <c r="U3" t="s">
        <v>4278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4279</v>
      </c>
      <c r="B1" t="s">
        <v>1</v>
      </c>
      <c r="C1" t="s">
        <v>4280</v>
      </c>
      <c r="D1" t="s">
        <v>4281</v>
      </c>
      <c r="E1" t="s">
        <v>4282</v>
      </c>
      <c r="F1" t="s">
        <v>7</v>
      </c>
    </row>
    <row r="2" spans="1:6" x14ac:dyDescent="0.25">
      <c r="A2" t="s">
        <v>4283</v>
      </c>
      <c r="B2" t="s">
        <v>90</v>
      </c>
      <c r="C2" t="s">
        <v>4284</v>
      </c>
      <c r="D2" t="s">
        <v>4285</v>
      </c>
      <c r="E2" t="s">
        <v>3467</v>
      </c>
      <c r="F2" t="s">
        <v>4286</v>
      </c>
    </row>
    <row r="3" spans="1:6" x14ac:dyDescent="0.25">
      <c r="A3" t="s">
        <v>4287</v>
      </c>
      <c r="B3" t="s">
        <v>38</v>
      </c>
      <c r="C3" t="s">
        <v>4288</v>
      </c>
      <c r="D3" t="s">
        <v>4285</v>
      </c>
      <c r="E3">
        <v>3</v>
      </c>
      <c r="F3" t="s">
        <v>4287</v>
      </c>
    </row>
    <row r="4" spans="1:6" x14ac:dyDescent="0.25">
      <c r="A4" t="s">
        <v>4289</v>
      </c>
      <c r="B4" t="s">
        <v>38</v>
      </c>
      <c r="C4" t="s">
        <v>4290</v>
      </c>
      <c r="D4" t="s">
        <v>4285</v>
      </c>
      <c r="E4">
        <v>3</v>
      </c>
      <c r="F4" t="s">
        <v>4291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4292</v>
      </c>
      <c r="E1" t="s">
        <v>4293</v>
      </c>
      <c r="F1" t="s">
        <v>4294</v>
      </c>
    </row>
    <row r="2" spans="1:6" x14ac:dyDescent="0.25">
      <c r="A2" t="s">
        <v>4295</v>
      </c>
      <c r="B2" t="s">
        <v>4296</v>
      </c>
      <c r="C2" t="s">
        <v>4297</v>
      </c>
      <c r="E2" t="s">
        <v>4298</v>
      </c>
      <c r="F2" t="s">
        <v>4295</v>
      </c>
    </row>
    <row r="3" spans="1:6" x14ac:dyDescent="0.25">
      <c r="A3" t="s">
        <v>7652</v>
      </c>
      <c r="B3" t="s">
        <v>7655</v>
      </c>
      <c r="C3" t="s">
        <v>7689</v>
      </c>
      <c r="E3" t="s">
        <v>7656</v>
      </c>
      <c r="F3" t="s">
        <v>7652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4292</v>
      </c>
      <c r="F1" t="s">
        <v>3449</v>
      </c>
      <c r="G1" t="s">
        <v>4294</v>
      </c>
    </row>
    <row r="2" spans="1:7" x14ac:dyDescent="0.25">
      <c r="A2" t="s">
        <v>4299</v>
      </c>
      <c r="B2" t="s">
        <v>4300</v>
      </c>
      <c r="C2" t="s">
        <v>4301</v>
      </c>
      <c r="D2" t="s">
        <v>4302</v>
      </c>
      <c r="E2" t="s">
        <v>4303</v>
      </c>
      <c r="F2">
        <v>1</v>
      </c>
      <c r="G2" t="s">
        <v>4299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4304</v>
      </c>
      <c r="F1" t="s">
        <v>3512</v>
      </c>
      <c r="G1" t="s">
        <v>4305</v>
      </c>
      <c r="H1" t="s">
        <v>7</v>
      </c>
    </row>
    <row r="2" spans="1:8" x14ac:dyDescent="0.25">
      <c r="B2" t="s">
        <v>4306</v>
      </c>
      <c r="C2" t="s">
        <v>3759</v>
      </c>
      <c r="D2" t="s">
        <v>41</v>
      </c>
      <c r="E2" t="s">
        <v>4307</v>
      </c>
      <c r="F2" t="s">
        <v>3467</v>
      </c>
      <c r="G2" t="s">
        <v>4308</v>
      </c>
    </row>
    <row r="3" spans="1:8" x14ac:dyDescent="0.25">
      <c r="B3" t="s">
        <v>4306</v>
      </c>
      <c r="C3" t="s">
        <v>3796</v>
      </c>
      <c r="D3" t="s">
        <v>41</v>
      </c>
      <c r="E3" t="s">
        <v>4309</v>
      </c>
      <c r="G3" t="s">
        <v>4310</v>
      </c>
    </row>
    <row r="4" spans="1:8" x14ac:dyDescent="0.25">
      <c r="B4" t="s">
        <v>4306</v>
      </c>
      <c r="C4" t="s">
        <v>3811</v>
      </c>
      <c r="D4" t="s">
        <v>41</v>
      </c>
      <c r="E4" t="s">
        <v>4311</v>
      </c>
      <c r="G4" t="s">
        <v>4312</v>
      </c>
    </row>
    <row r="5" spans="1:8" x14ac:dyDescent="0.25">
      <c r="B5" t="s">
        <v>4313</v>
      </c>
      <c r="C5" t="s">
        <v>3759</v>
      </c>
      <c r="D5" t="s">
        <v>41</v>
      </c>
      <c r="E5" t="s">
        <v>4314</v>
      </c>
      <c r="F5" t="s">
        <v>3467</v>
      </c>
      <c r="G5" t="s">
        <v>4315</v>
      </c>
    </row>
    <row r="6" spans="1:8" x14ac:dyDescent="0.25">
      <c r="B6" t="s">
        <v>4313</v>
      </c>
      <c r="C6" t="s">
        <v>3796</v>
      </c>
      <c r="D6" t="s">
        <v>41</v>
      </c>
      <c r="E6" t="s">
        <v>4316</v>
      </c>
      <c r="G6" t="s">
        <v>4317</v>
      </c>
    </row>
    <row r="7" spans="1:8" x14ac:dyDescent="0.25">
      <c r="B7" t="s">
        <v>4313</v>
      </c>
      <c r="C7" t="s">
        <v>3811</v>
      </c>
      <c r="D7" t="s">
        <v>41</v>
      </c>
      <c r="E7" t="s">
        <v>4318</v>
      </c>
      <c r="G7" t="s">
        <v>4319</v>
      </c>
    </row>
    <row r="8" spans="1:8" x14ac:dyDescent="0.25">
      <c r="B8" t="s">
        <v>4320</v>
      </c>
      <c r="C8" t="s">
        <v>3759</v>
      </c>
      <c r="D8" t="s">
        <v>41</v>
      </c>
      <c r="E8" t="s">
        <v>4321</v>
      </c>
      <c r="F8" t="s">
        <v>3467</v>
      </c>
    </row>
    <row r="9" spans="1:8" x14ac:dyDescent="0.25">
      <c r="B9" t="s">
        <v>4320</v>
      </c>
      <c r="C9" t="s">
        <v>3796</v>
      </c>
      <c r="D9" t="s">
        <v>41</v>
      </c>
      <c r="E9" t="s">
        <v>4322</v>
      </c>
    </row>
    <row r="10" spans="1:8" x14ac:dyDescent="0.25">
      <c r="B10" t="s">
        <v>4320</v>
      </c>
      <c r="C10" t="s">
        <v>3811</v>
      </c>
      <c r="D10" t="s">
        <v>41</v>
      </c>
      <c r="E10" t="s">
        <v>4323</v>
      </c>
    </row>
    <row r="11" spans="1:8" x14ac:dyDescent="0.25">
      <c r="B11" t="s">
        <v>4320</v>
      </c>
      <c r="C11" t="s">
        <v>3937</v>
      </c>
      <c r="D11" t="s">
        <v>41</v>
      </c>
      <c r="E11" t="s">
        <v>4324</v>
      </c>
      <c r="G11" t="s">
        <v>4325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3751</v>
      </c>
      <c r="D1" t="s">
        <v>3754</v>
      </c>
      <c r="E1" t="s">
        <v>3755</v>
      </c>
      <c r="F1" t="s">
        <v>4326</v>
      </c>
      <c r="G1" t="s">
        <v>4265</v>
      </c>
      <c r="H1" t="s">
        <v>4327</v>
      </c>
      <c r="I1" t="s">
        <v>4328</v>
      </c>
    </row>
    <row r="2" spans="1:9" x14ac:dyDescent="0.25">
      <c r="A2" t="s">
        <v>4329</v>
      </c>
      <c r="B2" t="s">
        <v>2620</v>
      </c>
      <c r="C2" t="s">
        <v>3759</v>
      </c>
      <c r="D2" t="s">
        <v>3769</v>
      </c>
      <c r="E2" t="s">
        <v>4330</v>
      </c>
      <c r="F2" t="s">
        <v>3476</v>
      </c>
      <c r="G2" t="s">
        <v>4331</v>
      </c>
      <c r="H2" t="s">
        <v>4332</v>
      </c>
      <c r="I2" t="s">
        <v>3692</v>
      </c>
    </row>
    <row r="3" spans="1:9" x14ac:dyDescent="0.25">
      <c r="A3" t="s">
        <v>4333</v>
      </c>
      <c r="B3" t="s">
        <v>2620</v>
      </c>
      <c r="C3" t="s">
        <v>3759</v>
      </c>
      <c r="D3" t="s">
        <v>3761</v>
      </c>
      <c r="E3" t="s">
        <v>4334</v>
      </c>
      <c r="F3" t="s">
        <v>3476</v>
      </c>
      <c r="G3" t="s">
        <v>4331</v>
      </c>
      <c r="I3" t="s">
        <v>4335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7592</v>
      </c>
      <c r="B1" t="s">
        <v>7593</v>
      </c>
      <c r="C1" t="s">
        <v>7611</v>
      </c>
      <c r="D1" t="s">
        <v>7521</v>
      </c>
      <c r="E1" t="s">
        <v>7522</v>
      </c>
      <c r="F1" t="s">
        <v>7579</v>
      </c>
      <c r="G1" t="s">
        <v>7619</v>
      </c>
      <c r="H1" t="s">
        <v>7523</v>
      </c>
      <c r="I1" t="s">
        <v>7524</v>
      </c>
      <c r="J1" t="s">
        <v>7580</v>
      </c>
      <c r="K1" t="s">
        <v>7620</v>
      </c>
      <c r="L1" t="s">
        <v>7525</v>
      </c>
      <c r="M1" t="s">
        <v>7526</v>
      </c>
      <c r="N1" t="s">
        <v>7582</v>
      </c>
      <c r="O1" t="s">
        <v>7621</v>
      </c>
      <c r="P1" t="s">
        <v>7792</v>
      </c>
      <c r="Q1" t="s">
        <v>7793</v>
      </c>
      <c r="R1" t="s">
        <v>7794</v>
      </c>
      <c r="S1" t="s">
        <v>7795</v>
      </c>
      <c r="U1" t="s">
        <v>7601</v>
      </c>
      <c r="V1" t="s">
        <v>7796</v>
      </c>
      <c r="W1" t="s">
        <v>7622</v>
      </c>
    </row>
    <row r="2" spans="1:23" x14ac:dyDescent="0.25">
      <c r="A2" t="s">
        <v>7563</v>
      </c>
      <c r="B2" t="s">
        <v>7637</v>
      </c>
      <c r="C2" t="s">
        <v>4976</v>
      </c>
      <c r="D2" t="s">
        <v>7625</v>
      </c>
      <c r="E2" t="s">
        <v>7770</v>
      </c>
      <c r="F2" t="s">
        <v>7769</v>
      </c>
      <c r="G2" t="s">
        <v>7603</v>
      </c>
      <c r="U2" t="s">
        <v>3451</v>
      </c>
      <c r="V2" t="s">
        <v>7603</v>
      </c>
    </row>
    <row r="3" spans="1:23" x14ac:dyDescent="0.25">
      <c r="A3" t="s">
        <v>7542</v>
      </c>
      <c r="B3" t="s">
        <v>7637</v>
      </c>
      <c r="C3" t="s">
        <v>4976</v>
      </c>
      <c r="D3" t="s">
        <v>3697</v>
      </c>
      <c r="E3" t="s">
        <v>7815</v>
      </c>
      <c r="F3" t="s">
        <v>7769</v>
      </c>
      <c r="G3" t="s">
        <v>7603</v>
      </c>
      <c r="U3" t="s">
        <v>7587</v>
      </c>
      <c r="V3" t="s">
        <v>7603</v>
      </c>
      <c r="W3" t="s">
        <v>7633</v>
      </c>
    </row>
    <row r="4" spans="1:23" x14ac:dyDescent="0.25">
      <c r="A4" t="s">
        <v>7547</v>
      </c>
      <c r="B4" t="s">
        <v>7637</v>
      </c>
      <c r="C4" t="s">
        <v>4976</v>
      </c>
      <c r="D4" t="s">
        <v>3456</v>
      </c>
      <c r="E4" t="s">
        <v>7587</v>
      </c>
      <c r="F4" t="s">
        <v>7769</v>
      </c>
      <c r="G4" t="s">
        <v>7603</v>
      </c>
      <c r="U4" t="s">
        <v>7602</v>
      </c>
      <c r="V4" t="s">
        <v>7603</v>
      </c>
      <c r="W4" t="s">
        <v>3536</v>
      </c>
    </row>
    <row r="5" spans="1:23" x14ac:dyDescent="0.25">
      <c r="A5" t="s">
        <v>7549</v>
      </c>
      <c r="B5" t="s">
        <v>7637</v>
      </c>
      <c r="C5" t="s">
        <v>4976</v>
      </c>
      <c r="D5" t="s">
        <v>3594</v>
      </c>
      <c r="E5" t="s">
        <v>3450</v>
      </c>
      <c r="F5" t="s">
        <v>7769</v>
      </c>
      <c r="G5" t="s">
        <v>7603</v>
      </c>
      <c r="U5" t="s">
        <v>7783</v>
      </c>
      <c r="V5" t="s">
        <v>7603</v>
      </c>
      <c r="W5" t="s">
        <v>3449</v>
      </c>
    </row>
    <row r="6" spans="1:23" x14ac:dyDescent="0.25">
      <c r="A6" t="s">
        <v>7553</v>
      </c>
      <c r="B6" t="s">
        <v>7637</v>
      </c>
      <c r="C6" t="s">
        <v>4976</v>
      </c>
      <c r="D6" t="s">
        <v>3449</v>
      </c>
      <c r="E6" t="s">
        <v>7586</v>
      </c>
      <c r="F6" t="s">
        <v>7769</v>
      </c>
      <c r="G6" t="s">
        <v>7603</v>
      </c>
      <c r="U6" t="s">
        <v>7782</v>
      </c>
      <c r="V6" t="s">
        <v>7604</v>
      </c>
      <c r="W6" t="s">
        <v>3456</v>
      </c>
    </row>
    <row r="7" spans="1:23" x14ac:dyDescent="0.25">
      <c r="A7" t="s">
        <v>7559</v>
      </c>
      <c r="B7" t="s">
        <v>7637</v>
      </c>
      <c r="C7" t="s">
        <v>4976</v>
      </c>
      <c r="D7" t="s">
        <v>5458</v>
      </c>
      <c r="E7" t="s">
        <v>7771</v>
      </c>
      <c r="F7" t="s">
        <v>7769</v>
      </c>
      <c r="G7" t="s">
        <v>7603</v>
      </c>
      <c r="U7" t="s">
        <v>7771</v>
      </c>
      <c r="V7" t="s">
        <v>7603</v>
      </c>
      <c r="W7" t="s">
        <v>7624</v>
      </c>
    </row>
    <row r="8" spans="1:23" x14ac:dyDescent="0.25">
      <c r="A8" t="s">
        <v>3537</v>
      </c>
      <c r="B8" t="s">
        <v>7637</v>
      </c>
      <c r="C8" t="s">
        <v>4976</v>
      </c>
      <c r="D8" t="s">
        <v>7634</v>
      </c>
      <c r="E8" t="s">
        <v>7773</v>
      </c>
      <c r="F8" t="s">
        <v>7588</v>
      </c>
      <c r="G8" t="s">
        <v>7603</v>
      </c>
      <c r="U8" t="s">
        <v>7665</v>
      </c>
      <c r="V8" t="s">
        <v>7603</v>
      </c>
      <c r="W8" t="s">
        <v>7634</v>
      </c>
    </row>
    <row r="9" spans="1:23" x14ac:dyDescent="0.25">
      <c r="A9" t="s">
        <v>7765</v>
      </c>
      <c r="B9" t="s">
        <v>7637</v>
      </c>
      <c r="C9" t="s">
        <v>4976</v>
      </c>
      <c r="D9" t="s">
        <v>3605</v>
      </c>
      <c r="E9" t="s">
        <v>7623</v>
      </c>
      <c r="F9" t="s">
        <v>7769</v>
      </c>
      <c r="G9" t="s">
        <v>7603</v>
      </c>
      <c r="U9" t="s">
        <v>4279</v>
      </c>
      <c r="V9" t="s">
        <v>7604</v>
      </c>
      <c r="W9" t="s">
        <v>3450</v>
      </c>
    </row>
    <row r="10" spans="1:23" x14ac:dyDescent="0.25">
      <c r="A10" t="s">
        <v>7536</v>
      </c>
      <c r="B10" t="s">
        <v>7637</v>
      </c>
      <c r="C10" t="s">
        <v>4976</v>
      </c>
      <c r="D10" t="s">
        <v>3697</v>
      </c>
      <c r="E10" t="s">
        <v>7774</v>
      </c>
      <c r="F10" t="s">
        <v>7769</v>
      </c>
      <c r="G10" t="s">
        <v>7603</v>
      </c>
      <c r="U10" t="s">
        <v>3452</v>
      </c>
      <c r="V10" t="s">
        <v>7603</v>
      </c>
    </row>
    <row r="11" spans="1:23" x14ac:dyDescent="0.25">
      <c r="A11" t="s">
        <v>7556</v>
      </c>
      <c r="B11" t="s">
        <v>7637</v>
      </c>
      <c r="C11" t="s">
        <v>4976</v>
      </c>
      <c r="D11" t="s">
        <v>3449</v>
      </c>
      <c r="E11" t="s">
        <v>7586</v>
      </c>
      <c r="F11" t="s">
        <v>7769</v>
      </c>
      <c r="G11" t="s">
        <v>7603</v>
      </c>
      <c r="U11" t="s">
        <v>7804</v>
      </c>
      <c r="V11" t="s">
        <v>7604</v>
      </c>
      <c r="W11" t="s">
        <v>7624</v>
      </c>
    </row>
    <row r="12" spans="1:23" x14ac:dyDescent="0.25">
      <c r="A12" t="s">
        <v>3694</v>
      </c>
      <c r="B12" t="s">
        <v>7637</v>
      </c>
      <c r="C12" t="s">
        <v>4976</v>
      </c>
      <c r="D12" t="s">
        <v>3697</v>
      </c>
      <c r="E12" t="s">
        <v>7775</v>
      </c>
      <c r="F12" t="s">
        <v>7769</v>
      </c>
      <c r="G12" t="s">
        <v>7603</v>
      </c>
      <c r="U12" t="s">
        <v>7666</v>
      </c>
      <c r="V12" t="s">
        <v>7603</v>
      </c>
      <c r="W12" t="s">
        <v>7625</v>
      </c>
    </row>
    <row r="13" spans="1:23" x14ac:dyDescent="0.25">
      <c r="A13" t="s">
        <v>7533</v>
      </c>
      <c r="B13" t="s">
        <v>7637</v>
      </c>
      <c r="C13" t="s">
        <v>4976</v>
      </c>
      <c r="D13" t="s">
        <v>7634</v>
      </c>
      <c r="E13" t="s">
        <v>7773</v>
      </c>
      <c r="F13" t="s">
        <v>7769</v>
      </c>
      <c r="G13" t="s">
        <v>7603</v>
      </c>
      <c r="U13" t="s">
        <v>7666</v>
      </c>
      <c r="V13" t="s">
        <v>7603</v>
      </c>
      <c r="W13" t="s">
        <v>3605</v>
      </c>
    </row>
    <row r="14" spans="1:23" x14ac:dyDescent="0.25">
      <c r="A14" t="s">
        <v>7534</v>
      </c>
      <c r="B14" t="s">
        <v>7637</v>
      </c>
      <c r="C14" t="s">
        <v>4976</v>
      </c>
      <c r="D14" t="s">
        <v>3449</v>
      </c>
      <c r="E14" t="s">
        <v>7586</v>
      </c>
      <c r="F14" t="s">
        <v>7769</v>
      </c>
      <c r="G14" t="s">
        <v>7603</v>
      </c>
      <c r="U14" t="s">
        <v>7778</v>
      </c>
      <c r="V14" t="s">
        <v>7604</v>
      </c>
    </row>
    <row r="15" spans="1:23" x14ac:dyDescent="0.25">
      <c r="A15" t="s">
        <v>7539</v>
      </c>
      <c r="B15" t="s">
        <v>7637</v>
      </c>
      <c r="C15" t="s">
        <v>4976</v>
      </c>
      <c r="D15" t="s">
        <v>7635</v>
      </c>
      <c r="E15" t="s">
        <v>7630</v>
      </c>
      <c r="F15" t="s">
        <v>7769</v>
      </c>
      <c r="G15" t="s">
        <v>7603</v>
      </c>
      <c r="U15" t="s">
        <v>7805</v>
      </c>
      <c r="V15" t="s">
        <v>7604</v>
      </c>
      <c r="W15" t="s">
        <v>3605</v>
      </c>
    </row>
    <row r="16" spans="1:23" x14ac:dyDescent="0.25">
      <c r="A16" t="s">
        <v>7476</v>
      </c>
      <c r="B16" t="s">
        <v>7581</v>
      </c>
      <c r="C16" t="s">
        <v>7806</v>
      </c>
      <c r="D16" t="s">
        <v>7784</v>
      </c>
      <c r="E16" t="s">
        <v>7615</v>
      </c>
      <c r="F16" t="s">
        <v>7598</v>
      </c>
      <c r="G16" t="s">
        <v>7603</v>
      </c>
      <c r="U16" t="s">
        <v>7614</v>
      </c>
      <c r="V16" t="s">
        <v>7604</v>
      </c>
      <c r="W16" t="s">
        <v>7589</v>
      </c>
    </row>
    <row r="17" spans="1:23" x14ac:dyDescent="0.25">
      <c r="A17" t="s">
        <v>7507</v>
      </c>
      <c r="B17" t="s">
        <v>7581</v>
      </c>
      <c r="C17" t="s">
        <v>7806</v>
      </c>
      <c r="D17" t="s">
        <v>7636</v>
      </c>
      <c r="E17" t="s">
        <v>7807</v>
      </c>
      <c r="F17" t="s">
        <v>7618</v>
      </c>
      <c r="G17" t="s">
        <v>7604</v>
      </c>
      <c r="U17" t="s">
        <v>7807</v>
      </c>
      <c r="V17" t="s">
        <v>7603</v>
      </c>
      <c r="W17" t="s">
        <v>4042</v>
      </c>
    </row>
    <row r="18" spans="1:23" x14ac:dyDescent="0.25">
      <c r="A18" t="s">
        <v>7466</v>
      </c>
      <c r="B18" t="s">
        <v>7581</v>
      </c>
      <c r="C18" t="s">
        <v>7806</v>
      </c>
      <c r="D18" t="s">
        <v>5557</v>
      </c>
      <c r="E18" t="s">
        <v>7810</v>
      </c>
      <c r="F18" t="s">
        <v>7816</v>
      </c>
      <c r="G18" t="s">
        <v>7603</v>
      </c>
      <c r="U18" t="s">
        <v>7606</v>
      </c>
      <c r="V18" t="s">
        <v>7603</v>
      </c>
      <c r="W18" t="s">
        <v>7591</v>
      </c>
    </row>
    <row r="19" spans="1:23" x14ac:dyDescent="0.25">
      <c r="A19" t="s">
        <v>7436</v>
      </c>
      <c r="B19" t="s">
        <v>7581</v>
      </c>
      <c r="C19" t="s">
        <v>7806</v>
      </c>
      <c r="D19" t="s">
        <v>5557</v>
      </c>
      <c r="E19" t="s">
        <v>7804</v>
      </c>
      <c r="F19" t="s">
        <v>7811</v>
      </c>
      <c r="G19" t="s">
        <v>7603</v>
      </c>
      <c r="U19" t="s">
        <v>7615</v>
      </c>
      <c r="V19" t="s">
        <v>7603</v>
      </c>
      <c r="W19" t="s">
        <v>5458</v>
      </c>
    </row>
    <row r="20" spans="1:23" x14ac:dyDescent="0.25">
      <c r="A20" t="s">
        <v>7431</v>
      </c>
      <c r="B20" t="s">
        <v>7581</v>
      </c>
      <c r="C20" t="s">
        <v>7806</v>
      </c>
      <c r="D20" t="s">
        <v>3605</v>
      </c>
      <c r="E20" t="s">
        <v>7626</v>
      </c>
      <c r="F20" t="s">
        <v>7817</v>
      </c>
      <c r="G20" t="s">
        <v>7604</v>
      </c>
      <c r="U20" t="s">
        <v>7617</v>
      </c>
      <c r="V20" t="s">
        <v>7603</v>
      </c>
      <c r="W20" t="s">
        <v>7668</v>
      </c>
    </row>
    <row r="21" spans="1:23" x14ac:dyDescent="0.25">
      <c r="A21" t="s">
        <v>7483</v>
      </c>
      <c r="B21" t="s">
        <v>7581</v>
      </c>
      <c r="C21" t="s">
        <v>7806</v>
      </c>
      <c r="D21" t="s">
        <v>7818</v>
      </c>
      <c r="E21" t="s">
        <v>7819</v>
      </c>
      <c r="F21" t="s">
        <v>7817</v>
      </c>
      <c r="G21" t="s">
        <v>7603</v>
      </c>
      <c r="U21" t="s">
        <v>3450</v>
      </c>
      <c r="V21" t="s">
        <v>7603</v>
      </c>
    </row>
    <row r="22" spans="1:23" x14ac:dyDescent="0.25">
      <c r="A22" t="s">
        <v>7740</v>
      </c>
      <c r="B22" t="s">
        <v>7581</v>
      </c>
      <c r="C22" t="s">
        <v>7806</v>
      </c>
      <c r="D22" t="s">
        <v>3449</v>
      </c>
      <c r="E22" t="s">
        <v>7528</v>
      </c>
      <c r="F22" t="s">
        <v>7817</v>
      </c>
      <c r="G22" t="s">
        <v>7604</v>
      </c>
      <c r="U22" t="s">
        <v>7670</v>
      </c>
      <c r="V22" t="s">
        <v>7603</v>
      </c>
    </row>
    <row r="23" spans="1:23" x14ac:dyDescent="0.25">
      <c r="A23" t="s">
        <v>7743</v>
      </c>
      <c r="B23" t="s">
        <v>7581</v>
      </c>
      <c r="C23" t="s">
        <v>7806</v>
      </c>
      <c r="D23" t="s">
        <v>7636</v>
      </c>
      <c r="E23" t="s">
        <v>7778</v>
      </c>
      <c r="F23" t="s">
        <v>7811</v>
      </c>
      <c r="G23" t="s">
        <v>7603</v>
      </c>
      <c r="H23" t="s">
        <v>3605</v>
      </c>
      <c r="I23" t="s">
        <v>7626</v>
      </c>
      <c r="J23" t="s">
        <v>7598</v>
      </c>
      <c r="K23" t="s">
        <v>7603</v>
      </c>
      <c r="L23" t="s">
        <v>3594</v>
      </c>
      <c r="M23" t="s">
        <v>3450</v>
      </c>
      <c r="N23" t="s">
        <v>7598</v>
      </c>
      <c r="O23" t="s">
        <v>7603</v>
      </c>
      <c r="P23" t="s">
        <v>7627</v>
      </c>
      <c r="Q23" t="s">
        <v>7820</v>
      </c>
      <c r="R23" t="s">
        <v>7811</v>
      </c>
      <c r="S23" t="s">
        <v>7603</v>
      </c>
      <c r="U23" t="s">
        <v>7640</v>
      </c>
      <c r="V23" t="s">
        <v>7604</v>
      </c>
    </row>
    <row r="24" spans="1:23" x14ac:dyDescent="0.25">
      <c r="A24" t="s">
        <v>5236</v>
      </c>
      <c r="B24" t="s">
        <v>7581</v>
      </c>
      <c r="C24" t="s">
        <v>7806</v>
      </c>
      <c r="D24" t="s">
        <v>7636</v>
      </c>
      <c r="E24" t="s">
        <v>7805</v>
      </c>
      <c r="F24" t="s">
        <v>7811</v>
      </c>
      <c r="G24" t="s">
        <v>7604</v>
      </c>
      <c r="U24" t="s">
        <v>7641</v>
      </c>
      <c r="V24" t="s">
        <v>7603</v>
      </c>
    </row>
    <row r="25" spans="1:23" x14ac:dyDescent="0.25">
      <c r="A25" t="s">
        <v>7422</v>
      </c>
      <c r="B25" t="s">
        <v>7581</v>
      </c>
      <c r="C25" t="s">
        <v>7806</v>
      </c>
      <c r="D25" t="s">
        <v>5557</v>
      </c>
      <c r="E25" t="s">
        <v>7783</v>
      </c>
      <c r="F25" t="s">
        <v>7816</v>
      </c>
      <c r="G25" t="s">
        <v>7604</v>
      </c>
      <c r="U25" t="s">
        <v>7586</v>
      </c>
      <c r="V25" t="s">
        <v>7603</v>
      </c>
    </row>
    <row r="26" spans="1:23" x14ac:dyDescent="0.25">
      <c r="A26" t="s">
        <v>1323</v>
      </c>
      <c r="B26" t="s">
        <v>7581</v>
      </c>
      <c r="C26" t="s">
        <v>7806</v>
      </c>
      <c r="D26" t="s">
        <v>5557</v>
      </c>
      <c r="E26" t="s">
        <v>7804</v>
      </c>
      <c r="F26" t="s">
        <v>7581</v>
      </c>
      <c r="G26" t="s">
        <v>7603</v>
      </c>
      <c r="I26" t="s">
        <v>7803</v>
      </c>
      <c r="U26" t="s">
        <v>7596</v>
      </c>
      <c r="V26" t="s">
        <v>7603</v>
      </c>
    </row>
    <row r="27" spans="1:23" x14ac:dyDescent="0.25">
      <c r="A27" t="s">
        <v>7444</v>
      </c>
      <c r="B27" t="s">
        <v>7581</v>
      </c>
      <c r="C27" t="s">
        <v>7806</v>
      </c>
      <c r="D27" t="s">
        <v>7627</v>
      </c>
      <c r="E27" t="s">
        <v>4279</v>
      </c>
      <c r="F27" t="s">
        <v>7817</v>
      </c>
      <c r="G27" t="s">
        <v>7603</v>
      </c>
      <c r="U27" t="s">
        <v>7770</v>
      </c>
      <c r="V27" t="s">
        <v>7603</v>
      </c>
    </row>
    <row r="28" spans="1:23" x14ac:dyDescent="0.25">
      <c r="A28" t="s">
        <v>7459</v>
      </c>
      <c r="B28" t="s">
        <v>7581</v>
      </c>
      <c r="C28" t="s">
        <v>7806</v>
      </c>
      <c r="D28" t="s">
        <v>3467</v>
      </c>
      <c r="U28" t="s">
        <v>3459</v>
      </c>
      <c r="V28" t="s">
        <v>7603</v>
      </c>
    </row>
    <row r="29" spans="1:23" x14ac:dyDescent="0.25">
      <c r="A29" t="s">
        <v>7457</v>
      </c>
      <c r="B29" t="s">
        <v>7581</v>
      </c>
      <c r="C29" t="s">
        <v>7806</v>
      </c>
      <c r="D29" t="s">
        <v>7636</v>
      </c>
      <c r="E29" t="s">
        <v>7778</v>
      </c>
      <c r="F29" t="s">
        <v>7811</v>
      </c>
      <c r="G29" t="s">
        <v>7603</v>
      </c>
      <c r="H29" t="s">
        <v>3605</v>
      </c>
      <c r="I29" t="s">
        <v>7626</v>
      </c>
      <c r="J29" t="s">
        <v>7598</v>
      </c>
      <c r="K29" t="s">
        <v>7603</v>
      </c>
      <c r="L29" t="s">
        <v>3594</v>
      </c>
      <c r="M29" t="s">
        <v>3450</v>
      </c>
      <c r="N29" t="s">
        <v>7598</v>
      </c>
      <c r="O29" t="s">
        <v>7603</v>
      </c>
      <c r="P29" t="s">
        <v>7627</v>
      </c>
      <c r="Q29" t="s">
        <v>7820</v>
      </c>
      <c r="R29" t="s">
        <v>7811</v>
      </c>
      <c r="S29" t="s">
        <v>7603</v>
      </c>
      <c r="U29" t="s">
        <v>7626</v>
      </c>
      <c r="V29" t="s">
        <v>7603</v>
      </c>
    </row>
    <row r="30" spans="1:23" x14ac:dyDescent="0.25">
      <c r="A30" t="s">
        <v>7440</v>
      </c>
      <c r="B30" t="s">
        <v>7581</v>
      </c>
      <c r="C30" t="s">
        <v>7806</v>
      </c>
      <c r="D30" t="s">
        <v>7636</v>
      </c>
      <c r="E30" t="s">
        <v>7807</v>
      </c>
      <c r="F30" t="s">
        <v>7816</v>
      </c>
      <c r="G30" t="s">
        <v>7603</v>
      </c>
      <c r="U30" t="s">
        <v>7623</v>
      </c>
      <c r="V30" t="s">
        <v>7603</v>
      </c>
    </row>
    <row r="31" spans="1:23" x14ac:dyDescent="0.25">
      <c r="A31" t="s">
        <v>7487</v>
      </c>
      <c r="B31" t="s">
        <v>7581</v>
      </c>
      <c r="C31" t="s">
        <v>7806</v>
      </c>
      <c r="D31" t="s">
        <v>5557</v>
      </c>
      <c r="E31" t="s">
        <v>7812</v>
      </c>
      <c r="F31" t="s">
        <v>7817</v>
      </c>
      <c r="G31" t="s">
        <v>7603</v>
      </c>
      <c r="U31" t="s">
        <v>5712</v>
      </c>
      <c r="V31" t="s">
        <v>7603</v>
      </c>
    </row>
    <row r="32" spans="1:23" x14ac:dyDescent="0.25">
      <c r="A32" t="s">
        <v>7432</v>
      </c>
      <c r="B32" t="s">
        <v>7581</v>
      </c>
      <c r="C32" t="s">
        <v>7806</v>
      </c>
      <c r="D32" t="s">
        <v>7636</v>
      </c>
      <c r="E32" t="s">
        <v>7813</v>
      </c>
      <c r="F32" t="s">
        <v>7581</v>
      </c>
      <c r="G32" t="s">
        <v>7604</v>
      </c>
      <c r="U32" t="s">
        <v>7528</v>
      </c>
      <c r="V32" t="s">
        <v>7603</v>
      </c>
    </row>
    <row r="33" spans="1:22" x14ac:dyDescent="0.25">
      <c r="A33" t="s">
        <v>7446</v>
      </c>
      <c r="B33" t="s">
        <v>7581</v>
      </c>
      <c r="C33" t="s">
        <v>7806</v>
      </c>
      <c r="D33" t="s">
        <v>7627</v>
      </c>
      <c r="E33" t="s">
        <v>4279</v>
      </c>
      <c r="F33" t="s">
        <v>7817</v>
      </c>
      <c r="G33" t="s">
        <v>7603</v>
      </c>
      <c r="U33" t="s">
        <v>7630</v>
      </c>
      <c r="V33" t="s">
        <v>7603</v>
      </c>
    </row>
    <row r="34" spans="1:22" x14ac:dyDescent="0.25">
      <c r="A34" t="s">
        <v>7428</v>
      </c>
      <c r="B34" t="s">
        <v>7581</v>
      </c>
      <c r="C34" t="s">
        <v>7806</v>
      </c>
      <c r="D34" t="s">
        <v>5557</v>
      </c>
      <c r="E34" t="s">
        <v>7810</v>
      </c>
      <c r="F34" t="s">
        <v>7811</v>
      </c>
      <c r="G34" t="s">
        <v>7603</v>
      </c>
      <c r="U34" t="s">
        <v>7590</v>
      </c>
      <c r="V34" t="s">
        <v>7603</v>
      </c>
    </row>
    <row r="35" spans="1:22" x14ac:dyDescent="0.25">
      <c r="A35" t="s">
        <v>7421</v>
      </c>
      <c r="B35" t="s">
        <v>7581</v>
      </c>
      <c r="C35" t="s">
        <v>7806</v>
      </c>
      <c r="D35" t="s">
        <v>7636</v>
      </c>
      <c r="E35" t="s">
        <v>7778</v>
      </c>
      <c r="F35" t="s">
        <v>7811</v>
      </c>
      <c r="G35" t="s">
        <v>7603</v>
      </c>
      <c r="H35" t="s">
        <v>3605</v>
      </c>
      <c r="I35" t="s">
        <v>7626</v>
      </c>
      <c r="J35" t="s">
        <v>7598</v>
      </c>
      <c r="K35" t="s">
        <v>7603</v>
      </c>
      <c r="L35" t="s">
        <v>3594</v>
      </c>
      <c r="M35" t="s">
        <v>3450</v>
      </c>
      <c r="N35" t="s">
        <v>7598</v>
      </c>
      <c r="O35" t="s">
        <v>7603</v>
      </c>
      <c r="P35" t="s">
        <v>7627</v>
      </c>
      <c r="Q35" t="s">
        <v>7820</v>
      </c>
      <c r="R35" t="s">
        <v>7811</v>
      </c>
      <c r="S35" t="s">
        <v>7603</v>
      </c>
      <c r="U35" t="s">
        <v>7597</v>
      </c>
      <c r="V35" t="s">
        <v>7603</v>
      </c>
    </row>
    <row r="36" spans="1:22" x14ac:dyDescent="0.25">
      <c r="A36" t="s">
        <v>7419</v>
      </c>
      <c r="B36" t="s">
        <v>7581</v>
      </c>
      <c r="C36" t="s">
        <v>7806</v>
      </c>
      <c r="D36" t="s">
        <v>7636</v>
      </c>
      <c r="E36" t="s">
        <v>7778</v>
      </c>
      <c r="F36" t="s">
        <v>7811</v>
      </c>
      <c r="G36" t="s">
        <v>7603</v>
      </c>
      <c r="H36" t="s">
        <v>3605</v>
      </c>
      <c r="I36" t="s">
        <v>7626</v>
      </c>
      <c r="J36" t="s">
        <v>7598</v>
      </c>
      <c r="K36" t="s">
        <v>7603</v>
      </c>
      <c r="L36" t="s">
        <v>3594</v>
      </c>
      <c r="M36" t="s">
        <v>3450</v>
      </c>
      <c r="N36" t="s">
        <v>7598</v>
      </c>
      <c r="O36" t="s">
        <v>7603</v>
      </c>
      <c r="P36" t="s">
        <v>7627</v>
      </c>
      <c r="Q36" t="s">
        <v>7820</v>
      </c>
      <c r="R36" t="s">
        <v>7811</v>
      </c>
      <c r="S36" t="s">
        <v>7603</v>
      </c>
      <c r="U36" t="s">
        <v>7650</v>
      </c>
      <c r="V36" t="s">
        <v>7603</v>
      </c>
    </row>
    <row r="37" spans="1:22" x14ac:dyDescent="0.25">
      <c r="A37" t="s">
        <v>7435</v>
      </c>
      <c r="B37" t="s">
        <v>7581</v>
      </c>
      <c r="C37" t="s">
        <v>7806</v>
      </c>
      <c r="D37" t="s">
        <v>7636</v>
      </c>
      <c r="E37" t="s">
        <v>7811</v>
      </c>
      <c r="F37" t="s">
        <v>7821</v>
      </c>
      <c r="G37" t="s">
        <v>7603</v>
      </c>
      <c r="U37" t="s">
        <v>7649</v>
      </c>
      <c r="V37" t="s">
        <v>7603</v>
      </c>
    </row>
    <row r="38" spans="1:22" x14ac:dyDescent="0.25">
      <c r="A38" t="s">
        <v>5483</v>
      </c>
      <c r="B38" t="s">
        <v>7581</v>
      </c>
      <c r="C38" t="s">
        <v>7806</v>
      </c>
      <c r="D38" t="s">
        <v>7636</v>
      </c>
      <c r="E38" t="s">
        <v>7814</v>
      </c>
      <c r="F38" t="s">
        <v>7816</v>
      </c>
      <c r="G38" t="s">
        <v>7603</v>
      </c>
      <c r="U38" t="s">
        <v>7785</v>
      </c>
      <c r="V38" t="s">
        <v>7603</v>
      </c>
    </row>
    <row r="39" spans="1:22" x14ac:dyDescent="0.25">
      <c r="A39" t="s">
        <v>5296</v>
      </c>
      <c r="B39" t="s">
        <v>7581</v>
      </c>
      <c r="C39" t="s">
        <v>7806</v>
      </c>
      <c r="D39" t="s">
        <v>5557</v>
      </c>
      <c r="E39" t="s">
        <v>7643</v>
      </c>
      <c r="F39" t="s">
        <v>7811</v>
      </c>
      <c r="G39" t="s">
        <v>7603</v>
      </c>
      <c r="U39" t="s">
        <v>3455</v>
      </c>
      <c r="V39" t="s">
        <v>7603</v>
      </c>
    </row>
    <row r="40" spans="1:22" x14ac:dyDescent="0.25">
      <c r="A40" t="s">
        <v>7485</v>
      </c>
      <c r="B40" t="s">
        <v>7581</v>
      </c>
      <c r="C40" t="s">
        <v>7806</v>
      </c>
      <c r="D40" t="s">
        <v>7636</v>
      </c>
      <c r="E40" t="s">
        <v>7805</v>
      </c>
      <c r="F40" t="s">
        <v>7811</v>
      </c>
      <c r="G40" t="s">
        <v>7604</v>
      </c>
      <c r="U40" t="s">
        <v>7773</v>
      </c>
      <c r="V40" t="s">
        <v>7603</v>
      </c>
    </row>
    <row r="41" spans="1:22" x14ac:dyDescent="0.25">
      <c r="A41" t="s">
        <v>5310</v>
      </c>
      <c r="B41" t="s">
        <v>7581</v>
      </c>
      <c r="C41" t="s">
        <v>7806</v>
      </c>
      <c r="D41" t="s">
        <v>7636</v>
      </c>
      <c r="E41" t="s">
        <v>7778</v>
      </c>
      <c r="F41" t="s">
        <v>7598</v>
      </c>
      <c r="G41" t="s">
        <v>7603</v>
      </c>
      <c r="H41" t="s">
        <v>3605</v>
      </c>
      <c r="I41" t="s">
        <v>7626</v>
      </c>
      <c r="J41" t="s">
        <v>7598</v>
      </c>
      <c r="K41" t="s">
        <v>7603</v>
      </c>
      <c r="L41" t="s">
        <v>3594</v>
      </c>
      <c r="M41" t="s">
        <v>3450</v>
      </c>
      <c r="N41" t="s">
        <v>7598</v>
      </c>
      <c r="O41" t="s">
        <v>7603</v>
      </c>
      <c r="P41" t="s">
        <v>7627</v>
      </c>
      <c r="Q41" t="s">
        <v>7820</v>
      </c>
      <c r="R41" t="s">
        <v>7598</v>
      </c>
      <c r="S41" t="s">
        <v>7603</v>
      </c>
      <c r="U41" t="s">
        <v>7802</v>
      </c>
      <c r="V41" t="s">
        <v>7604</v>
      </c>
    </row>
    <row r="42" spans="1:22" x14ac:dyDescent="0.25">
      <c r="A42" t="s">
        <v>7426</v>
      </c>
      <c r="B42" t="s">
        <v>7581</v>
      </c>
      <c r="C42" t="s">
        <v>7806</v>
      </c>
      <c r="D42" t="s">
        <v>7636</v>
      </c>
      <c r="E42" t="s">
        <v>7805</v>
      </c>
      <c r="F42" t="s">
        <v>7581</v>
      </c>
      <c r="G42" t="s">
        <v>7603</v>
      </c>
      <c r="U42" t="s">
        <v>7803</v>
      </c>
      <c r="V42" t="s">
        <v>7604</v>
      </c>
    </row>
    <row r="43" spans="1:22" x14ac:dyDescent="0.25">
      <c r="A43" t="s">
        <v>7434</v>
      </c>
      <c r="B43" t="s">
        <v>7581</v>
      </c>
      <c r="C43" t="s">
        <v>7806</v>
      </c>
      <c r="D43" t="s">
        <v>7625</v>
      </c>
      <c r="E43" t="s">
        <v>7596</v>
      </c>
      <c r="F43" t="s">
        <v>7817</v>
      </c>
      <c r="G43" t="s">
        <v>7604</v>
      </c>
      <c r="H43" t="s">
        <v>3605</v>
      </c>
      <c r="I43" t="s">
        <v>7626</v>
      </c>
      <c r="J43" t="s">
        <v>7817</v>
      </c>
      <c r="K43" t="s">
        <v>7604</v>
      </c>
      <c r="L43" t="s">
        <v>3594</v>
      </c>
      <c r="M43" t="s">
        <v>3450</v>
      </c>
      <c r="N43" t="s">
        <v>7817</v>
      </c>
      <c r="O43" t="s">
        <v>7604</v>
      </c>
      <c r="U43" t="s">
        <v>7664</v>
      </c>
      <c r="V43" t="s">
        <v>7603</v>
      </c>
    </row>
    <row r="44" spans="1:22" x14ac:dyDescent="0.25">
      <c r="A44" t="s">
        <v>7414</v>
      </c>
      <c r="B44" t="s">
        <v>7581</v>
      </c>
      <c r="C44" t="s">
        <v>7806</v>
      </c>
      <c r="D44" t="s">
        <v>7636</v>
      </c>
      <c r="E44" t="s">
        <v>7807</v>
      </c>
      <c r="F44" t="s">
        <v>7811</v>
      </c>
      <c r="G44" t="s">
        <v>7603</v>
      </c>
      <c r="U44" t="s">
        <v>7643</v>
      </c>
      <c r="V44" t="s">
        <v>7604</v>
      </c>
    </row>
    <row r="45" spans="1:22" x14ac:dyDescent="0.25">
      <c r="A45" t="s">
        <v>7464</v>
      </c>
      <c r="B45" t="s">
        <v>7581</v>
      </c>
      <c r="C45" t="s">
        <v>7806</v>
      </c>
      <c r="D45" t="s">
        <v>7636</v>
      </c>
      <c r="E45" t="s">
        <v>7778</v>
      </c>
      <c r="F45" t="s">
        <v>7598</v>
      </c>
      <c r="G45" t="s">
        <v>7603</v>
      </c>
      <c r="U45" t="s">
        <v>7642</v>
      </c>
      <c r="V45" t="s">
        <v>7603</v>
      </c>
    </row>
    <row r="46" spans="1:22" x14ac:dyDescent="0.25">
      <c r="A46" t="s">
        <v>159</v>
      </c>
      <c r="B46" t="s">
        <v>7629</v>
      </c>
      <c r="C46" t="s">
        <v>0</v>
      </c>
      <c r="D46" t="s">
        <v>7635</v>
      </c>
      <c r="E46" t="s">
        <v>7630</v>
      </c>
      <c r="F46" t="s">
        <v>7631</v>
      </c>
      <c r="G46" t="s">
        <v>7603</v>
      </c>
      <c r="U46" t="s">
        <v>7779</v>
      </c>
      <c r="V46" t="s">
        <v>7603</v>
      </c>
    </row>
    <row r="47" spans="1:22" x14ac:dyDescent="0.25">
      <c r="A47" t="s">
        <v>3517</v>
      </c>
      <c r="B47" t="s">
        <v>7594</v>
      </c>
      <c r="C47" t="s">
        <v>7527</v>
      </c>
      <c r="D47" t="s">
        <v>3449</v>
      </c>
      <c r="E47" t="s">
        <v>7528</v>
      </c>
      <c r="F47" t="s">
        <v>7781</v>
      </c>
      <c r="G47" t="s">
        <v>7603</v>
      </c>
      <c r="H47" t="s">
        <v>3449</v>
      </c>
      <c r="I47" t="s">
        <v>7586</v>
      </c>
      <c r="J47" t="s">
        <v>7781</v>
      </c>
      <c r="K47" t="s">
        <v>7603</v>
      </c>
      <c r="L47" t="s">
        <v>7636</v>
      </c>
      <c r="M47" t="s">
        <v>7614</v>
      </c>
      <c r="N47" t="s">
        <v>7581</v>
      </c>
      <c r="O47" t="s">
        <v>7603</v>
      </c>
      <c r="U47" t="s">
        <v>7774</v>
      </c>
      <c r="V47" t="s">
        <v>7603</v>
      </c>
    </row>
    <row r="48" spans="1:22" x14ac:dyDescent="0.25">
      <c r="A48" t="s">
        <v>3524</v>
      </c>
      <c r="B48" t="s">
        <v>7594</v>
      </c>
      <c r="C48" t="s">
        <v>7527</v>
      </c>
      <c r="D48" t="s">
        <v>7634</v>
      </c>
      <c r="E48" t="s">
        <v>7772</v>
      </c>
      <c r="F48" t="s">
        <v>7583</v>
      </c>
      <c r="G48" t="s">
        <v>7603</v>
      </c>
      <c r="U48" t="s">
        <v>7780</v>
      </c>
      <c r="V48" t="s">
        <v>7603</v>
      </c>
    </row>
    <row r="49" spans="1:22" x14ac:dyDescent="0.25">
      <c r="A49" t="s">
        <v>3529</v>
      </c>
      <c r="B49" t="s">
        <v>7594</v>
      </c>
      <c r="C49" t="s">
        <v>7527</v>
      </c>
      <c r="D49" t="s">
        <v>3536</v>
      </c>
      <c r="E49" t="s">
        <v>3451</v>
      </c>
      <c r="F49" t="s">
        <v>7781</v>
      </c>
      <c r="G49" t="s">
        <v>7603</v>
      </c>
      <c r="U49" t="s">
        <v>7775</v>
      </c>
      <c r="V49" t="s">
        <v>7603</v>
      </c>
    </row>
    <row r="50" spans="1:22" x14ac:dyDescent="0.25">
      <c r="A50" t="s">
        <v>3538</v>
      </c>
      <c r="B50" t="s">
        <v>7594</v>
      </c>
      <c r="C50" t="s">
        <v>7527</v>
      </c>
      <c r="D50" t="s">
        <v>5557</v>
      </c>
      <c r="E50" t="s">
        <v>7664</v>
      </c>
      <c r="F50" t="s">
        <v>3539</v>
      </c>
      <c r="G50" t="s">
        <v>7603</v>
      </c>
      <c r="H50" t="s">
        <v>7625</v>
      </c>
      <c r="I50" t="s">
        <v>7596</v>
      </c>
      <c r="J50" t="s">
        <v>7584</v>
      </c>
      <c r="K50" t="s">
        <v>7604</v>
      </c>
      <c r="U50" t="s">
        <v>7815</v>
      </c>
      <c r="V50" t="s">
        <v>7604</v>
      </c>
    </row>
    <row r="51" spans="1:22" x14ac:dyDescent="0.25">
      <c r="A51" t="s">
        <v>3544</v>
      </c>
      <c r="B51" t="s">
        <v>7609</v>
      </c>
      <c r="C51" t="s">
        <v>7527</v>
      </c>
      <c r="D51" t="s">
        <v>3449</v>
      </c>
      <c r="E51" t="s">
        <v>7528</v>
      </c>
      <c r="F51" t="s">
        <v>7781</v>
      </c>
      <c r="G51" t="s">
        <v>7603</v>
      </c>
      <c r="H51" t="s">
        <v>3449</v>
      </c>
      <c r="I51" t="s">
        <v>7586</v>
      </c>
      <c r="J51" t="s">
        <v>7781</v>
      </c>
      <c r="K51" t="s">
        <v>7603</v>
      </c>
      <c r="U51" t="s">
        <v>7772</v>
      </c>
      <c r="V51" t="s">
        <v>7603</v>
      </c>
    </row>
    <row r="52" spans="1:22" x14ac:dyDescent="0.25">
      <c r="A52" t="s">
        <v>3549</v>
      </c>
      <c r="B52" t="s">
        <v>7594</v>
      </c>
      <c r="C52" t="s">
        <v>7527</v>
      </c>
      <c r="D52" t="s">
        <v>3456</v>
      </c>
      <c r="E52" t="s">
        <v>7587</v>
      </c>
      <c r="F52" t="s">
        <v>7781</v>
      </c>
      <c r="G52" t="s">
        <v>7603</v>
      </c>
      <c r="H52" t="s">
        <v>3449</v>
      </c>
      <c r="I52" t="s">
        <v>7586</v>
      </c>
      <c r="J52" t="s">
        <v>7585</v>
      </c>
      <c r="K52" t="s">
        <v>7603</v>
      </c>
      <c r="U52" t="s">
        <v>3454</v>
      </c>
      <c r="V52" t="s">
        <v>7603</v>
      </c>
    </row>
    <row r="53" spans="1:22" x14ac:dyDescent="0.25">
      <c r="A53" t="s">
        <v>3555</v>
      </c>
      <c r="B53" t="s">
        <v>7594</v>
      </c>
      <c r="C53" t="s">
        <v>7527</v>
      </c>
      <c r="D53" t="s">
        <v>3456</v>
      </c>
      <c r="E53" t="s">
        <v>7587</v>
      </c>
      <c r="F53" t="s">
        <v>7781</v>
      </c>
      <c r="G53" t="s">
        <v>7603</v>
      </c>
      <c r="H53" t="s">
        <v>3456</v>
      </c>
      <c r="I53" t="s">
        <v>7602</v>
      </c>
      <c r="J53" t="s">
        <v>3539</v>
      </c>
      <c r="K53" t="s">
        <v>7603</v>
      </c>
      <c r="U53" t="s">
        <v>7662</v>
      </c>
      <c r="V53" t="s">
        <v>7603</v>
      </c>
    </row>
    <row r="54" spans="1:22" x14ac:dyDescent="0.25">
      <c r="A54" t="s">
        <v>3478</v>
      </c>
      <c r="B54" t="s">
        <v>3563</v>
      </c>
      <c r="C54" t="s">
        <v>7527</v>
      </c>
      <c r="D54" t="s">
        <v>3449</v>
      </c>
      <c r="E54" t="s">
        <v>7586</v>
      </c>
      <c r="F54" t="s">
        <v>7588</v>
      </c>
      <c r="G54" t="s">
        <v>7603</v>
      </c>
      <c r="U54" t="s">
        <v>7777</v>
      </c>
      <c r="V54" t="s">
        <v>7603</v>
      </c>
    </row>
    <row r="55" spans="1:22" x14ac:dyDescent="0.25">
      <c r="A55" t="s">
        <v>3567</v>
      </c>
      <c r="B55" t="s">
        <v>7594</v>
      </c>
      <c r="C55" t="s">
        <v>7527</v>
      </c>
      <c r="D55" t="s">
        <v>5557</v>
      </c>
      <c r="E55" t="s">
        <v>7664</v>
      </c>
      <c r="F55" t="s">
        <v>3539</v>
      </c>
      <c r="G55" t="s">
        <v>7603</v>
      </c>
      <c r="H55" t="s">
        <v>7589</v>
      </c>
      <c r="I55" t="s">
        <v>7590</v>
      </c>
      <c r="J55" t="s">
        <v>7781</v>
      </c>
      <c r="K55" t="s">
        <v>7603</v>
      </c>
      <c r="U55" t="s">
        <v>7806</v>
      </c>
      <c r="V55" t="s">
        <v>7604</v>
      </c>
    </row>
    <row r="56" spans="1:22" x14ac:dyDescent="0.25">
      <c r="A56" t="s">
        <v>3574</v>
      </c>
      <c r="B56" t="s">
        <v>7595</v>
      </c>
      <c r="C56" t="s">
        <v>7527</v>
      </c>
      <c r="D56" t="s">
        <v>7627</v>
      </c>
      <c r="E56" t="s">
        <v>4279</v>
      </c>
      <c r="F56" t="s">
        <v>7781</v>
      </c>
      <c r="G56" t="s">
        <v>7603</v>
      </c>
      <c r="H56" t="s">
        <v>7625</v>
      </c>
      <c r="I56" t="s">
        <v>7596</v>
      </c>
      <c r="J56" t="s">
        <v>7781</v>
      </c>
      <c r="K56" t="s">
        <v>7603</v>
      </c>
      <c r="U56" t="s">
        <v>7639</v>
      </c>
      <c r="V56" t="s">
        <v>7603</v>
      </c>
    </row>
    <row r="57" spans="1:22" x14ac:dyDescent="0.25">
      <c r="A57" t="s">
        <v>7395</v>
      </c>
      <c r="B57" t="s">
        <v>7594</v>
      </c>
      <c r="C57" t="s">
        <v>7527</v>
      </c>
      <c r="D57" t="s">
        <v>7591</v>
      </c>
      <c r="E57" t="s">
        <v>7597</v>
      </c>
      <c r="F57" t="s">
        <v>7781</v>
      </c>
      <c r="G57" t="s">
        <v>7603</v>
      </c>
      <c r="U57" t="s">
        <v>7810</v>
      </c>
      <c r="V57" t="s">
        <v>7604</v>
      </c>
    </row>
    <row r="58" spans="1:22" x14ac:dyDescent="0.25">
      <c r="A58" t="s">
        <v>3580</v>
      </c>
      <c r="B58" t="s">
        <v>7594</v>
      </c>
      <c r="C58" t="s">
        <v>7527</v>
      </c>
      <c r="D58" t="s">
        <v>3449</v>
      </c>
      <c r="E58" t="s">
        <v>7586</v>
      </c>
      <c r="F58" t="s">
        <v>7598</v>
      </c>
      <c r="G58" t="s">
        <v>7603</v>
      </c>
      <c r="U58" t="s">
        <v>7812</v>
      </c>
      <c r="V58" t="s">
        <v>7604</v>
      </c>
    </row>
    <row r="59" spans="1:22" x14ac:dyDescent="0.25">
      <c r="A59" t="s">
        <v>3586</v>
      </c>
      <c r="B59" t="s">
        <v>7594</v>
      </c>
      <c r="C59" t="s">
        <v>7527</v>
      </c>
      <c r="D59" t="s">
        <v>3536</v>
      </c>
      <c r="E59" t="s">
        <v>5712</v>
      </c>
      <c r="F59" t="s">
        <v>3539</v>
      </c>
      <c r="G59" t="s">
        <v>7603</v>
      </c>
      <c r="U59" t="s">
        <v>7813</v>
      </c>
      <c r="V59" t="s">
        <v>7603</v>
      </c>
    </row>
    <row r="60" spans="1:22" x14ac:dyDescent="0.25">
      <c r="A60" t="s">
        <v>3590</v>
      </c>
      <c r="B60" t="s">
        <v>7594</v>
      </c>
      <c r="C60" t="s">
        <v>7527</v>
      </c>
      <c r="D60" t="s">
        <v>7627</v>
      </c>
      <c r="E60" t="s">
        <v>3459</v>
      </c>
      <c r="F60" t="s">
        <v>7600</v>
      </c>
      <c r="G60" t="s">
        <v>7603</v>
      </c>
      <c r="U60" t="s">
        <v>7811</v>
      </c>
      <c r="V60" t="s">
        <v>7604</v>
      </c>
    </row>
    <row r="61" spans="1:22" x14ac:dyDescent="0.25">
      <c r="A61" t="s">
        <v>3595</v>
      </c>
      <c r="B61" t="s">
        <v>7594</v>
      </c>
      <c r="C61" t="s">
        <v>7527</v>
      </c>
      <c r="D61" t="s">
        <v>7636</v>
      </c>
      <c r="E61" t="s">
        <v>7606</v>
      </c>
      <c r="F61" t="s">
        <v>7605</v>
      </c>
      <c r="G61" t="s">
        <v>7603</v>
      </c>
      <c r="U61" t="s">
        <v>7814</v>
      </c>
      <c r="V61" t="s">
        <v>7604</v>
      </c>
    </row>
    <row r="62" spans="1:22" x14ac:dyDescent="0.25">
      <c r="A62" t="s">
        <v>3483</v>
      </c>
      <c r="B62" t="s">
        <v>7599</v>
      </c>
      <c r="C62" t="s">
        <v>7527</v>
      </c>
      <c r="D62" t="s">
        <v>3536</v>
      </c>
      <c r="E62" t="s">
        <v>3455</v>
      </c>
      <c r="F62" t="s">
        <v>7605</v>
      </c>
      <c r="G62" t="s">
        <v>7603</v>
      </c>
      <c r="U62" t="s">
        <v>7819</v>
      </c>
      <c r="V62" t="s">
        <v>7604</v>
      </c>
    </row>
    <row r="63" spans="1:22" x14ac:dyDescent="0.25">
      <c r="A63" t="s">
        <v>3601</v>
      </c>
      <c r="B63" t="s">
        <v>7594</v>
      </c>
      <c r="C63" t="s">
        <v>7527</v>
      </c>
      <c r="D63" t="s">
        <v>3605</v>
      </c>
      <c r="E63" t="s">
        <v>7623</v>
      </c>
      <c r="F63" t="s">
        <v>7607</v>
      </c>
      <c r="G63" t="s">
        <v>7603</v>
      </c>
      <c r="U63" t="s">
        <v>7820</v>
      </c>
      <c r="V63" t="s">
        <v>7604</v>
      </c>
    </row>
    <row r="64" spans="1:22" x14ac:dyDescent="0.25">
      <c r="A64" t="s">
        <v>3606</v>
      </c>
      <c r="B64" t="s">
        <v>7594</v>
      </c>
      <c r="C64" t="s">
        <v>7527</v>
      </c>
      <c r="D64" t="s">
        <v>3536</v>
      </c>
      <c r="E64" t="s">
        <v>5712</v>
      </c>
      <c r="F64" t="s">
        <v>3539</v>
      </c>
      <c r="G64" t="s">
        <v>7603</v>
      </c>
      <c r="H64" t="s">
        <v>7625</v>
      </c>
      <c r="I64" t="s">
        <v>7596</v>
      </c>
      <c r="J64" t="s">
        <v>7584</v>
      </c>
      <c r="K64" t="s">
        <v>7604</v>
      </c>
    </row>
    <row r="65" spans="1:11" x14ac:dyDescent="0.25">
      <c r="A65" t="s">
        <v>131</v>
      </c>
      <c r="B65" t="s">
        <v>7608</v>
      </c>
      <c r="C65" t="s">
        <v>7527</v>
      </c>
      <c r="D65" t="s">
        <v>3594</v>
      </c>
      <c r="E65" t="s">
        <v>3450</v>
      </c>
      <c r="F65" t="s">
        <v>7598</v>
      </c>
      <c r="G65" t="s">
        <v>7603</v>
      </c>
    </row>
    <row r="66" spans="1:11" x14ac:dyDescent="0.25">
      <c r="A66" t="s">
        <v>3614</v>
      </c>
      <c r="B66" t="s">
        <v>7594</v>
      </c>
      <c r="C66" t="s">
        <v>7527</v>
      </c>
      <c r="D66" t="s">
        <v>3449</v>
      </c>
      <c r="E66" t="s">
        <v>7528</v>
      </c>
      <c r="F66" t="s">
        <v>7781</v>
      </c>
      <c r="G66" t="s">
        <v>7603</v>
      </c>
    </row>
    <row r="67" spans="1:11" x14ac:dyDescent="0.25">
      <c r="A67" t="s">
        <v>3618</v>
      </c>
      <c r="B67" t="s">
        <v>7594</v>
      </c>
      <c r="C67" t="s">
        <v>7527</v>
      </c>
      <c r="D67" t="s">
        <v>3456</v>
      </c>
      <c r="E67" t="s">
        <v>7587</v>
      </c>
      <c r="F67" t="s">
        <v>7781</v>
      </c>
      <c r="G67" t="s">
        <v>7603</v>
      </c>
      <c r="H67" t="s">
        <v>7784</v>
      </c>
      <c r="I67" t="s">
        <v>7615</v>
      </c>
      <c r="J67" t="s">
        <v>7585</v>
      </c>
      <c r="K67" t="s">
        <v>7603</v>
      </c>
    </row>
    <row r="68" spans="1:11" x14ac:dyDescent="0.25">
      <c r="A68" t="s">
        <v>3622</v>
      </c>
      <c r="B68" t="s">
        <v>7609</v>
      </c>
      <c r="C68" t="s">
        <v>7527</v>
      </c>
      <c r="D68" t="s">
        <v>3449</v>
      </c>
      <c r="E68" t="s">
        <v>7586</v>
      </c>
      <c r="F68" t="s">
        <v>7781</v>
      </c>
      <c r="G68" t="s">
        <v>7604</v>
      </c>
      <c r="H68" t="s">
        <v>3594</v>
      </c>
      <c r="I68" t="s">
        <v>3450</v>
      </c>
      <c r="J68" t="s">
        <v>7605</v>
      </c>
      <c r="K68" t="s">
        <v>7603</v>
      </c>
    </row>
    <row r="69" spans="1:11" x14ac:dyDescent="0.25">
      <c r="A69" t="s">
        <v>3627</v>
      </c>
      <c r="B69" t="s">
        <v>7594</v>
      </c>
      <c r="C69" t="s">
        <v>7527</v>
      </c>
      <c r="D69" t="s">
        <v>3599</v>
      </c>
      <c r="E69" t="s">
        <v>7617</v>
      </c>
      <c r="F69" t="s">
        <v>7588</v>
      </c>
      <c r="G69" t="s">
        <v>7603</v>
      </c>
    </row>
    <row r="70" spans="1:11" x14ac:dyDescent="0.25">
      <c r="A70" t="s">
        <v>3630</v>
      </c>
      <c r="B70" t="s">
        <v>7595</v>
      </c>
      <c r="C70" t="s">
        <v>7527</v>
      </c>
      <c r="D70" t="s">
        <v>7625</v>
      </c>
      <c r="E70" t="s">
        <v>7596</v>
      </c>
      <c r="F70" t="s">
        <v>7638</v>
      </c>
      <c r="G70" t="s">
        <v>7603</v>
      </c>
    </row>
    <row r="71" spans="1:11" x14ac:dyDescent="0.25">
      <c r="A71" t="s">
        <v>3635</v>
      </c>
      <c r="B71" t="s">
        <v>7594</v>
      </c>
      <c r="C71" t="s">
        <v>7527</v>
      </c>
      <c r="D71" t="s">
        <v>3536</v>
      </c>
      <c r="E71" t="s">
        <v>5712</v>
      </c>
      <c r="F71" t="s">
        <v>3539</v>
      </c>
      <c r="G71" t="s">
        <v>7603</v>
      </c>
      <c r="H71" t="s">
        <v>7589</v>
      </c>
      <c r="I71" t="s">
        <v>7639</v>
      </c>
      <c r="J71" t="s">
        <v>3539</v>
      </c>
      <c r="K71" t="s">
        <v>7603</v>
      </c>
    </row>
    <row r="72" spans="1:11" x14ac:dyDescent="0.25">
      <c r="A72" t="s">
        <v>3640</v>
      </c>
      <c r="B72" t="s">
        <v>7594</v>
      </c>
      <c r="C72" t="s">
        <v>7527</v>
      </c>
      <c r="D72" t="s">
        <v>3536</v>
      </c>
      <c r="E72" t="s">
        <v>5712</v>
      </c>
      <c r="F72" t="s">
        <v>3539</v>
      </c>
      <c r="G72" t="s">
        <v>7603</v>
      </c>
      <c r="H72" t="s">
        <v>7625</v>
      </c>
      <c r="I72" t="s">
        <v>7596</v>
      </c>
      <c r="J72" t="s">
        <v>7584</v>
      </c>
      <c r="K72" t="s">
        <v>7604</v>
      </c>
    </row>
    <row r="73" spans="1:11" x14ac:dyDescent="0.25">
      <c r="A73" t="s">
        <v>3645</v>
      </c>
      <c r="B73" t="s">
        <v>7594</v>
      </c>
      <c r="C73" t="s">
        <v>7527</v>
      </c>
      <c r="D73" t="s">
        <v>3449</v>
      </c>
      <c r="E73" t="s">
        <v>7528</v>
      </c>
      <c r="F73" t="s">
        <v>7781</v>
      </c>
      <c r="G73" t="s">
        <v>7603</v>
      </c>
      <c r="H73" t="s">
        <v>3449</v>
      </c>
      <c r="I73" t="s">
        <v>7586</v>
      </c>
      <c r="J73" t="s">
        <v>7781</v>
      </c>
      <c r="K73" t="s">
        <v>7603</v>
      </c>
    </row>
    <row r="74" spans="1:11" x14ac:dyDescent="0.25">
      <c r="A74" t="s">
        <v>3648</v>
      </c>
      <c r="B74" t="s">
        <v>7594</v>
      </c>
      <c r="C74" t="s">
        <v>7527</v>
      </c>
      <c r="D74" t="s">
        <v>3449</v>
      </c>
      <c r="E74" t="s">
        <v>7528</v>
      </c>
      <c r="F74" t="s">
        <v>7781</v>
      </c>
      <c r="G74" t="s">
        <v>7603</v>
      </c>
      <c r="H74" t="s">
        <v>3449</v>
      </c>
      <c r="I74" t="s">
        <v>7586</v>
      </c>
      <c r="J74" t="s">
        <v>7781</v>
      </c>
      <c r="K74" t="s">
        <v>7603</v>
      </c>
    </row>
    <row r="75" spans="1:11" x14ac:dyDescent="0.25">
      <c r="A75" t="s">
        <v>3652</v>
      </c>
      <c r="B75" t="s">
        <v>7594</v>
      </c>
      <c r="C75" t="s">
        <v>7527</v>
      </c>
      <c r="D75" t="s">
        <v>3449</v>
      </c>
      <c r="E75" t="s">
        <v>7586</v>
      </c>
      <c r="F75" t="s">
        <v>7588</v>
      </c>
      <c r="G75" t="s">
        <v>7603</v>
      </c>
    </row>
    <row r="76" spans="1:11" x14ac:dyDescent="0.25">
      <c r="A76" t="s">
        <v>3657</v>
      </c>
      <c r="B76" t="s">
        <v>7594</v>
      </c>
      <c r="C76" t="s">
        <v>7527</v>
      </c>
      <c r="D76" t="s">
        <v>3599</v>
      </c>
      <c r="E76" t="s">
        <v>7640</v>
      </c>
      <c r="F76" t="s">
        <v>7781</v>
      </c>
      <c r="G76" t="s">
        <v>7603</v>
      </c>
      <c r="H76" t="s">
        <v>3599</v>
      </c>
      <c r="I76" t="s">
        <v>7641</v>
      </c>
      <c r="J76" t="s">
        <v>7781</v>
      </c>
      <c r="K76" t="s">
        <v>7603</v>
      </c>
    </row>
    <row r="77" spans="1:11" x14ac:dyDescent="0.25">
      <c r="A77" t="s">
        <v>3662</v>
      </c>
      <c r="B77" t="s">
        <v>7594</v>
      </c>
      <c r="C77" t="s">
        <v>7527</v>
      </c>
      <c r="D77" t="s">
        <v>7589</v>
      </c>
      <c r="E77" t="s">
        <v>7590</v>
      </c>
      <c r="F77" t="s">
        <v>7605</v>
      </c>
      <c r="G77" t="s">
        <v>7603</v>
      </c>
    </row>
    <row r="78" spans="1:11" x14ac:dyDescent="0.25">
      <c r="A78" t="s">
        <v>3667</v>
      </c>
      <c r="B78" t="s">
        <v>7594</v>
      </c>
      <c r="C78" t="s">
        <v>7527</v>
      </c>
      <c r="D78" t="s">
        <v>7589</v>
      </c>
      <c r="E78" t="s">
        <v>7590</v>
      </c>
      <c r="F78" t="s">
        <v>7781</v>
      </c>
      <c r="G78" t="s">
        <v>7603</v>
      </c>
    </row>
    <row r="79" spans="1:11" x14ac:dyDescent="0.25">
      <c r="A79" t="s">
        <v>3672</v>
      </c>
      <c r="B79" t="s">
        <v>7594</v>
      </c>
      <c r="C79" t="s">
        <v>7527</v>
      </c>
      <c r="D79" t="s">
        <v>5557</v>
      </c>
      <c r="E79" t="s">
        <v>7666</v>
      </c>
      <c r="F79" t="s">
        <v>3539</v>
      </c>
      <c r="G79" t="s">
        <v>7603</v>
      </c>
    </row>
    <row r="80" spans="1:11" x14ac:dyDescent="0.25">
      <c r="A80" t="s">
        <v>4779</v>
      </c>
      <c r="B80" t="s">
        <v>7594</v>
      </c>
      <c r="C80" t="s">
        <v>7527</v>
      </c>
      <c r="D80" t="s">
        <v>3594</v>
      </c>
      <c r="E80" t="s">
        <v>3450</v>
      </c>
      <c r="F80" t="s">
        <v>7781</v>
      </c>
      <c r="G80" t="s">
        <v>7603</v>
      </c>
    </row>
    <row r="81" spans="1:15" x14ac:dyDescent="0.25">
      <c r="A81" t="s">
        <v>3678</v>
      </c>
      <c r="B81" t="s">
        <v>7595</v>
      </c>
      <c r="C81" t="s">
        <v>7527</v>
      </c>
      <c r="D81" t="s">
        <v>5557</v>
      </c>
      <c r="E81" t="s">
        <v>7643</v>
      </c>
      <c r="F81" t="s">
        <v>3539</v>
      </c>
      <c r="G81" t="s">
        <v>7603</v>
      </c>
      <c r="H81" t="s">
        <v>3599</v>
      </c>
      <c r="I81" t="s">
        <v>7641</v>
      </c>
      <c r="J81" t="s">
        <v>7781</v>
      </c>
      <c r="K81" t="s">
        <v>7603</v>
      </c>
    </row>
    <row r="82" spans="1:15" x14ac:dyDescent="0.25">
      <c r="A82" t="s">
        <v>3682</v>
      </c>
      <c r="B82" t="s">
        <v>7594</v>
      </c>
      <c r="C82" t="s">
        <v>7527</v>
      </c>
      <c r="D82" t="s">
        <v>3594</v>
      </c>
      <c r="E82" t="s">
        <v>3450</v>
      </c>
      <c r="F82" t="s">
        <v>7644</v>
      </c>
      <c r="G82" t="s">
        <v>7603</v>
      </c>
    </row>
    <row r="83" spans="1:15" x14ac:dyDescent="0.25">
      <c r="A83" t="s">
        <v>3495</v>
      </c>
      <c r="B83" t="s">
        <v>7645</v>
      </c>
      <c r="C83" t="s">
        <v>7527</v>
      </c>
      <c r="D83" t="s">
        <v>3449</v>
      </c>
      <c r="E83" t="s">
        <v>7586</v>
      </c>
      <c r="F83" t="s">
        <v>7588</v>
      </c>
      <c r="G83" t="s">
        <v>7603</v>
      </c>
    </row>
    <row r="84" spans="1:15" x14ac:dyDescent="0.25">
      <c r="A84" t="s">
        <v>3688</v>
      </c>
      <c r="B84" t="s">
        <v>7594</v>
      </c>
      <c r="C84" t="s">
        <v>7527</v>
      </c>
      <c r="D84" t="s">
        <v>7784</v>
      </c>
      <c r="E84" t="s">
        <v>7615</v>
      </c>
      <c r="F84" t="s">
        <v>7605</v>
      </c>
      <c r="G84" t="s">
        <v>7603</v>
      </c>
    </row>
    <row r="85" spans="1:15" x14ac:dyDescent="0.25">
      <c r="A85" t="s">
        <v>7397</v>
      </c>
      <c r="B85" t="s">
        <v>7594</v>
      </c>
      <c r="C85" t="s">
        <v>7527</v>
      </c>
      <c r="D85" t="s">
        <v>5557</v>
      </c>
      <c r="E85" t="s">
        <v>7642</v>
      </c>
      <c r="F85" t="s">
        <v>7646</v>
      </c>
      <c r="G85" t="s">
        <v>7603</v>
      </c>
    </row>
    <row r="86" spans="1:15" x14ac:dyDescent="0.25">
      <c r="A86" t="s">
        <v>7406</v>
      </c>
      <c r="B86" t="s">
        <v>7594</v>
      </c>
      <c r="C86" t="s">
        <v>7527</v>
      </c>
      <c r="D86" t="s">
        <v>7634</v>
      </c>
      <c r="E86" t="s">
        <v>7772</v>
      </c>
      <c r="F86" t="s">
        <v>7647</v>
      </c>
      <c r="G86" t="s">
        <v>7603</v>
      </c>
    </row>
    <row r="87" spans="1:15" x14ac:dyDescent="0.25">
      <c r="A87" t="s">
        <v>3698</v>
      </c>
      <c r="B87" t="s">
        <v>7595</v>
      </c>
      <c r="C87" t="s">
        <v>7527</v>
      </c>
      <c r="D87" t="s">
        <v>7648</v>
      </c>
      <c r="E87" t="s">
        <v>7649</v>
      </c>
      <c r="F87" t="s">
        <v>3539</v>
      </c>
      <c r="G87" t="s">
        <v>7604</v>
      </c>
      <c r="H87" t="s">
        <v>3599</v>
      </c>
      <c r="I87" t="s">
        <v>7641</v>
      </c>
      <c r="J87" t="s">
        <v>7781</v>
      </c>
      <c r="K87" t="s">
        <v>7603</v>
      </c>
    </row>
    <row r="88" spans="1:15" x14ac:dyDescent="0.25">
      <c r="A88" t="s">
        <v>3702</v>
      </c>
      <c r="B88" t="s">
        <v>7595</v>
      </c>
      <c r="C88" t="s">
        <v>7527</v>
      </c>
      <c r="D88" t="s">
        <v>7591</v>
      </c>
      <c r="E88" t="s">
        <v>7650</v>
      </c>
      <c r="F88" t="s">
        <v>3539</v>
      </c>
      <c r="G88" t="s">
        <v>7603</v>
      </c>
    </row>
    <row r="89" spans="1:15" x14ac:dyDescent="0.25">
      <c r="A89" t="s">
        <v>3707</v>
      </c>
      <c r="B89" t="s">
        <v>7594</v>
      </c>
      <c r="C89" t="s">
        <v>7527</v>
      </c>
      <c r="D89" t="s">
        <v>3536</v>
      </c>
      <c r="E89" t="s">
        <v>3454</v>
      </c>
      <c r="F89" t="s">
        <v>7651</v>
      </c>
      <c r="G89" t="s">
        <v>7603</v>
      </c>
    </row>
    <row r="90" spans="1:15" x14ac:dyDescent="0.25">
      <c r="A90" t="s">
        <v>3711</v>
      </c>
      <c r="B90" t="s">
        <v>7594</v>
      </c>
      <c r="C90" t="s">
        <v>7527</v>
      </c>
      <c r="D90" t="s">
        <v>7784</v>
      </c>
      <c r="E90" t="s">
        <v>7615</v>
      </c>
      <c r="F90" t="s">
        <v>7605</v>
      </c>
      <c r="G90" t="s">
        <v>7603</v>
      </c>
    </row>
    <row r="91" spans="1:15" x14ac:dyDescent="0.25">
      <c r="A91" t="s">
        <v>3716</v>
      </c>
      <c r="B91" t="s">
        <v>7594</v>
      </c>
      <c r="C91" t="s">
        <v>7527</v>
      </c>
      <c r="D91" t="s">
        <v>3456</v>
      </c>
      <c r="E91" t="s">
        <v>7587</v>
      </c>
      <c r="F91" t="s">
        <v>7781</v>
      </c>
      <c r="G91" t="s">
        <v>7603</v>
      </c>
      <c r="H91" t="s">
        <v>7784</v>
      </c>
      <c r="I91" t="s">
        <v>7662</v>
      </c>
      <c r="J91" t="s">
        <v>7585</v>
      </c>
      <c r="K91" t="s">
        <v>7603</v>
      </c>
    </row>
    <row r="92" spans="1:15" x14ac:dyDescent="0.25">
      <c r="A92" t="s">
        <v>3719</v>
      </c>
      <c r="B92" t="s">
        <v>7594</v>
      </c>
      <c r="C92" t="s">
        <v>7527</v>
      </c>
      <c r="D92" t="s">
        <v>3449</v>
      </c>
      <c r="E92" t="s">
        <v>7528</v>
      </c>
      <c r="F92" t="s">
        <v>7781</v>
      </c>
      <c r="G92" t="s">
        <v>7603</v>
      </c>
      <c r="H92" t="s">
        <v>3449</v>
      </c>
      <c r="I92" t="s">
        <v>7586</v>
      </c>
      <c r="J92" t="s">
        <v>7781</v>
      </c>
      <c r="K92" t="s">
        <v>7603</v>
      </c>
      <c r="L92" t="s">
        <v>3536</v>
      </c>
      <c r="M92" t="s">
        <v>3451</v>
      </c>
      <c r="N92" t="s">
        <v>7781</v>
      </c>
      <c r="O92" t="s">
        <v>7603</v>
      </c>
    </row>
    <row r="93" spans="1:15" x14ac:dyDescent="0.25">
      <c r="A93" t="s">
        <v>3724</v>
      </c>
      <c r="B93" t="s">
        <v>7594</v>
      </c>
      <c r="C93" t="s">
        <v>7527</v>
      </c>
      <c r="D93" t="s">
        <v>3536</v>
      </c>
      <c r="E93" t="s">
        <v>3451</v>
      </c>
      <c r="F93" t="s">
        <v>7781</v>
      </c>
      <c r="G93" t="s">
        <v>7603</v>
      </c>
      <c r="H93" t="s">
        <v>5557</v>
      </c>
      <c r="I93" t="s">
        <v>7664</v>
      </c>
      <c r="J93" t="s">
        <v>3539</v>
      </c>
      <c r="K93" t="s">
        <v>7603</v>
      </c>
    </row>
    <row r="94" spans="1:15" x14ac:dyDescent="0.25">
      <c r="A94" t="s">
        <v>3729</v>
      </c>
      <c r="B94" t="s">
        <v>7594</v>
      </c>
      <c r="C94" t="s">
        <v>7527</v>
      </c>
      <c r="D94" t="s">
        <v>7594</v>
      </c>
      <c r="E94" t="s">
        <v>7665</v>
      </c>
      <c r="F94" t="s">
        <v>3539</v>
      </c>
      <c r="G94" t="s">
        <v>7603</v>
      </c>
    </row>
    <row r="95" spans="1:15" x14ac:dyDescent="0.25">
      <c r="A95" t="s">
        <v>3733</v>
      </c>
      <c r="B95" t="s">
        <v>7594</v>
      </c>
      <c r="C95" t="s">
        <v>7527</v>
      </c>
      <c r="D95" t="s">
        <v>7625</v>
      </c>
      <c r="E95" t="s">
        <v>7596</v>
      </c>
      <c r="F95" t="s">
        <v>7629</v>
      </c>
      <c r="G95" t="s">
        <v>7603</v>
      </c>
    </row>
    <row r="96" spans="1:15" x14ac:dyDescent="0.25">
      <c r="A96" t="s">
        <v>3738</v>
      </c>
      <c r="B96" t="s">
        <v>7594</v>
      </c>
      <c r="C96" t="s">
        <v>7527</v>
      </c>
      <c r="D96" t="s">
        <v>5557</v>
      </c>
      <c r="E96" t="s">
        <v>7642</v>
      </c>
      <c r="F96" t="s">
        <v>3539</v>
      </c>
      <c r="G96" t="s">
        <v>7603</v>
      </c>
    </row>
    <row r="97" spans="1:15" x14ac:dyDescent="0.25">
      <c r="A97" t="s">
        <v>7400</v>
      </c>
      <c r="B97" t="s">
        <v>7594</v>
      </c>
      <c r="C97" t="s">
        <v>7527</v>
      </c>
      <c r="D97" t="s">
        <v>7591</v>
      </c>
      <c r="E97" t="s">
        <v>7597</v>
      </c>
      <c r="F97" t="s">
        <v>7629</v>
      </c>
      <c r="G97" t="s">
        <v>7603</v>
      </c>
    </row>
    <row r="98" spans="1:15" x14ac:dyDescent="0.25">
      <c r="A98" t="s">
        <v>3746</v>
      </c>
      <c r="B98" t="s">
        <v>7594</v>
      </c>
      <c r="C98" t="s">
        <v>7527</v>
      </c>
      <c r="D98" t="s">
        <v>3594</v>
      </c>
      <c r="E98" t="s">
        <v>3450</v>
      </c>
      <c r="F98" t="s">
        <v>7605</v>
      </c>
      <c r="G98" t="s">
        <v>7603</v>
      </c>
    </row>
    <row r="99" spans="1:15" x14ac:dyDescent="0.25">
      <c r="A99" t="s">
        <v>4267</v>
      </c>
      <c r="B99" t="s">
        <v>7809</v>
      </c>
      <c r="C99" t="s">
        <v>7613</v>
      </c>
      <c r="D99" t="s">
        <v>3594</v>
      </c>
      <c r="E99" t="s">
        <v>3450</v>
      </c>
      <c r="F99" t="s">
        <v>7632</v>
      </c>
      <c r="G99" t="s">
        <v>7603</v>
      </c>
      <c r="H99" t="s">
        <v>3449</v>
      </c>
      <c r="I99" t="s">
        <v>7586</v>
      </c>
      <c r="J99" t="s">
        <v>7628</v>
      </c>
      <c r="K99" t="s">
        <v>7604</v>
      </c>
      <c r="L99" t="s">
        <v>3449</v>
      </c>
      <c r="M99" t="s">
        <v>7586</v>
      </c>
      <c r="N99" t="s">
        <v>7585</v>
      </c>
      <c r="O99" t="s">
        <v>7603</v>
      </c>
    </row>
    <row r="100" spans="1:15" x14ac:dyDescent="0.25">
      <c r="A100" t="s">
        <v>4274</v>
      </c>
      <c r="B100" t="s">
        <v>7808</v>
      </c>
      <c r="C100" t="s">
        <v>7613</v>
      </c>
      <c r="D100" t="s">
        <v>3594</v>
      </c>
      <c r="E100" t="s">
        <v>3450</v>
      </c>
      <c r="F100" t="s">
        <v>7628</v>
      </c>
      <c r="G100" t="s">
        <v>7604</v>
      </c>
      <c r="H100" t="s">
        <v>3594</v>
      </c>
      <c r="I100" t="s">
        <v>3450</v>
      </c>
      <c r="J100" t="s">
        <v>7585</v>
      </c>
      <c r="K100" t="s">
        <v>7603</v>
      </c>
    </row>
    <row r="101" spans="1:15" x14ac:dyDescent="0.25">
      <c r="A101" t="s">
        <v>4164</v>
      </c>
      <c r="B101" t="s">
        <v>7637</v>
      </c>
      <c r="C101" t="s">
        <v>7578</v>
      </c>
      <c r="D101" t="s">
        <v>7667</v>
      </c>
      <c r="E101" t="s">
        <v>7785</v>
      </c>
      <c r="F101" t="s">
        <v>7786</v>
      </c>
      <c r="G101" t="s">
        <v>7603</v>
      </c>
    </row>
    <row r="102" spans="1:15" x14ac:dyDescent="0.25">
      <c r="A102" t="s">
        <v>4056</v>
      </c>
      <c r="B102" t="s">
        <v>7637</v>
      </c>
      <c r="C102" t="s">
        <v>7578</v>
      </c>
      <c r="D102" t="s">
        <v>7627</v>
      </c>
      <c r="E102" t="s">
        <v>4279</v>
      </c>
      <c r="F102" t="s">
        <v>7786</v>
      </c>
      <c r="G102" t="s">
        <v>7603</v>
      </c>
      <c r="H102" t="s">
        <v>3605</v>
      </c>
      <c r="I102" t="s">
        <v>7777</v>
      </c>
      <c r="J102" t="s">
        <v>7786</v>
      </c>
      <c r="K102" t="s">
        <v>7604</v>
      </c>
    </row>
    <row r="103" spans="1:15" x14ac:dyDescent="0.25">
      <c r="A103" t="s">
        <v>4175</v>
      </c>
      <c r="B103" t="s">
        <v>7637</v>
      </c>
      <c r="C103" t="s">
        <v>7578</v>
      </c>
      <c r="D103" t="s">
        <v>3449</v>
      </c>
      <c r="E103" t="s">
        <v>7586</v>
      </c>
      <c r="F103" t="s">
        <v>7786</v>
      </c>
      <c r="G103" t="s">
        <v>7604</v>
      </c>
    </row>
    <row r="104" spans="1:15" x14ac:dyDescent="0.25">
      <c r="A104" t="s">
        <v>4186</v>
      </c>
      <c r="B104" t="s">
        <v>7637</v>
      </c>
      <c r="C104" t="s">
        <v>7578</v>
      </c>
      <c r="D104" t="s">
        <v>7634</v>
      </c>
      <c r="E104" t="s">
        <v>7773</v>
      </c>
      <c r="F104" t="s">
        <v>7786</v>
      </c>
      <c r="G104" t="s">
        <v>7603</v>
      </c>
    </row>
    <row r="105" spans="1:15" x14ac:dyDescent="0.25">
      <c r="A105" t="s">
        <v>4181</v>
      </c>
      <c r="B105" t="s">
        <v>7637</v>
      </c>
      <c r="C105" t="s">
        <v>7578</v>
      </c>
      <c r="D105" t="s">
        <v>3449</v>
      </c>
      <c r="E105" t="s">
        <v>7586</v>
      </c>
      <c r="F105" t="s">
        <v>7786</v>
      </c>
      <c r="G105" t="s">
        <v>7603</v>
      </c>
    </row>
    <row r="106" spans="1:15" x14ac:dyDescent="0.25">
      <c r="A106" t="s">
        <v>4170</v>
      </c>
      <c r="B106" t="s">
        <v>7637</v>
      </c>
      <c r="C106" t="s">
        <v>7578</v>
      </c>
      <c r="D106" t="s">
        <v>3449</v>
      </c>
      <c r="E106" t="s">
        <v>7528</v>
      </c>
      <c r="F106" t="s">
        <v>7786</v>
      </c>
      <c r="G106" t="s">
        <v>7604</v>
      </c>
    </row>
    <row r="107" spans="1:15" x14ac:dyDescent="0.25">
      <c r="A107" t="s">
        <v>4167</v>
      </c>
      <c r="B107" t="s">
        <v>7637</v>
      </c>
      <c r="C107" t="s">
        <v>7578</v>
      </c>
      <c r="D107" t="s">
        <v>3449</v>
      </c>
      <c r="E107" t="s">
        <v>7528</v>
      </c>
      <c r="F107" t="s">
        <v>7786</v>
      </c>
      <c r="G107" t="s">
        <v>7603</v>
      </c>
    </row>
    <row r="108" spans="1:15" x14ac:dyDescent="0.25">
      <c r="A108" t="s">
        <v>4156</v>
      </c>
      <c r="B108" t="s">
        <v>7637</v>
      </c>
      <c r="C108" t="s">
        <v>7578</v>
      </c>
      <c r="D108" t="s">
        <v>3536</v>
      </c>
      <c r="E108" t="s">
        <v>5712</v>
      </c>
      <c r="F108" t="s">
        <v>7786</v>
      </c>
      <c r="G108" t="s">
        <v>7604</v>
      </c>
    </row>
    <row r="109" spans="1:15" x14ac:dyDescent="0.25">
      <c r="A109" t="s">
        <v>4152</v>
      </c>
      <c r="B109" t="s">
        <v>7637</v>
      </c>
      <c r="C109" t="s">
        <v>7578</v>
      </c>
      <c r="D109" t="s">
        <v>3536</v>
      </c>
      <c r="E109" t="s">
        <v>5712</v>
      </c>
      <c r="F109" t="s">
        <v>7786</v>
      </c>
      <c r="G109" t="s">
        <v>7603</v>
      </c>
    </row>
    <row r="110" spans="1:15" x14ac:dyDescent="0.25">
      <c r="A110" t="s">
        <v>4161</v>
      </c>
      <c r="B110" t="s">
        <v>7637</v>
      </c>
      <c r="C110" t="s">
        <v>7578</v>
      </c>
      <c r="D110" t="s">
        <v>3697</v>
      </c>
      <c r="E110" t="s">
        <v>7780</v>
      </c>
      <c r="F110" t="s">
        <v>7786</v>
      </c>
      <c r="G110" t="s">
        <v>7603</v>
      </c>
    </row>
    <row r="111" spans="1:15" x14ac:dyDescent="0.25">
      <c r="A111" t="s">
        <v>4197</v>
      </c>
      <c r="B111" t="s">
        <v>7637</v>
      </c>
      <c r="C111" t="s">
        <v>7790</v>
      </c>
      <c r="D111" t="s">
        <v>7634</v>
      </c>
      <c r="E111" t="s">
        <v>7773</v>
      </c>
      <c r="F111" t="s">
        <v>7646</v>
      </c>
      <c r="G111" t="s">
        <v>7603</v>
      </c>
      <c r="H111" t="s">
        <v>7636</v>
      </c>
      <c r="I111" t="s">
        <v>7802</v>
      </c>
      <c r="J111" t="s">
        <v>7801</v>
      </c>
      <c r="K111" t="s">
        <v>7603</v>
      </c>
    </row>
    <row r="112" spans="1:15" x14ac:dyDescent="0.25">
      <c r="A112" t="s">
        <v>4217</v>
      </c>
      <c r="B112" t="s">
        <v>7637</v>
      </c>
      <c r="C112" t="s">
        <v>7790</v>
      </c>
      <c r="D112" t="s">
        <v>5557</v>
      </c>
      <c r="E112" t="s">
        <v>7666</v>
      </c>
      <c r="F112" t="s">
        <v>7646</v>
      </c>
      <c r="G112" t="s">
        <v>7603</v>
      </c>
      <c r="H112" t="s">
        <v>5557</v>
      </c>
      <c r="I112" t="s">
        <v>7804</v>
      </c>
      <c r="J112" t="s">
        <v>7801</v>
      </c>
      <c r="K112" t="s">
        <v>7603</v>
      </c>
    </row>
    <row r="113" spans="1:19" x14ac:dyDescent="0.25">
      <c r="A113" t="s">
        <v>4229</v>
      </c>
      <c r="B113" t="s">
        <v>7637</v>
      </c>
      <c r="C113" t="s">
        <v>7790</v>
      </c>
      <c r="D113" t="s">
        <v>3449</v>
      </c>
      <c r="E113" t="s">
        <v>7586</v>
      </c>
      <c r="F113" t="s">
        <v>7646</v>
      </c>
      <c r="G113" t="s">
        <v>7604</v>
      </c>
      <c r="H113" t="s">
        <v>7636</v>
      </c>
      <c r="I113" t="s">
        <v>7805</v>
      </c>
      <c r="J113" t="s">
        <v>7801</v>
      </c>
      <c r="K113" t="s">
        <v>7604</v>
      </c>
    </row>
    <row r="114" spans="1:19" x14ac:dyDescent="0.25">
      <c r="A114" t="s">
        <v>4195</v>
      </c>
      <c r="B114" t="s">
        <v>7637</v>
      </c>
      <c r="C114" t="s">
        <v>7790</v>
      </c>
      <c r="D114" t="s">
        <v>5557</v>
      </c>
      <c r="E114" t="s">
        <v>7782</v>
      </c>
      <c r="F114" t="s">
        <v>7646</v>
      </c>
      <c r="G114" t="s">
        <v>7603</v>
      </c>
      <c r="H114" t="s">
        <v>5557</v>
      </c>
      <c r="I114" t="s">
        <v>7783</v>
      </c>
      <c r="J114" t="s">
        <v>7801</v>
      </c>
      <c r="K114" t="s">
        <v>7603</v>
      </c>
      <c r="L114" t="s">
        <v>7784</v>
      </c>
      <c r="M114" t="s">
        <v>7615</v>
      </c>
      <c r="N114" t="s">
        <v>7801</v>
      </c>
      <c r="O114" t="s">
        <v>7603</v>
      </c>
    </row>
    <row r="115" spans="1:19" x14ac:dyDescent="0.25">
      <c r="A115" t="s">
        <v>4207</v>
      </c>
      <c r="B115" t="s">
        <v>7637</v>
      </c>
      <c r="C115" t="s">
        <v>7790</v>
      </c>
      <c r="D115" t="s">
        <v>5557</v>
      </c>
      <c r="E115" t="s">
        <v>7642</v>
      </c>
      <c r="F115" t="s">
        <v>7646</v>
      </c>
      <c r="G115" t="s">
        <v>7603</v>
      </c>
      <c r="H115" t="s">
        <v>5557</v>
      </c>
      <c r="I115" t="s">
        <v>7643</v>
      </c>
      <c r="J115" t="s">
        <v>7801</v>
      </c>
      <c r="K115" t="s">
        <v>7603</v>
      </c>
    </row>
    <row r="116" spans="1:19" x14ac:dyDescent="0.25">
      <c r="A116" t="s">
        <v>4213</v>
      </c>
      <c r="B116" t="s">
        <v>7637</v>
      </c>
      <c r="C116" t="s">
        <v>7790</v>
      </c>
      <c r="D116" t="s">
        <v>3449</v>
      </c>
      <c r="E116" t="s">
        <v>7528</v>
      </c>
      <c r="F116" t="s">
        <v>7646</v>
      </c>
      <c r="G116" t="s">
        <v>7603</v>
      </c>
      <c r="H116" t="s">
        <v>7636</v>
      </c>
      <c r="I116" t="s">
        <v>7614</v>
      </c>
      <c r="J116" t="s">
        <v>7801</v>
      </c>
      <c r="K116" t="s">
        <v>7603</v>
      </c>
    </row>
    <row r="117" spans="1:19" x14ac:dyDescent="0.25">
      <c r="A117" t="s">
        <v>4235</v>
      </c>
      <c r="B117" t="s">
        <v>7637</v>
      </c>
      <c r="C117" t="s">
        <v>7790</v>
      </c>
      <c r="D117" t="s">
        <v>5557</v>
      </c>
      <c r="E117" t="s">
        <v>7642</v>
      </c>
      <c r="F117" t="s">
        <v>7646</v>
      </c>
      <c r="G117" t="s">
        <v>7603</v>
      </c>
      <c r="H117" t="s">
        <v>5557</v>
      </c>
      <c r="I117" t="s">
        <v>7666</v>
      </c>
      <c r="J117" t="s">
        <v>7646</v>
      </c>
      <c r="K117" t="s">
        <v>7603</v>
      </c>
      <c r="L117" t="s">
        <v>5557</v>
      </c>
      <c r="M117" t="s">
        <v>7643</v>
      </c>
      <c r="N117" t="s">
        <v>7801</v>
      </c>
      <c r="O117" t="s">
        <v>7603</v>
      </c>
      <c r="P117" t="s">
        <v>5557</v>
      </c>
      <c r="Q117" t="s">
        <v>7804</v>
      </c>
      <c r="R117" t="s">
        <v>7801</v>
      </c>
      <c r="S117" t="s">
        <v>7603</v>
      </c>
    </row>
    <row r="118" spans="1:19" x14ac:dyDescent="0.25">
      <c r="A118" t="s">
        <v>4250</v>
      </c>
      <c r="B118" t="s">
        <v>7637</v>
      </c>
      <c r="C118" t="s">
        <v>7790</v>
      </c>
      <c r="D118" t="s">
        <v>3449</v>
      </c>
      <c r="E118" t="s">
        <v>7586</v>
      </c>
      <c r="F118" t="s">
        <v>7646</v>
      </c>
      <c r="G118" t="s">
        <v>7603</v>
      </c>
      <c r="H118" t="s">
        <v>7636</v>
      </c>
      <c r="I118" t="s">
        <v>7805</v>
      </c>
      <c r="J118" t="s">
        <v>7801</v>
      </c>
      <c r="K118" t="s">
        <v>7603</v>
      </c>
    </row>
    <row r="119" spans="1:19" x14ac:dyDescent="0.25">
      <c r="A119" t="s">
        <v>4255</v>
      </c>
      <c r="B119" t="s">
        <v>7637</v>
      </c>
      <c r="C119" t="s">
        <v>7790</v>
      </c>
      <c r="D119" t="s">
        <v>5557</v>
      </c>
      <c r="E119" t="s">
        <v>7664</v>
      </c>
      <c r="F119" t="s">
        <v>7646</v>
      </c>
      <c r="G119" t="s">
        <v>7603</v>
      </c>
      <c r="H119" t="s">
        <v>5557</v>
      </c>
      <c r="I119" t="s">
        <v>7803</v>
      </c>
      <c r="J119" t="s">
        <v>7801</v>
      </c>
      <c r="K119" t="s">
        <v>7603</v>
      </c>
    </row>
    <row r="120" spans="1:19" x14ac:dyDescent="0.25">
      <c r="A120" t="s">
        <v>4241</v>
      </c>
      <c r="B120" t="s">
        <v>7637</v>
      </c>
      <c r="C120" t="s">
        <v>7790</v>
      </c>
      <c r="D120" t="s">
        <v>3449</v>
      </c>
      <c r="E120" t="s">
        <v>7586</v>
      </c>
      <c r="F120" t="s">
        <v>7646</v>
      </c>
      <c r="G120" t="s">
        <v>7603</v>
      </c>
      <c r="H120" t="s">
        <v>7636</v>
      </c>
      <c r="I120" t="s">
        <v>7805</v>
      </c>
      <c r="J120" t="s">
        <v>7801</v>
      </c>
      <c r="K120" t="s">
        <v>7603</v>
      </c>
    </row>
    <row r="121" spans="1:19" x14ac:dyDescent="0.25">
      <c r="A121" t="s">
        <v>4246</v>
      </c>
      <c r="B121" t="s">
        <v>7637</v>
      </c>
      <c r="C121" t="s">
        <v>7790</v>
      </c>
      <c r="D121" t="s">
        <v>7627</v>
      </c>
      <c r="E121" t="s">
        <v>3459</v>
      </c>
      <c r="F121" t="s">
        <v>7646</v>
      </c>
      <c r="G121" t="s">
        <v>7603</v>
      </c>
    </row>
    <row r="122" spans="1:19" x14ac:dyDescent="0.25">
      <c r="A122" t="s">
        <v>4260</v>
      </c>
      <c r="B122" t="s">
        <v>7637</v>
      </c>
      <c r="C122" t="s">
        <v>7790</v>
      </c>
      <c r="D122" t="s">
        <v>3449</v>
      </c>
      <c r="E122" t="s">
        <v>7586</v>
      </c>
      <c r="F122" t="s">
        <v>7646</v>
      </c>
      <c r="G122" t="s">
        <v>7604</v>
      </c>
      <c r="H122" t="s">
        <v>7636</v>
      </c>
      <c r="I122" t="s">
        <v>7805</v>
      </c>
      <c r="J122" t="s">
        <v>7801</v>
      </c>
      <c r="K122" t="s">
        <v>7604</v>
      </c>
    </row>
    <row r="123" spans="1:19" x14ac:dyDescent="0.25">
      <c r="A123" t="s">
        <v>4263</v>
      </c>
      <c r="B123" t="s">
        <v>7637</v>
      </c>
      <c r="C123" t="s">
        <v>7790</v>
      </c>
      <c r="D123" t="s">
        <v>3467</v>
      </c>
    </row>
    <row r="124" spans="1:19" x14ac:dyDescent="0.25">
      <c r="A124" t="s">
        <v>4201</v>
      </c>
      <c r="B124" t="s">
        <v>7637</v>
      </c>
      <c r="C124" t="s">
        <v>7790</v>
      </c>
      <c r="D124" t="s">
        <v>5557</v>
      </c>
      <c r="E124" t="s">
        <v>7666</v>
      </c>
      <c r="F124" t="s">
        <v>7646</v>
      </c>
      <c r="G124" t="s">
        <v>7603</v>
      </c>
      <c r="H124" t="s">
        <v>5557</v>
      </c>
      <c r="I124" t="s">
        <v>7804</v>
      </c>
      <c r="J124" t="s">
        <v>7801</v>
      </c>
      <c r="K124" t="s">
        <v>7603</v>
      </c>
    </row>
    <row r="125" spans="1:19" x14ac:dyDescent="0.25">
      <c r="A125" t="s">
        <v>4223</v>
      </c>
      <c r="B125" t="s">
        <v>7637</v>
      </c>
      <c r="C125" t="s">
        <v>7790</v>
      </c>
      <c r="D125" t="s">
        <v>5557</v>
      </c>
      <c r="E125" t="s">
        <v>7642</v>
      </c>
      <c r="F125" t="s">
        <v>7646</v>
      </c>
      <c r="G125" t="s">
        <v>7603</v>
      </c>
      <c r="H125" t="s">
        <v>5557</v>
      </c>
      <c r="I125" t="s">
        <v>7643</v>
      </c>
      <c r="J125" t="s">
        <v>7801</v>
      </c>
      <c r="K125" t="s">
        <v>7603</v>
      </c>
    </row>
    <row r="126" spans="1:19" x14ac:dyDescent="0.25">
      <c r="A126" t="s">
        <v>3456</v>
      </c>
      <c r="B126" t="s">
        <v>7663</v>
      </c>
      <c r="C126" t="s">
        <v>7633</v>
      </c>
      <c r="D126" t="s">
        <v>7636</v>
      </c>
      <c r="E126" t="s">
        <v>7805</v>
      </c>
      <c r="F126" t="s">
        <v>7585</v>
      </c>
      <c r="G126" t="s">
        <v>7604</v>
      </c>
    </row>
    <row r="127" spans="1:19" x14ac:dyDescent="0.25">
      <c r="A127" t="s">
        <v>4047</v>
      </c>
      <c r="B127" t="s">
        <v>7637</v>
      </c>
      <c r="C127" t="s">
        <v>7789</v>
      </c>
      <c r="D127" t="s">
        <v>5557</v>
      </c>
      <c r="E127" t="s">
        <v>7643</v>
      </c>
      <c r="F127" t="s">
        <v>7776</v>
      </c>
      <c r="G127" t="s">
        <v>7603</v>
      </c>
    </row>
    <row r="128" spans="1:19" x14ac:dyDescent="0.25">
      <c r="A128" t="s">
        <v>4053</v>
      </c>
      <c r="B128" t="s">
        <v>7637</v>
      </c>
      <c r="C128" t="s">
        <v>7789</v>
      </c>
      <c r="D128" t="s">
        <v>3605</v>
      </c>
      <c r="E128" t="s">
        <v>7777</v>
      </c>
      <c r="F128" t="s">
        <v>7776</v>
      </c>
      <c r="G128" t="s">
        <v>7604</v>
      </c>
    </row>
    <row r="129" spans="1:15" x14ac:dyDescent="0.25">
      <c r="A129" t="s">
        <v>4059</v>
      </c>
      <c r="B129" t="s">
        <v>7637</v>
      </c>
      <c r="C129" t="s">
        <v>7789</v>
      </c>
      <c r="D129" t="s">
        <v>7636</v>
      </c>
      <c r="E129" t="s">
        <v>7778</v>
      </c>
      <c r="F129" t="s">
        <v>7776</v>
      </c>
      <c r="G129" t="s">
        <v>7603</v>
      </c>
    </row>
    <row r="130" spans="1:15" x14ac:dyDescent="0.25">
      <c r="A130" t="s">
        <v>4082</v>
      </c>
      <c r="B130" t="s">
        <v>7637</v>
      </c>
      <c r="C130" t="s">
        <v>7789</v>
      </c>
      <c r="D130" t="s">
        <v>5557</v>
      </c>
      <c r="E130" t="s">
        <v>7782</v>
      </c>
      <c r="F130" t="s">
        <v>7776</v>
      </c>
      <c r="G130" t="s">
        <v>7603</v>
      </c>
      <c r="H130" t="s">
        <v>5557</v>
      </c>
      <c r="I130" t="s">
        <v>7783</v>
      </c>
      <c r="J130" t="s">
        <v>7776</v>
      </c>
      <c r="K130" t="s">
        <v>7603</v>
      </c>
      <c r="L130" t="s">
        <v>7784</v>
      </c>
      <c r="M130" t="s">
        <v>7615</v>
      </c>
      <c r="N130" t="s">
        <v>7776</v>
      </c>
      <c r="O130" t="s">
        <v>7603</v>
      </c>
    </row>
    <row r="131" spans="1:15" x14ac:dyDescent="0.25">
      <c r="A131" t="s">
        <v>4064</v>
      </c>
      <c r="B131" t="s">
        <v>7637</v>
      </c>
      <c r="C131" t="s">
        <v>7789</v>
      </c>
      <c r="D131" t="s">
        <v>3605</v>
      </c>
      <c r="E131" t="s">
        <v>7777</v>
      </c>
      <c r="F131" t="s">
        <v>7776</v>
      </c>
      <c r="G131" t="s">
        <v>7603</v>
      </c>
    </row>
    <row r="132" spans="1:15" x14ac:dyDescent="0.25">
      <c r="A132" t="s">
        <v>4087</v>
      </c>
      <c r="B132" t="s">
        <v>7637</v>
      </c>
      <c r="C132" t="s">
        <v>7789</v>
      </c>
      <c r="D132" t="s">
        <v>7627</v>
      </c>
      <c r="E132" t="s">
        <v>4279</v>
      </c>
      <c r="F132" t="s">
        <v>7776</v>
      </c>
      <c r="G132" t="s">
        <v>7604</v>
      </c>
    </row>
    <row r="133" spans="1:15" x14ac:dyDescent="0.25">
      <c r="A133" t="s">
        <v>4071</v>
      </c>
      <c r="B133" t="s">
        <v>7637</v>
      </c>
      <c r="C133" t="s">
        <v>7789</v>
      </c>
      <c r="D133" t="s">
        <v>5557</v>
      </c>
      <c r="E133" t="s">
        <v>7779</v>
      </c>
      <c r="F133" t="s">
        <v>7776</v>
      </c>
      <c r="G133" t="s">
        <v>7603</v>
      </c>
    </row>
    <row r="134" spans="1:15" x14ac:dyDescent="0.25">
      <c r="A134" t="s">
        <v>4075</v>
      </c>
      <c r="B134" t="s">
        <v>7637</v>
      </c>
      <c r="C134" t="s">
        <v>7789</v>
      </c>
      <c r="D134" t="s">
        <v>3697</v>
      </c>
      <c r="E134" t="s">
        <v>7780</v>
      </c>
      <c r="F134" t="s">
        <v>7776</v>
      </c>
      <c r="G134" t="s">
        <v>7603</v>
      </c>
    </row>
    <row r="135" spans="1:15" x14ac:dyDescent="0.25">
      <c r="A135" t="s">
        <v>4299</v>
      </c>
      <c r="B135" t="s">
        <v>7612</v>
      </c>
      <c r="C135" t="s">
        <v>7616</v>
      </c>
      <c r="D135" t="s">
        <v>7636</v>
      </c>
      <c r="E135" t="s">
        <v>7805</v>
      </c>
      <c r="F135" t="s">
        <v>7618</v>
      </c>
      <c r="G135" t="s">
        <v>7604</v>
      </c>
    </row>
    <row r="136" spans="1:15" x14ac:dyDescent="0.25">
      <c r="A136" t="s">
        <v>7703</v>
      </c>
      <c r="B136" t="s">
        <v>7637</v>
      </c>
      <c r="C136" t="s">
        <v>7791</v>
      </c>
      <c r="D136" t="s">
        <v>7636</v>
      </c>
      <c r="E136" t="s">
        <v>7806</v>
      </c>
      <c r="F136" t="s">
        <v>7669</v>
      </c>
      <c r="G136" t="s">
        <v>7604</v>
      </c>
    </row>
    <row r="137" spans="1:15" x14ac:dyDescent="0.25">
      <c r="A137" t="s">
        <v>7676</v>
      </c>
      <c r="B137" t="s">
        <v>7637</v>
      </c>
      <c r="C137" t="s">
        <v>7791</v>
      </c>
      <c r="D137" t="s">
        <v>7636</v>
      </c>
      <c r="E137" t="s">
        <v>7778</v>
      </c>
      <c r="F137" t="s">
        <v>7669</v>
      </c>
      <c r="G137" t="s">
        <v>7603</v>
      </c>
    </row>
    <row r="138" spans="1:15" x14ac:dyDescent="0.25">
      <c r="A138" t="s">
        <v>7705</v>
      </c>
      <c r="B138" t="s">
        <v>7637</v>
      </c>
      <c r="C138" t="s">
        <v>7791</v>
      </c>
      <c r="D138" t="s">
        <v>7636</v>
      </c>
      <c r="E138" t="s">
        <v>7805</v>
      </c>
      <c r="F138" t="s">
        <v>7669</v>
      </c>
      <c r="G138" t="s">
        <v>7604</v>
      </c>
    </row>
    <row r="139" spans="1:15" x14ac:dyDescent="0.25">
      <c r="A139" t="s">
        <v>7674</v>
      </c>
      <c r="B139" t="s">
        <v>7637</v>
      </c>
      <c r="C139" t="s">
        <v>7791</v>
      </c>
      <c r="D139" t="s">
        <v>5557</v>
      </c>
      <c r="E139" t="s">
        <v>7783</v>
      </c>
      <c r="F139" t="s">
        <v>7669</v>
      </c>
      <c r="G139" t="s">
        <v>7603</v>
      </c>
      <c r="H139" t="s">
        <v>7784</v>
      </c>
      <c r="I139" t="s">
        <v>7615</v>
      </c>
      <c r="J139" t="s">
        <v>7669</v>
      </c>
      <c r="K139" t="s">
        <v>7603</v>
      </c>
    </row>
    <row r="140" spans="1:15" x14ac:dyDescent="0.25">
      <c r="A140" t="s">
        <v>7701</v>
      </c>
      <c r="B140" t="s">
        <v>7637</v>
      </c>
      <c r="C140" t="s">
        <v>7791</v>
      </c>
      <c r="D140" t="s">
        <v>5557</v>
      </c>
      <c r="E140" t="s">
        <v>7803</v>
      </c>
      <c r="F140" t="s">
        <v>7669</v>
      </c>
      <c r="G140" t="s">
        <v>7603</v>
      </c>
    </row>
    <row r="141" spans="1:15" x14ac:dyDescent="0.25">
      <c r="A141" t="s">
        <v>7700</v>
      </c>
      <c r="B141" t="s">
        <v>7637</v>
      </c>
      <c r="C141" t="s">
        <v>7791</v>
      </c>
      <c r="D141" t="s">
        <v>7636</v>
      </c>
      <c r="E141" t="s">
        <v>7813</v>
      </c>
      <c r="F141" t="s">
        <v>7669</v>
      </c>
      <c r="G141" t="s">
        <v>7604</v>
      </c>
    </row>
    <row r="142" spans="1:15" x14ac:dyDescent="0.25">
      <c r="A142" t="s">
        <v>7702</v>
      </c>
      <c r="B142" t="s">
        <v>7637</v>
      </c>
      <c r="C142" t="s">
        <v>7791</v>
      </c>
      <c r="D142" t="s">
        <v>7636</v>
      </c>
      <c r="E142" t="s">
        <v>7805</v>
      </c>
      <c r="F142" t="s">
        <v>7669</v>
      </c>
      <c r="G142" t="s">
        <v>7604</v>
      </c>
    </row>
    <row r="143" spans="1:15" x14ac:dyDescent="0.25">
      <c r="A143" t="s">
        <v>7671</v>
      </c>
      <c r="B143" t="s">
        <v>7637</v>
      </c>
      <c r="C143" t="s">
        <v>7791</v>
      </c>
      <c r="D143" t="s">
        <v>3467</v>
      </c>
    </row>
    <row r="144" spans="1:15" x14ac:dyDescent="0.25">
      <c r="A144" t="s">
        <v>7715</v>
      </c>
      <c r="B144" t="s">
        <v>7637</v>
      </c>
      <c r="C144" t="s">
        <v>7791</v>
      </c>
      <c r="D144" t="s">
        <v>7636</v>
      </c>
      <c r="E144" t="s">
        <v>7778</v>
      </c>
      <c r="F144" t="s">
        <v>7669</v>
      </c>
      <c r="G144" t="s">
        <v>7603</v>
      </c>
    </row>
    <row r="145" spans="1:11" x14ac:dyDescent="0.25">
      <c r="A145" t="s">
        <v>7704</v>
      </c>
      <c r="B145" t="s">
        <v>7637</v>
      </c>
      <c r="C145" t="s">
        <v>7791</v>
      </c>
      <c r="D145" t="s">
        <v>7636</v>
      </c>
      <c r="E145" t="s">
        <v>7606</v>
      </c>
      <c r="F145" t="s">
        <v>7669</v>
      </c>
      <c r="G145" t="s">
        <v>7603</v>
      </c>
    </row>
    <row r="146" spans="1:11" x14ac:dyDescent="0.25">
      <c r="A146" t="s">
        <v>7706</v>
      </c>
      <c r="B146" t="s">
        <v>7637</v>
      </c>
      <c r="C146" t="s">
        <v>7791</v>
      </c>
      <c r="D146" t="s">
        <v>7636</v>
      </c>
      <c r="E146" t="s">
        <v>7807</v>
      </c>
      <c r="F146" t="s">
        <v>7669</v>
      </c>
      <c r="G146" t="s">
        <v>7603</v>
      </c>
    </row>
    <row r="147" spans="1:11" x14ac:dyDescent="0.25">
      <c r="A147" t="s">
        <v>3741</v>
      </c>
      <c r="B147" t="s">
        <v>7637</v>
      </c>
      <c r="C147" t="s">
        <v>7791</v>
      </c>
      <c r="D147" t="s">
        <v>7625</v>
      </c>
      <c r="E147" t="s">
        <v>7670</v>
      </c>
      <c r="F147" t="s">
        <v>7669</v>
      </c>
      <c r="G147" t="s">
        <v>7603</v>
      </c>
    </row>
    <row r="148" spans="1:11" x14ac:dyDescent="0.25">
      <c r="A148" t="s">
        <v>7822</v>
      </c>
      <c r="B148" t="s">
        <v>7581</v>
      </c>
      <c r="C148" t="s">
        <v>7633</v>
      </c>
      <c r="D148" t="s">
        <v>3449</v>
      </c>
      <c r="E148" t="s">
        <v>7586</v>
      </c>
      <c r="F148" t="s">
        <v>7817</v>
      </c>
      <c r="G148" t="s">
        <v>7604</v>
      </c>
      <c r="H148" t="s">
        <v>7634</v>
      </c>
      <c r="I148" t="s">
        <v>7773</v>
      </c>
      <c r="J148" t="s">
        <v>7817</v>
      </c>
      <c r="K148" t="s">
        <v>7604</v>
      </c>
    </row>
    <row r="149" spans="1:11" x14ac:dyDescent="0.25">
      <c r="A149" t="s">
        <v>7823</v>
      </c>
      <c r="B149" t="s">
        <v>7824</v>
      </c>
      <c r="C149" t="s">
        <v>7633</v>
      </c>
      <c r="D149" t="s">
        <v>3449</v>
      </c>
      <c r="E149" t="s">
        <v>7586</v>
      </c>
      <c r="F149" t="s">
        <v>7825</v>
      </c>
      <c r="G149" t="s">
        <v>7603</v>
      </c>
    </row>
    <row r="150" spans="1:11" x14ac:dyDescent="0.25">
      <c r="A150" t="s">
        <v>7826</v>
      </c>
      <c r="B150" t="s">
        <v>7647</v>
      </c>
      <c r="C150" t="s">
        <v>7633</v>
      </c>
      <c r="D150" t="s">
        <v>7636</v>
      </c>
      <c r="E150" t="s">
        <v>7811</v>
      </c>
      <c r="F150" t="s">
        <v>7647</v>
      </c>
      <c r="G150" t="s">
        <v>7603</v>
      </c>
    </row>
    <row r="151" spans="1:11" x14ac:dyDescent="0.25">
      <c r="A151" t="s">
        <v>4295</v>
      </c>
      <c r="B151" t="s">
        <v>7827</v>
      </c>
      <c r="C151" t="s">
        <v>7610</v>
      </c>
      <c r="D151" t="s">
        <v>5557</v>
      </c>
      <c r="E151" t="s">
        <v>7783</v>
      </c>
      <c r="F151" t="s">
        <v>7828</v>
      </c>
      <c r="G151" t="s">
        <v>7603</v>
      </c>
    </row>
    <row r="152" spans="1:11" x14ac:dyDescent="0.25">
      <c r="A152" t="s">
        <v>7652</v>
      </c>
      <c r="B152" t="s">
        <v>7829</v>
      </c>
      <c r="C152" t="s">
        <v>7610</v>
      </c>
      <c r="D152" t="s">
        <v>5557</v>
      </c>
      <c r="E152" t="s">
        <v>7779</v>
      </c>
      <c r="F152" t="s">
        <v>7828</v>
      </c>
      <c r="G152" t="s">
        <v>7603</v>
      </c>
    </row>
    <row r="153" spans="1:11" x14ac:dyDescent="0.25">
      <c r="A153" t="s">
        <v>7830</v>
      </c>
      <c r="B153" t="s">
        <v>7581</v>
      </c>
      <c r="C153" t="s">
        <v>7633</v>
      </c>
      <c r="D153" t="s">
        <v>7627</v>
      </c>
      <c r="E153" t="s">
        <v>7820</v>
      </c>
      <c r="F153" t="s">
        <v>7581</v>
      </c>
      <c r="G153" t="s">
        <v>7603</v>
      </c>
      <c r="H153" t="s">
        <v>7636</v>
      </c>
      <c r="I153" t="s">
        <v>7805</v>
      </c>
      <c r="J153" t="s">
        <v>7629</v>
      </c>
      <c r="K153" t="s">
        <v>7604</v>
      </c>
    </row>
    <row r="154" spans="1:11" x14ac:dyDescent="0.25">
      <c r="A154" t="s">
        <v>7878</v>
      </c>
    </row>
    <row r="155" spans="1:11" x14ac:dyDescent="0.25">
      <c r="A155" t="s">
        <v>7880</v>
      </c>
    </row>
    <row r="156" spans="1:11" x14ac:dyDescent="0.25">
      <c r="A156" t="s">
        <v>7892</v>
      </c>
    </row>
    <row r="157" spans="1:11" x14ac:dyDescent="0.25">
      <c r="A157" t="s">
        <v>7894</v>
      </c>
    </row>
    <row r="158" spans="1:11" x14ac:dyDescent="0.25">
      <c r="A158" t="s">
        <v>7897</v>
      </c>
    </row>
  </sheetData>
  <phoneticPr fontId="9"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J17" sqref="J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4336</v>
      </c>
    </row>
    <row r="2" spans="1:28" x14ac:dyDescent="0.25">
      <c r="A2" s="13" t="s">
        <v>4337</v>
      </c>
    </row>
    <row r="4" spans="1:28" ht="25.5" customHeight="1" x14ac:dyDescent="0.25">
      <c r="A4" s="14" t="s">
        <v>4338</v>
      </c>
      <c r="B4" s="14" t="s">
        <v>4339</v>
      </c>
      <c r="C4" s="14" t="s">
        <v>4340</v>
      </c>
      <c r="E4" s="14" t="s">
        <v>4341</v>
      </c>
      <c r="F4" s="14" t="s">
        <v>4342</v>
      </c>
      <c r="G4" s="14" t="s">
        <v>172</v>
      </c>
      <c r="I4" s="14" t="s">
        <v>4343</v>
      </c>
      <c r="J4" s="14" t="s">
        <v>4342</v>
      </c>
      <c r="K4" s="14" t="s">
        <v>172</v>
      </c>
      <c r="L4" s="14" t="s">
        <v>4344</v>
      </c>
      <c r="N4" s="14" t="s">
        <v>4345</v>
      </c>
      <c r="O4" s="14" t="s">
        <v>1</v>
      </c>
      <c r="P4" s="14" t="s">
        <v>4341</v>
      </c>
      <c r="R4" s="14" t="s">
        <v>4345</v>
      </c>
      <c r="S4" s="14" t="s">
        <v>4346</v>
      </c>
      <c r="T4" s="14" t="s">
        <v>4341</v>
      </c>
      <c r="V4" s="14" t="s">
        <v>166</v>
      </c>
      <c r="W4" s="14" t="s">
        <v>4342</v>
      </c>
      <c r="X4" s="14" t="s">
        <v>172</v>
      </c>
      <c r="Y4" s="14" t="s">
        <v>4347</v>
      </c>
      <c r="AA4" s="14" t="s">
        <v>4348</v>
      </c>
      <c r="AB4" s="14" t="s">
        <v>4347</v>
      </c>
    </row>
    <row r="5" spans="1:28" x14ac:dyDescent="0.25">
      <c r="A5" s="15" t="s">
        <v>4342</v>
      </c>
      <c r="B5" s="16">
        <f>COUNTA(games!$A$2:$A$950)</f>
        <v>865</v>
      </c>
      <c r="C5" s="17" t="s">
        <v>4349</v>
      </c>
      <c r="E5" t="s">
        <v>4350</v>
      </c>
      <c r="F5">
        <f>COUNTIF('Map Calc'!$D$2:$D$950,0)</f>
        <v>82</v>
      </c>
      <c r="G5">
        <f>COUNTIFS('Map Calc'!$D$2:$D$950,0,'Map Calc'!$P$2:$P$950,"Yes")</f>
        <v>47</v>
      </c>
      <c r="I5" t="s">
        <v>176</v>
      </c>
      <c r="J5">
        <f>COUNTIF(games!$C$2:$C$950,$I5)</f>
        <v>371</v>
      </c>
      <c r="K5">
        <f>COUNTIFS(games!$C$2:$C$950,$I5,games!$H$2:$H$950,"Yes")</f>
        <v>236</v>
      </c>
      <c r="L5" s="18">
        <f>IF($J5=0,0,$K5/$J5)</f>
        <v>0.63611859838274931</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5" t="s">
        <v>4351</v>
      </c>
      <c r="B6" s="16">
        <f>COUNTIF(games!$H$2:$H$950,"Yes")</f>
        <v>525</v>
      </c>
      <c r="C6" s="17" t="s">
        <v>4352</v>
      </c>
      <c r="E6" t="s">
        <v>4353</v>
      </c>
      <c r="F6">
        <f>COUNTIF('Map Calc'!$D$2:$D$950,1)</f>
        <v>337</v>
      </c>
      <c r="G6">
        <f>COUNTIFS('Map Calc'!$D$2:$D$950,1,'Map Calc'!$P$2:$P$950,"Yes")</f>
        <v>199</v>
      </c>
      <c r="I6" t="s">
        <v>222</v>
      </c>
      <c r="J6">
        <f>COUNTIF(games!$C$2:$C$950,$I6)</f>
        <v>150</v>
      </c>
      <c r="K6">
        <f>COUNTIFS(games!$C$2:$C$950,$I6,games!$H$2:$H$950,"Yes")</f>
        <v>92</v>
      </c>
      <c r="L6" s="18">
        <f>IF($J6=0,0,$K6/$J6)</f>
        <v>0.61333333333333329</v>
      </c>
      <c r="N6">
        <v>2</v>
      </c>
      <c r="O6" t="str">
        <f>IFERROR(INDEX('Map Calc'!$A$2:$A$950,MATCH(LARGE('Map Calc'!$O$2:$O$950,2),'Map Calc'!$O$2:$O$950,0)),"")</f>
        <v>Vampire Survivors</v>
      </c>
      <c r="P6">
        <f>IFERROR(INDEX('Map Calc'!$D$2:$D$950,MATCH(LARGE('Map Calc'!$O$2:$O$950,2),'Map Calc'!$O$2:$O$950,0)),"")</f>
        <v>89</v>
      </c>
      <c r="R6">
        <v>2</v>
      </c>
      <c r="S6" t="str">
        <f>IFERROR(INDEX('Map Calc'!$A$2:$A$950,MATCH(LARGE('Map Calc'!$Q$2:$Q$950,2),'Map Calc'!$Q$2:$Q$950,0)),"")</f>
        <v>Vampire Survivors</v>
      </c>
      <c r="T6">
        <f>IFERROR(INDEX('Map Calc'!$D$2:$D$950,MATCH(LARGE('Map Calc'!$Q$2:$Q$950,2),'Map Calc'!$Q$2:$Q$950,0)),"")</f>
        <v>89</v>
      </c>
      <c r="V6">
        <v>1979</v>
      </c>
      <c r="W6">
        <f>COUNTIF(games!$B$2:$B$950,$V6)</f>
        <v>0</v>
      </c>
      <c r="X6">
        <f>COUNTIFS(games!$B$2:$B$950,$V6,games!$H$2:$H$950,"Yes")</f>
        <v>0</v>
      </c>
      <c r="Y6">
        <f>COUNTIF('Map Calc'!$T$2:$T$1400,$V6)</f>
        <v>0</v>
      </c>
      <c r="AA6">
        <v>1</v>
      </c>
      <c r="AB6">
        <f>COUNTIF('Map Calc'!$V$2:$V$1400,$AA6)</f>
        <v>82</v>
      </c>
    </row>
    <row r="7" spans="1:28" x14ac:dyDescent="0.25">
      <c r="A7" s="15" t="s">
        <v>4354</v>
      </c>
      <c r="B7" s="19">
        <f>IF(B5=0,0,B6/B5)</f>
        <v>0.60693641618497107</v>
      </c>
      <c r="C7" s="17" t="s">
        <v>4355</v>
      </c>
      <c r="E7" t="s">
        <v>4356</v>
      </c>
      <c r="F7">
        <f>COUNTIF('Map Calc'!$D$2:$D$950,2)</f>
        <v>206</v>
      </c>
      <c r="G7">
        <f>COUNTIFS('Map Calc'!$D$2:$D$950,2,'Map Calc'!$P$2:$P$950,"Yes")</f>
        <v>118</v>
      </c>
      <c r="I7" t="s">
        <v>182</v>
      </c>
      <c r="J7">
        <f>COUNTIF(games!$C$2:$C$950,$I7)</f>
        <v>179</v>
      </c>
      <c r="K7">
        <f>COUNTIFS(games!$C$2:$C$950,$I7,games!$H$2:$H$950,"Yes")</f>
        <v>92</v>
      </c>
      <c r="L7" s="18">
        <f>IF($J7=0,0,$K7/$J7)</f>
        <v>0.51396648044692739</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23</v>
      </c>
      <c r="AA7">
        <v>2</v>
      </c>
      <c r="AB7">
        <f>COUNTIF('Map Calc'!$V$2:$V$1400,$AA7)</f>
        <v>161</v>
      </c>
    </row>
    <row r="8" spans="1:28" x14ac:dyDescent="0.25">
      <c r="A8" s="15" t="s">
        <v>4347</v>
      </c>
      <c r="B8" s="16">
        <f>COUNTA(connections!$A$2:$A$1400)</f>
        <v>1252</v>
      </c>
      <c r="C8" s="17" t="s">
        <v>4357</v>
      </c>
      <c r="E8" t="s">
        <v>4358</v>
      </c>
      <c r="F8">
        <f>COUNTIF('Map Calc'!$D$2:$D$950,3)</f>
        <v>107</v>
      </c>
      <c r="G8">
        <f>COUNTIFS('Map Calc'!$D$2:$D$950,3,'Map Calc'!$P$2:$P$950,"Yes")</f>
        <v>66</v>
      </c>
      <c r="I8" t="s">
        <v>179</v>
      </c>
      <c r="J8">
        <f>COUNTIF(games!$C$2:$C$950,$I8)</f>
        <v>165</v>
      </c>
      <c r="K8">
        <f>COUNTIFS(games!$C$2:$C$950,$I8,games!$H$2:$H$950,"Yes")</f>
        <v>105</v>
      </c>
      <c r="L8" s="18">
        <f>IF($J8=0,0,$K8/$J8)</f>
        <v>0.63636363636363635</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5" t="s">
        <v>4359</v>
      </c>
      <c r="B9" s="20">
        <f>IF(B5=0,0,2*B8/B5)</f>
        <v>2.8947976878612716</v>
      </c>
      <c r="C9" s="17" t="s">
        <v>4360</v>
      </c>
      <c r="E9" t="s">
        <v>4361</v>
      </c>
      <c r="F9">
        <f>COUNTIF('Map Calc'!$D$2:$D$950,4)</f>
        <v>47</v>
      </c>
      <c r="G9">
        <f>COUNTIFS('Map Calc'!$D$2:$D$950,4,'Map Calc'!$P$2:$P$950,"Yes")</f>
        <v>28</v>
      </c>
      <c r="I9" s="21" t="s">
        <v>39</v>
      </c>
      <c r="J9" s="21">
        <f>SUM(J5:J8)</f>
        <v>865</v>
      </c>
      <c r="K9" s="21">
        <f>SUM(K5:K8)</f>
        <v>525</v>
      </c>
      <c r="L9" s="22">
        <f>IF($J9=0,0,$K9/$J9)</f>
        <v>0.60693641618497107</v>
      </c>
      <c r="N9">
        <v>5</v>
      </c>
      <c r="O9" t="str">
        <f>IFERROR(INDEX('Map Calc'!$A$2:$A$950,MATCH(LARGE('Map Calc'!$O$2:$O$950,5),'Map Calc'!$O$2:$O$950,0)),"")</f>
        <v>Hades</v>
      </c>
      <c r="P9">
        <f>IFERROR(INDEX('Map Calc'!$D$2:$D$950,MATCH(LARGE('Map Calc'!$O$2:$O$950,5),'Map Calc'!$O$2:$O$950,0)),"")</f>
        <v>48</v>
      </c>
      <c r="R9">
        <v>5</v>
      </c>
      <c r="S9" t="str">
        <f>IFERROR(INDEX('Map Calc'!$A$2:$A$950,MATCH(LARGE('Map Calc'!$Q$2:$Q$950,5),'Map Calc'!$Q$2:$Q$950,0)),"")</f>
        <v>Hades</v>
      </c>
      <c r="T9">
        <f>IFERROR(INDEX('Map Calc'!$D$2:$D$950,MATCH(LARGE('Map Calc'!$Q$2:$Q$950,5),'Map Calc'!$Q$2:$Q$950,0)),"")</f>
        <v>48</v>
      </c>
      <c r="V9">
        <v>1982</v>
      </c>
      <c r="W9">
        <f>COUNTIF(games!$B$2:$B$950,$V9)</f>
        <v>1</v>
      </c>
      <c r="X9">
        <f>COUNTIFS(games!$B$2:$B$950,$V9,games!$H$2:$H$950,"Yes")</f>
        <v>0</v>
      </c>
      <c r="Y9">
        <f>COUNTIF('Map Calc'!$T$2:$T$1400,$V9)</f>
        <v>1</v>
      </c>
      <c r="AA9">
        <v>4</v>
      </c>
      <c r="AB9">
        <f>COUNTIF('Map Calc'!$V$2:$V$1400,$AA9)</f>
        <v>140</v>
      </c>
    </row>
    <row r="10" spans="1:28" x14ac:dyDescent="0.25">
      <c r="A10" s="15" t="s">
        <v>4362</v>
      </c>
      <c r="B10" s="20">
        <f>IFERROR(SUMIFS('Map Calc'!$D$2:$D$950,games!$H$2:$H$950,"Yes")/B6,0)</f>
        <v>3.5866666666666664</v>
      </c>
      <c r="C10" s="17" t="s">
        <v>4363</v>
      </c>
      <c r="E10" t="s">
        <v>4364</v>
      </c>
      <c r="F10">
        <f>COUNTIF('Map Calc'!$D$2:$D$950,5)</f>
        <v>26</v>
      </c>
      <c r="G10">
        <f>COUNTIFS('Map Calc'!$D$2:$D$950,5,'Map Calc'!$P$2:$P$950,"Yes")</f>
        <v>14</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122</v>
      </c>
    </row>
    <row r="11" spans="1:28" x14ac:dyDescent="0.25">
      <c r="A11" s="15" t="s">
        <v>4365</v>
      </c>
      <c r="B11" s="16">
        <f>MEDIAN('Map Calc'!$D$2:$D$950)</f>
        <v>2</v>
      </c>
      <c r="C11" s="17" t="s">
        <v>4366</v>
      </c>
      <c r="E11" t="s">
        <v>4367</v>
      </c>
      <c r="F11">
        <f>COUNTIFS('Map Calc'!$D$2:$D$950,"&gt;=6",'Map Calc'!$D$2:$D$950,"&lt;=9")</f>
        <v>29</v>
      </c>
      <c r="G11">
        <f>COUNTIFS('Map Calc'!$D$2:$D$950,"&gt;=6",'Map Calc'!$D$2:$D$950,"&lt;=9",'Map Calc'!$P$2:$P$950,"Yes")</f>
        <v>22</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97</v>
      </c>
    </row>
    <row r="12" spans="1:28" x14ac:dyDescent="0.25">
      <c r="A12" s="15" t="s">
        <v>4368</v>
      </c>
      <c r="B12" s="16">
        <f>MAX('Map Calc'!$D$2:$D$950)</f>
        <v>146</v>
      </c>
      <c r="C12" s="17" t="s">
        <v>4369</v>
      </c>
      <c r="E12" t="s">
        <v>4370</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88</v>
      </c>
    </row>
    <row r="13" spans="1:28" x14ac:dyDescent="0.25">
      <c r="A13" s="15" t="s">
        <v>4371</v>
      </c>
      <c r="B13" s="16">
        <f>COUNTIF('Map Calc'!$D$2:$D$950,1)</f>
        <v>337</v>
      </c>
      <c r="C13" s="17" t="s">
        <v>4372</v>
      </c>
      <c r="E13" t="s">
        <v>4373</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4374</v>
      </c>
      <c r="B14" s="16">
        <f>COUNTIF('Map Calc'!$D$2:$D$950,0)</f>
        <v>82</v>
      </c>
      <c r="C14" s="17" t="s">
        <v>4375</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32</v>
      </c>
      <c r="AA14">
        <v>9</v>
      </c>
      <c r="AB14">
        <f>COUNTIF('Map Calc'!$V$2:$V$1400,$AA14)</f>
        <v>63</v>
      </c>
    </row>
    <row r="15" spans="1:28" x14ac:dyDescent="0.25">
      <c r="A15" s="15" t="s">
        <v>4376</v>
      </c>
      <c r="B15" s="16">
        <f>B13+B14</f>
        <v>419</v>
      </c>
      <c r="C15" s="17" t="s">
        <v>4377</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5" t="s">
        <v>4378</v>
      </c>
      <c r="B16" s="16">
        <f>COUNTIFS(games!$H$2:$H$950,"Yes",'Map Calc'!$D$2:$D$950,"&gt;1")</f>
        <v>279</v>
      </c>
      <c r="C16" s="17" t="s">
        <v>4379</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4380</v>
      </c>
      <c r="AB16">
        <f>COUNTIFS('Map Calc'!$V$2:$V$1400,"&gt;=11",'Map Calc'!$V$2:$V$1400,"&lt;=20")</f>
        <v>146</v>
      </c>
    </row>
    <row r="17" spans="1:28" x14ac:dyDescent="0.25">
      <c r="A17" s="15" t="s">
        <v>4381</v>
      </c>
      <c r="B17" s="16">
        <f>COUNTIFS(games!$H$2:$H$950,"Yes",'Map Calc'!$D$2:$D$950,"&lt;=1")</f>
        <v>246</v>
      </c>
      <c r="C17" s="17" t="s">
        <v>4382</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4383</v>
      </c>
      <c r="AB17">
        <f>COUNTIF('Map Calc'!$V$2:$V$1400,"&gt;=21")</f>
        <v>85</v>
      </c>
    </row>
    <row r="18" spans="1:28" x14ac:dyDescent="0.25">
      <c r="A18" s="15" t="s">
        <v>4384</v>
      </c>
      <c r="B18" s="23">
        <f>SUMPRODUCT(('Map Calc'!$V$2:$V$1400&lt;&gt;"")*('Map Calc'!$V$2:$V$1400&lt;0))</f>
        <v>3</v>
      </c>
      <c r="C18" s="17" t="s">
        <v>4385</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5" t="s">
        <v>4386</v>
      </c>
      <c r="B19" s="16">
        <f>SUMPRODUCT(('Map Calc'!$V$2:$V$1400&lt;&gt;"")*('Map Calc'!$V$2:$V$1400=0))</f>
        <v>11</v>
      </c>
      <c r="C19" s="17" t="s">
        <v>4387</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5" t="s">
        <v>4388</v>
      </c>
      <c r="B20" s="24">
        <f>MEDIAN('Map Calc'!$V$2:$V$1400)</f>
        <v>5</v>
      </c>
      <c r="C20" s="17" t="s">
        <v>4389</v>
      </c>
      <c r="V20">
        <v>1993</v>
      </c>
      <c r="W20">
        <f>COUNTIF(games!$B$2:$B$950,$V20)</f>
        <v>2</v>
      </c>
      <c r="X20">
        <f>COUNTIFS(games!$B$2:$B$950,$V20,games!$H$2:$H$950,"Yes")</f>
        <v>1</v>
      </c>
      <c r="Y20">
        <f>COUNTIF('Map Calc'!$T$2:$T$1400,$V20)</f>
        <v>26</v>
      </c>
    </row>
    <row r="21" spans="1:28" x14ac:dyDescent="0.25">
      <c r="A21" s="15" t="s">
        <v>4390</v>
      </c>
      <c r="B21" s="16">
        <f>COUNTIF(connections!$D$2:$D$1400,"Yes")</f>
        <v>142</v>
      </c>
      <c r="C21" s="17" t="s">
        <v>4391</v>
      </c>
      <c r="V21">
        <v>1994</v>
      </c>
      <c r="W21">
        <f>COUNTIF(games!$B$2:$B$950,$V21)</f>
        <v>3</v>
      </c>
      <c r="X21">
        <f>COUNTIFS(games!$B$2:$B$950,$V21,games!$H$2:$H$950,"Yes")</f>
        <v>3</v>
      </c>
      <c r="Y21">
        <f>COUNTIF('Map Calc'!$T$2:$T$1400,$V21)</f>
        <v>22</v>
      </c>
    </row>
    <row r="22" spans="1:28" x14ac:dyDescent="0.25">
      <c r="A22" s="15" t="s">
        <v>4392</v>
      </c>
      <c r="B22" s="16">
        <f>COUNTA(connections!$E$2:$E$1400)</f>
        <v>1109</v>
      </c>
      <c r="C22" s="17" t="s">
        <v>4393</v>
      </c>
      <c r="V22">
        <v>1995</v>
      </c>
      <c r="W22">
        <f>COUNTIF(games!$B$2:$B$950,$V22)</f>
        <v>2</v>
      </c>
      <c r="X22">
        <f>COUNTIFS(games!$B$2:$B$950,$V22,games!$H$2:$H$950,"Yes")</f>
        <v>2</v>
      </c>
      <c r="Y22">
        <f>COUNTIF('Map Calc'!$T$2:$T$1400,$V22)</f>
        <v>12</v>
      </c>
    </row>
    <row r="23" spans="1:28" x14ac:dyDescent="0.25">
      <c r="A23" s="15" t="s">
        <v>4394</v>
      </c>
      <c r="B23" s="16">
        <f>COUNTIFS(games!$H$2:$H$950,"Yes",games!$J$2:$J$950,"")</f>
        <v>86</v>
      </c>
      <c r="C23" s="17" t="s">
        <v>4395</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41</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70</v>
      </c>
    </row>
    <row r="43" spans="22:25" x14ac:dyDescent="0.25">
      <c r="V43">
        <v>2016</v>
      </c>
      <c r="W43">
        <f>COUNTIF(games!$B$2:$B$950,$V43)</f>
        <v>15</v>
      </c>
      <c r="X43">
        <f>COUNTIFS(games!$B$2:$B$950,$V43,games!$H$2:$H$950,"Yes")</f>
        <v>13</v>
      </c>
      <c r="Y43">
        <f>COUNTIF('Map Calc'!$T$2:$T$1400,$V43)</f>
        <v>31</v>
      </c>
    </row>
    <row r="44" spans="22:25" x14ac:dyDescent="0.25">
      <c r="V44">
        <v>2017</v>
      </c>
      <c r="W44">
        <f>COUNTIF(games!$B$2:$B$950,$V44)</f>
        <v>32</v>
      </c>
      <c r="X44">
        <f>COUNTIFS(games!$B$2:$B$950,$V44,games!$H$2:$H$950,"Yes")</f>
        <v>19</v>
      </c>
      <c r="Y44">
        <f>COUNTIF('Map Calc'!$T$2:$T$1400,$V44)</f>
        <v>157</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84</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162</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90</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3751</v>
      </c>
      <c r="C1" t="s">
        <v>1</v>
      </c>
      <c r="D1" t="s">
        <v>167</v>
      </c>
      <c r="E1" t="s">
        <v>3512</v>
      </c>
    </row>
    <row r="2" spans="1:5" ht="15" customHeight="1" x14ac:dyDescent="0.25">
      <c r="A2" t="s">
        <v>4396</v>
      </c>
      <c r="B2" t="s">
        <v>4397</v>
      </c>
      <c r="C2" t="s">
        <v>1047</v>
      </c>
      <c r="D2" t="s">
        <v>4398</v>
      </c>
      <c r="E2" t="s">
        <v>4399</v>
      </c>
    </row>
    <row r="3" spans="1:5" ht="15" customHeight="1" x14ac:dyDescent="0.25">
      <c r="A3" t="s">
        <v>4400</v>
      </c>
      <c r="B3" t="s">
        <v>4401</v>
      </c>
      <c r="C3" t="s">
        <v>1047</v>
      </c>
      <c r="D3" t="s">
        <v>4402</v>
      </c>
      <c r="E3" t="s">
        <v>4399</v>
      </c>
    </row>
    <row r="4" spans="1:5" ht="15" customHeight="1" x14ac:dyDescent="0.25">
      <c r="A4" t="s">
        <v>4403</v>
      </c>
      <c r="B4" t="s">
        <v>4401</v>
      </c>
      <c r="C4" t="s">
        <v>1047</v>
      </c>
      <c r="D4" t="s">
        <v>4404</v>
      </c>
      <c r="E4" t="s">
        <v>4399</v>
      </c>
    </row>
    <row r="5" spans="1:5" ht="15" customHeight="1" x14ac:dyDescent="0.25">
      <c r="A5" t="s">
        <v>4405</v>
      </c>
      <c r="B5" t="s">
        <v>4406</v>
      </c>
      <c r="C5" t="s">
        <v>1047</v>
      </c>
      <c r="D5" t="s">
        <v>4407</v>
      </c>
      <c r="E5" t="s">
        <v>4399</v>
      </c>
    </row>
    <row r="6" spans="1:5" ht="15" customHeight="1" x14ac:dyDescent="0.25">
      <c r="A6" t="s">
        <v>4408</v>
      </c>
      <c r="B6" t="s">
        <v>4406</v>
      </c>
      <c r="C6" t="s">
        <v>1047</v>
      </c>
      <c r="D6" t="s">
        <v>4409</v>
      </c>
      <c r="E6" t="s">
        <v>4399</v>
      </c>
    </row>
    <row r="7" spans="1:5" ht="15" customHeight="1" x14ac:dyDescent="0.25">
      <c r="A7" t="s">
        <v>4410</v>
      </c>
      <c r="B7" t="s">
        <v>4397</v>
      </c>
      <c r="C7" t="s">
        <v>160</v>
      </c>
      <c r="D7" t="s">
        <v>4398</v>
      </c>
      <c r="E7" t="s">
        <v>4411</v>
      </c>
    </row>
    <row r="8" spans="1:5" ht="15" customHeight="1" x14ac:dyDescent="0.25">
      <c r="A8" t="s">
        <v>4329</v>
      </c>
      <c r="B8" t="s">
        <v>4397</v>
      </c>
      <c r="C8" t="s">
        <v>160</v>
      </c>
      <c r="D8" t="s">
        <v>4412</v>
      </c>
      <c r="E8" t="s">
        <v>4411</v>
      </c>
    </row>
    <row r="9" spans="1:5" ht="15" customHeight="1" x14ac:dyDescent="0.25">
      <c r="A9" t="s">
        <v>4333</v>
      </c>
      <c r="B9" t="s">
        <v>4397</v>
      </c>
      <c r="C9" t="s">
        <v>160</v>
      </c>
      <c r="D9" t="s">
        <v>4413</v>
      </c>
      <c r="E9" t="s">
        <v>4411</v>
      </c>
    </row>
    <row r="10" spans="1:5" ht="15" customHeight="1" x14ac:dyDescent="0.25">
      <c r="A10" t="s">
        <v>4414</v>
      </c>
      <c r="B10" t="s">
        <v>4401</v>
      </c>
      <c r="C10" t="s">
        <v>160</v>
      </c>
      <c r="D10" t="s">
        <v>4402</v>
      </c>
      <c r="E10" t="s">
        <v>4411</v>
      </c>
    </row>
    <row r="11" spans="1:5" ht="15" customHeight="1" x14ac:dyDescent="0.25">
      <c r="A11" t="s">
        <v>4415</v>
      </c>
      <c r="B11" t="s">
        <v>4401</v>
      </c>
      <c r="C11" t="s">
        <v>160</v>
      </c>
      <c r="D11" t="s">
        <v>4416</v>
      </c>
      <c r="E11" t="s">
        <v>4411</v>
      </c>
    </row>
    <row r="12" spans="1:5" ht="15" customHeight="1" x14ac:dyDescent="0.25">
      <c r="A12" t="s">
        <v>4417</v>
      </c>
      <c r="B12" t="s">
        <v>4401</v>
      </c>
      <c r="C12" t="s">
        <v>160</v>
      </c>
      <c r="D12" t="s">
        <v>4409</v>
      </c>
      <c r="E12" t="s">
        <v>4411</v>
      </c>
    </row>
    <row r="13" spans="1:5" ht="15" customHeight="1" x14ac:dyDescent="0.25">
      <c r="A13" t="s">
        <v>4418</v>
      </c>
      <c r="B13" t="s">
        <v>4406</v>
      </c>
      <c r="C13" t="s">
        <v>160</v>
      </c>
      <c r="D13" t="s">
        <v>4419</v>
      </c>
      <c r="E13" t="s">
        <v>4411</v>
      </c>
    </row>
    <row r="14" spans="1:5" ht="15" customHeight="1" x14ac:dyDescent="0.25">
      <c r="A14" t="s">
        <v>4420</v>
      </c>
      <c r="B14" t="s">
        <v>4406</v>
      </c>
      <c r="C14" t="s">
        <v>160</v>
      </c>
      <c r="D14" t="s">
        <v>4421</v>
      </c>
      <c r="E14" t="s">
        <v>4411</v>
      </c>
    </row>
    <row r="15" spans="1:5" ht="15" customHeight="1" x14ac:dyDescent="0.25">
      <c r="A15" t="s">
        <v>4422</v>
      </c>
      <c r="B15" t="s">
        <v>4406</v>
      </c>
      <c r="C15" t="s">
        <v>160</v>
      </c>
      <c r="D15" t="s">
        <v>4423</v>
      </c>
      <c r="E15" t="s">
        <v>4411</v>
      </c>
    </row>
    <row r="16" spans="1:5" ht="15" customHeight="1" x14ac:dyDescent="0.25">
      <c r="A16" t="s">
        <v>4424</v>
      </c>
      <c r="B16" t="s">
        <v>4397</v>
      </c>
      <c r="C16" t="s">
        <v>1295</v>
      </c>
      <c r="D16" t="s">
        <v>4409</v>
      </c>
      <c r="E16" t="s">
        <v>4425</v>
      </c>
    </row>
    <row r="17" spans="1:5" ht="15" customHeight="1" x14ac:dyDescent="0.25">
      <c r="A17" t="s">
        <v>4426</v>
      </c>
      <c r="B17" t="s">
        <v>4397</v>
      </c>
      <c r="C17" t="s">
        <v>1295</v>
      </c>
      <c r="D17" t="s">
        <v>4412</v>
      </c>
      <c r="E17" t="s">
        <v>4425</v>
      </c>
    </row>
    <row r="18" spans="1:5" ht="15" customHeight="1" x14ac:dyDescent="0.25">
      <c r="A18" t="s">
        <v>4427</v>
      </c>
      <c r="B18" t="s">
        <v>4401</v>
      </c>
      <c r="C18" t="s">
        <v>1295</v>
      </c>
      <c r="D18" t="s">
        <v>4416</v>
      </c>
      <c r="E18" t="s">
        <v>4425</v>
      </c>
    </row>
    <row r="19" spans="1:5" ht="15" customHeight="1" x14ac:dyDescent="0.25">
      <c r="A19" t="s">
        <v>4423</v>
      </c>
      <c r="B19" t="s">
        <v>4401</v>
      </c>
      <c r="C19" t="s">
        <v>1295</v>
      </c>
      <c r="D19" t="s">
        <v>4423</v>
      </c>
      <c r="E19" t="s">
        <v>4425</v>
      </c>
    </row>
    <row r="20" spans="1:5" ht="15" customHeight="1" x14ac:dyDescent="0.25">
      <c r="A20" t="s">
        <v>4428</v>
      </c>
      <c r="B20" t="s">
        <v>4406</v>
      </c>
      <c r="C20" t="s">
        <v>1295</v>
      </c>
      <c r="D20" t="s">
        <v>4398</v>
      </c>
      <c r="E20" t="s">
        <v>4425</v>
      </c>
    </row>
    <row r="21" spans="1:5" ht="15" customHeight="1" x14ac:dyDescent="0.25">
      <c r="A21" t="s">
        <v>4429</v>
      </c>
      <c r="B21" t="s">
        <v>4397</v>
      </c>
      <c r="C21" t="s">
        <v>2137</v>
      </c>
      <c r="D21" t="s">
        <v>4430</v>
      </c>
      <c r="E21" t="s">
        <v>4431</v>
      </c>
    </row>
    <row r="22" spans="1:5" ht="15" customHeight="1" x14ac:dyDescent="0.25">
      <c r="A22" t="s">
        <v>4432</v>
      </c>
      <c r="B22" t="s">
        <v>4397</v>
      </c>
      <c r="C22" t="s">
        <v>2137</v>
      </c>
      <c r="D22" t="s">
        <v>4433</v>
      </c>
      <c r="E22" t="s">
        <v>4431</v>
      </c>
    </row>
    <row r="23" spans="1:5" ht="15" customHeight="1" x14ac:dyDescent="0.25">
      <c r="A23" t="s">
        <v>4434</v>
      </c>
      <c r="B23" t="s">
        <v>4397</v>
      </c>
      <c r="C23" t="s">
        <v>2137</v>
      </c>
      <c r="D23" t="s">
        <v>4404</v>
      </c>
      <c r="E23" t="s">
        <v>4431</v>
      </c>
    </row>
    <row r="24" spans="1:5" ht="15" customHeight="1" x14ac:dyDescent="0.25">
      <c r="A24" t="s">
        <v>4435</v>
      </c>
      <c r="B24" t="s">
        <v>4397</v>
      </c>
      <c r="C24" t="s">
        <v>2137</v>
      </c>
      <c r="D24" t="s">
        <v>4436</v>
      </c>
      <c r="E24" t="s">
        <v>4431</v>
      </c>
    </row>
    <row r="25" spans="1:5" ht="15" customHeight="1" x14ac:dyDescent="0.25">
      <c r="A25" t="s">
        <v>4437</v>
      </c>
      <c r="B25" t="s">
        <v>4401</v>
      </c>
      <c r="C25" t="s">
        <v>2137</v>
      </c>
      <c r="D25" t="s">
        <v>4404</v>
      </c>
      <c r="E25" t="s">
        <v>4431</v>
      </c>
    </row>
    <row r="26" spans="1:5" ht="15" customHeight="1" x14ac:dyDescent="0.25">
      <c r="A26" t="s">
        <v>4438</v>
      </c>
      <c r="B26" t="s">
        <v>4401</v>
      </c>
      <c r="C26" t="s">
        <v>2137</v>
      </c>
      <c r="D26" t="s">
        <v>4412</v>
      </c>
      <c r="E26" t="s">
        <v>4431</v>
      </c>
    </row>
    <row r="27" spans="1:5" ht="15" customHeight="1" x14ac:dyDescent="0.25">
      <c r="A27" t="s">
        <v>4439</v>
      </c>
      <c r="B27" t="s">
        <v>4401</v>
      </c>
      <c r="C27" t="s">
        <v>2137</v>
      </c>
      <c r="D27" t="s">
        <v>4430</v>
      </c>
      <c r="E27" t="s">
        <v>4431</v>
      </c>
    </row>
    <row r="28" spans="1:5" ht="15" customHeight="1" x14ac:dyDescent="0.25">
      <c r="A28" t="s">
        <v>4440</v>
      </c>
      <c r="B28" t="s">
        <v>4401</v>
      </c>
      <c r="C28" t="s">
        <v>2137</v>
      </c>
      <c r="D28" t="s">
        <v>4441</v>
      </c>
      <c r="E28" t="s">
        <v>4431</v>
      </c>
    </row>
    <row r="29" spans="1:5" ht="15" customHeight="1" x14ac:dyDescent="0.25">
      <c r="A29" t="s">
        <v>4442</v>
      </c>
      <c r="B29" t="s">
        <v>4406</v>
      </c>
      <c r="C29" t="s">
        <v>2137</v>
      </c>
      <c r="D29" t="s">
        <v>4443</v>
      </c>
      <c r="E29" t="s">
        <v>4431</v>
      </c>
    </row>
    <row r="30" spans="1:5" ht="15" customHeight="1" x14ac:dyDescent="0.25">
      <c r="A30" t="s">
        <v>4444</v>
      </c>
      <c r="B30" t="s">
        <v>4406</v>
      </c>
      <c r="C30" t="s">
        <v>2137</v>
      </c>
      <c r="D30" t="s">
        <v>4445</v>
      </c>
      <c r="E30" t="s">
        <v>4431</v>
      </c>
    </row>
    <row r="31" spans="1:5" ht="15" customHeight="1" x14ac:dyDescent="0.25">
      <c r="A31" t="s">
        <v>4446</v>
      </c>
      <c r="B31" t="s">
        <v>4397</v>
      </c>
      <c r="C31" t="s">
        <v>553</v>
      </c>
      <c r="D31" t="s">
        <v>4436</v>
      </c>
      <c r="E31" t="s">
        <v>4447</v>
      </c>
    </row>
    <row r="32" spans="1:5" ht="15" customHeight="1" x14ac:dyDescent="0.25">
      <c r="A32" t="s">
        <v>4448</v>
      </c>
      <c r="B32" t="s">
        <v>4406</v>
      </c>
      <c r="C32" t="s">
        <v>553</v>
      </c>
      <c r="D32" t="s">
        <v>4436</v>
      </c>
      <c r="E32" t="s">
        <v>4447</v>
      </c>
    </row>
    <row r="33" spans="1:5" ht="15" customHeight="1" x14ac:dyDescent="0.25">
      <c r="A33" t="s">
        <v>4449</v>
      </c>
      <c r="B33" t="s">
        <v>4401</v>
      </c>
      <c r="C33" t="s">
        <v>553</v>
      </c>
      <c r="D33" t="s">
        <v>4402</v>
      </c>
      <c r="E33" t="s">
        <v>4447</v>
      </c>
    </row>
    <row r="34" spans="1:5" ht="15" customHeight="1" x14ac:dyDescent="0.25">
      <c r="A34" t="s">
        <v>4450</v>
      </c>
      <c r="B34" t="s">
        <v>4406</v>
      </c>
      <c r="C34" t="s">
        <v>553</v>
      </c>
      <c r="D34" t="s">
        <v>4445</v>
      </c>
      <c r="E34" t="s">
        <v>4447</v>
      </c>
    </row>
    <row r="35" spans="1:5" ht="15" customHeight="1" x14ac:dyDescent="0.25">
      <c r="A35" t="s">
        <v>4451</v>
      </c>
      <c r="B35" t="s">
        <v>4401</v>
      </c>
      <c r="C35" t="s">
        <v>553</v>
      </c>
      <c r="D35" t="s">
        <v>4430</v>
      </c>
      <c r="E35" t="s">
        <v>4447</v>
      </c>
    </row>
    <row r="36" spans="1:5" ht="15" customHeight="1" x14ac:dyDescent="0.25">
      <c r="A36" t="s">
        <v>4452</v>
      </c>
      <c r="B36" t="s">
        <v>4397</v>
      </c>
      <c r="C36" t="s">
        <v>553</v>
      </c>
      <c r="D36" t="s">
        <v>4402</v>
      </c>
      <c r="E36" t="s">
        <v>4447</v>
      </c>
    </row>
    <row r="37" spans="1:5" ht="15" customHeight="1" x14ac:dyDescent="0.25">
      <c r="A37" t="s">
        <v>4453</v>
      </c>
      <c r="B37" t="s">
        <v>4397</v>
      </c>
      <c r="C37" t="s">
        <v>501</v>
      </c>
      <c r="D37" t="s">
        <v>4433</v>
      </c>
      <c r="E37" t="s">
        <v>4454</v>
      </c>
    </row>
    <row r="38" spans="1:5" ht="15" customHeight="1" x14ac:dyDescent="0.25">
      <c r="A38" t="s">
        <v>4455</v>
      </c>
      <c r="B38" t="s">
        <v>4401</v>
      </c>
      <c r="C38" t="s">
        <v>501</v>
      </c>
      <c r="D38" t="s">
        <v>4416</v>
      </c>
      <c r="E38" t="s">
        <v>4454</v>
      </c>
    </row>
    <row r="39" spans="1:5" ht="15" customHeight="1" x14ac:dyDescent="0.25">
      <c r="A39" t="s">
        <v>4456</v>
      </c>
      <c r="B39" t="s">
        <v>4406</v>
      </c>
      <c r="C39" t="s">
        <v>501</v>
      </c>
      <c r="D39" t="s">
        <v>4423</v>
      </c>
      <c r="E39" t="s">
        <v>4454</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4457</v>
      </c>
      <c r="E2" t="s">
        <v>4458</v>
      </c>
      <c r="F2" t="s">
        <v>497</v>
      </c>
      <c r="G2" t="s">
        <v>3522</v>
      </c>
      <c r="H2" t="s">
        <v>3523</v>
      </c>
      <c r="I2" t="s">
        <v>3467</v>
      </c>
      <c r="J2" t="s">
        <v>3449</v>
      </c>
    </row>
    <row r="3" spans="1:10" ht="15" customHeight="1" x14ac:dyDescent="0.25">
      <c r="A3" t="s">
        <v>3524</v>
      </c>
      <c r="B3" t="s">
        <v>41</v>
      </c>
      <c r="C3" t="s">
        <v>3525</v>
      </c>
      <c r="D3" t="s">
        <v>4459</v>
      </c>
      <c r="E3" t="s">
        <v>4460</v>
      </c>
      <c r="F3" t="s">
        <v>90</v>
      </c>
      <c r="G3" t="s">
        <v>3527</v>
      </c>
      <c r="H3" t="s">
        <v>3524</v>
      </c>
      <c r="I3" t="s">
        <v>3467</v>
      </c>
      <c r="J3" t="s">
        <v>3528</v>
      </c>
    </row>
    <row r="4" spans="1:10" ht="15" customHeight="1" x14ac:dyDescent="0.25">
      <c r="A4" t="s">
        <v>4461</v>
      </c>
      <c r="B4" t="s">
        <v>3530</v>
      </c>
      <c r="C4" t="s">
        <v>4462</v>
      </c>
      <c r="D4" t="s">
        <v>4463</v>
      </c>
      <c r="E4" t="s">
        <v>4464</v>
      </c>
      <c r="F4" t="s">
        <v>1650</v>
      </c>
      <c r="G4" t="s">
        <v>4465</v>
      </c>
      <c r="H4" t="s">
        <v>4466</v>
      </c>
      <c r="I4" t="s">
        <v>3467</v>
      </c>
      <c r="J4" t="s">
        <v>3528</v>
      </c>
    </row>
    <row r="5" spans="1:10" ht="15" customHeight="1" x14ac:dyDescent="0.25">
      <c r="A5" t="s">
        <v>4467</v>
      </c>
      <c r="B5" t="s">
        <v>41</v>
      </c>
      <c r="C5" t="s">
        <v>3539</v>
      </c>
      <c r="D5" t="s">
        <v>4468</v>
      </c>
      <c r="E5" t="s">
        <v>4469</v>
      </c>
      <c r="F5" t="s">
        <v>1047</v>
      </c>
      <c r="G5" t="s">
        <v>4470</v>
      </c>
      <c r="H5" t="s">
        <v>4471</v>
      </c>
      <c r="I5" t="s">
        <v>3467</v>
      </c>
      <c r="J5" t="s">
        <v>3536</v>
      </c>
    </row>
    <row r="6" spans="1:10" ht="15" customHeight="1" x14ac:dyDescent="0.25">
      <c r="A6" t="s">
        <v>4472</v>
      </c>
      <c r="B6" t="s">
        <v>3530</v>
      </c>
      <c r="C6" t="s">
        <v>4462</v>
      </c>
      <c r="D6" t="s">
        <v>4473</v>
      </c>
      <c r="E6" t="s">
        <v>4474</v>
      </c>
      <c r="F6" t="s">
        <v>1047</v>
      </c>
      <c r="G6" t="s">
        <v>4475</v>
      </c>
      <c r="H6" t="s">
        <v>4472</v>
      </c>
      <c r="I6" t="s">
        <v>3467</v>
      </c>
      <c r="J6" t="s">
        <v>4476</v>
      </c>
    </row>
    <row r="7" spans="1:10" ht="15" customHeight="1" x14ac:dyDescent="0.25">
      <c r="A7" t="s">
        <v>4477</v>
      </c>
      <c r="B7" t="s">
        <v>3530</v>
      </c>
      <c r="C7" t="s">
        <v>3525</v>
      </c>
      <c r="D7" t="s">
        <v>4478</v>
      </c>
      <c r="E7" t="s">
        <v>4479</v>
      </c>
      <c r="F7" t="s">
        <v>1650</v>
      </c>
      <c r="G7" t="s">
        <v>4480</v>
      </c>
      <c r="H7" t="s">
        <v>4481</v>
      </c>
      <c r="I7" t="s">
        <v>3467</v>
      </c>
      <c r="J7" t="s">
        <v>3528</v>
      </c>
    </row>
    <row r="8" spans="1:10" ht="15" customHeight="1" x14ac:dyDescent="0.25">
      <c r="A8" t="s">
        <v>4482</v>
      </c>
      <c r="B8" t="s">
        <v>3518</v>
      </c>
      <c r="C8" t="s">
        <v>4483</v>
      </c>
      <c r="D8" t="s">
        <v>4484</v>
      </c>
      <c r="E8" t="s">
        <v>4485</v>
      </c>
      <c r="F8" t="s">
        <v>1622</v>
      </c>
      <c r="G8" t="s">
        <v>4486</v>
      </c>
      <c r="H8" t="s">
        <v>4487</v>
      </c>
      <c r="I8" t="s">
        <v>3467</v>
      </c>
      <c r="J8" t="s">
        <v>3536</v>
      </c>
    </row>
    <row r="9" spans="1:10" ht="15" customHeight="1" x14ac:dyDescent="0.25">
      <c r="A9" t="s">
        <v>4488</v>
      </c>
      <c r="B9" t="s">
        <v>3518</v>
      </c>
      <c r="C9" t="s">
        <v>3525</v>
      </c>
      <c r="D9" t="s">
        <v>4489</v>
      </c>
      <c r="E9" t="s">
        <v>4490</v>
      </c>
      <c r="F9" t="s">
        <v>1650</v>
      </c>
      <c r="G9" t="s">
        <v>4491</v>
      </c>
      <c r="H9" t="s">
        <v>4492</v>
      </c>
      <c r="I9" t="s">
        <v>3467</v>
      </c>
      <c r="J9" t="s">
        <v>4493</v>
      </c>
    </row>
    <row r="10" spans="1:10" ht="15" customHeight="1" x14ac:dyDescent="0.25">
      <c r="A10" t="s">
        <v>4494</v>
      </c>
      <c r="B10" t="s">
        <v>3518</v>
      </c>
      <c r="C10" t="s">
        <v>3525</v>
      </c>
      <c r="D10" t="s">
        <v>4495</v>
      </c>
      <c r="E10" t="s">
        <v>4496</v>
      </c>
      <c r="F10" t="s">
        <v>90</v>
      </c>
      <c r="G10" t="s">
        <v>4497</v>
      </c>
      <c r="H10" t="s">
        <v>4498</v>
      </c>
      <c r="I10" t="s">
        <v>3467</v>
      </c>
      <c r="J10" t="s">
        <v>3449</v>
      </c>
    </row>
    <row r="11" spans="1:10" ht="15" customHeight="1" x14ac:dyDescent="0.25">
      <c r="A11" t="s">
        <v>4499</v>
      </c>
      <c r="B11" t="s">
        <v>41</v>
      </c>
      <c r="C11" t="s">
        <v>4462</v>
      </c>
      <c r="D11" t="s">
        <v>4500</v>
      </c>
      <c r="E11" t="s">
        <v>4501</v>
      </c>
      <c r="F11" t="s">
        <v>1105</v>
      </c>
      <c r="G11" t="s">
        <v>3908</v>
      </c>
      <c r="H11" t="s">
        <v>4502</v>
      </c>
      <c r="I11" t="s">
        <v>3467</v>
      </c>
      <c r="J11" t="s">
        <v>4476</v>
      </c>
    </row>
    <row r="12" spans="1:10" ht="15" customHeight="1" x14ac:dyDescent="0.25">
      <c r="A12" t="s">
        <v>4503</v>
      </c>
      <c r="B12" t="s">
        <v>3518</v>
      </c>
      <c r="C12" t="s">
        <v>4462</v>
      </c>
      <c r="D12" t="s">
        <v>4504</v>
      </c>
      <c r="E12" t="s">
        <v>4505</v>
      </c>
      <c r="F12" t="s">
        <v>1622</v>
      </c>
      <c r="H12" t="s">
        <v>4506</v>
      </c>
      <c r="I12" t="s">
        <v>3467</v>
      </c>
      <c r="J12" t="s">
        <v>4507</v>
      </c>
    </row>
    <row r="13" spans="1:10" ht="15" customHeight="1" x14ac:dyDescent="0.25">
      <c r="A13" t="s">
        <v>4508</v>
      </c>
      <c r="B13" t="s">
        <v>41</v>
      </c>
      <c r="C13" t="s">
        <v>3525</v>
      </c>
      <c r="D13" t="s">
        <v>4509</v>
      </c>
      <c r="E13" t="s">
        <v>4510</v>
      </c>
      <c r="F13" t="s">
        <v>90</v>
      </c>
      <c r="G13" t="s">
        <v>3547</v>
      </c>
      <c r="H13" t="s">
        <v>4511</v>
      </c>
      <c r="I13" t="s">
        <v>3467</v>
      </c>
      <c r="J13" t="s">
        <v>3449</v>
      </c>
    </row>
    <row r="14" spans="1:10" ht="15" customHeight="1" x14ac:dyDescent="0.25">
      <c r="A14" t="s">
        <v>4512</v>
      </c>
      <c r="B14" t="s">
        <v>41</v>
      </c>
      <c r="C14" t="s">
        <v>3556</v>
      </c>
      <c r="D14" t="s">
        <v>4513</v>
      </c>
      <c r="E14" t="s">
        <v>4514</v>
      </c>
      <c r="F14" t="s">
        <v>497</v>
      </c>
      <c r="G14" t="s">
        <v>4515</v>
      </c>
      <c r="H14" t="s">
        <v>4516</v>
      </c>
      <c r="I14" t="s">
        <v>3467</v>
      </c>
      <c r="J14" t="s">
        <v>3536</v>
      </c>
    </row>
    <row r="15" spans="1:10" ht="15" customHeight="1" x14ac:dyDescent="0.25">
      <c r="A15" t="s">
        <v>4517</v>
      </c>
      <c r="B15" t="s">
        <v>3467</v>
      </c>
      <c r="C15" t="s">
        <v>4518</v>
      </c>
      <c r="D15" t="s">
        <v>4519</v>
      </c>
      <c r="F15" t="s">
        <v>1295</v>
      </c>
      <c r="H15" t="s">
        <v>4520</v>
      </c>
      <c r="I15" t="s">
        <v>3467</v>
      </c>
      <c r="J15" t="s">
        <v>4518</v>
      </c>
    </row>
    <row r="16" spans="1:10" ht="15" customHeight="1" x14ac:dyDescent="0.25">
      <c r="A16" t="s">
        <v>4521</v>
      </c>
      <c r="B16" t="s">
        <v>3467</v>
      </c>
      <c r="C16" t="s">
        <v>4518</v>
      </c>
      <c r="D16" t="s">
        <v>4522</v>
      </c>
      <c r="F16" t="s">
        <v>1295</v>
      </c>
      <c r="H16" t="s">
        <v>4523</v>
      </c>
      <c r="I16" t="s">
        <v>3467</v>
      </c>
      <c r="J16" t="s">
        <v>4518</v>
      </c>
    </row>
    <row r="17" spans="1:10" ht="15" customHeight="1" x14ac:dyDescent="0.25">
      <c r="A17" t="s">
        <v>4524</v>
      </c>
      <c r="B17" t="s">
        <v>3467</v>
      </c>
      <c r="C17" t="s">
        <v>4518</v>
      </c>
      <c r="D17" t="s">
        <v>4525</v>
      </c>
      <c r="F17" t="s">
        <v>1295</v>
      </c>
      <c r="H17" t="s">
        <v>4526</v>
      </c>
      <c r="I17" t="s">
        <v>3467</v>
      </c>
      <c r="J17" t="s">
        <v>4518</v>
      </c>
    </row>
    <row r="18" spans="1:10" ht="15" customHeight="1" x14ac:dyDescent="0.25">
      <c r="A18" t="s">
        <v>4527</v>
      </c>
      <c r="B18" t="s">
        <v>3467</v>
      </c>
      <c r="C18" t="s">
        <v>4518</v>
      </c>
      <c r="D18" t="s">
        <v>4528</v>
      </c>
      <c r="F18" t="s">
        <v>1295</v>
      </c>
      <c r="H18" t="s">
        <v>4529</v>
      </c>
      <c r="I18" t="s">
        <v>3467</v>
      </c>
      <c r="J18" t="s">
        <v>4518</v>
      </c>
    </row>
    <row r="19" spans="1:10" ht="15" customHeight="1" x14ac:dyDescent="0.25">
      <c r="A19" t="s">
        <v>4530</v>
      </c>
      <c r="B19" t="s">
        <v>3467</v>
      </c>
      <c r="C19" t="s">
        <v>4518</v>
      </c>
      <c r="D19" t="s">
        <v>4531</v>
      </c>
      <c r="F19" t="s">
        <v>1295</v>
      </c>
      <c r="H19" t="s">
        <v>4532</v>
      </c>
      <c r="I19" t="s">
        <v>3467</v>
      </c>
      <c r="J19" t="s">
        <v>4518</v>
      </c>
    </row>
    <row r="20" spans="1:10" ht="15" customHeight="1" x14ac:dyDescent="0.25">
      <c r="A20" t="s">
        <v>4533</v>
      </c>
      <c r="B20" t="s">
        <v>3467</v>
      </c>
      <c r="C20" t="s">
        <v>4518</v>
      </c>
      <c r="D20" t="s">
        <v>4534</v>
      </c>
      <c r="F20" t="s">
        <v>1295</v>
      </c>
      <c r="H20" t="s">
        <v>4535</v>
      </c>
      <c r="I20" t="s">
        <v>3467</v>
      </c>
      <c r="J20" t="s">
        <v>4518</v>
      </c>
    </row>
    <row r="21" spans="1:10" ht="15" customHeight="1" x14ac:dyDescent="0.25">
      <c r="A21" t="s">
        <v>4536</v>
      </c>
      <c r="B21" t="s">
        <v>3530</v>
      </c>
      <c r="C21" t="s">
        <v>3539</v>
      </c>
      <c r="D21" t="s">
        <v>4537</v>
      </c>
      <c r="E21" t="s">
        <v>4538</v>
      </c>
      <c r="F21" t="s">
        <v>497</v>
      </c>
      <c r="G21" t="s">
        <v>3643</v>
      </c>
      <c r="H21" t="s">
        <v>4539</v>
      </c>
      <c r="I21" t="s">
        <v>3467</v>
      </c>
      <c r="J21" t="s">
        <v>4540</v>
      </c>
    </row>
    <row r="22" spans="1:10" ht="15" customHeight="1" x14ac:dyDescent="0.25">
      <c r="A22" t="s">
        <v>4541</v>
      </c>
      <c r="B22" t="s">
        <v>41</v>
      </c>
      <c r="C22" t="s">
        <v>4542</v>
      </c>
      <c r="D22" t="s">
        <v>4543</v>
      </c>
      <c r="E22" t="s">
        <v>4544</v>
      </c>
      <c r="F22" t="s">
        <v>1650</v>
      </c>
      <c r="G22" t="s">
        <v>4545</v>
      </c>
      <c r="H22" t="s">
        <v>4546</v>
      </c>
      <c r="I22" t="s">
        <v>3467</v>
      </c>
      <c r="J22" t="s">
        <v>3536</v>
      </c>
    </row>
    <row r="23" spans="1:10" ht="15" customHeight="1" x14ac:dyDescent="0.25">
      <c r="A23" t="s">
        <v>4547</v>
      </c>
      <c r="B23" t="s">
        <v>3518</v>
      </c>
      <c r="C23" t="s">
        <v>3525</v>
      </c>
      <c r="D23" t="s">
        <v>4548</v>
      </c>
      <c r="E23" t="s">
        <v>4549</v>
      </c>
      <c r="F23" t="s">
        <v>1650</v>
      </c>
      <c r="H23" t="s">
        <v>4550</v>
      </c>
      <c r="I23" t="s">
        <v>3467</v>
      </c>
      <c r="J23" t="s">
        <v>4493</v>
      </c>
    </row>
    <row r="24" spans="1:10" ht="15" customHeight="1" x14ac:dyDescent="0.25">
      <c r="A24" t="s">
        <v>4551</v>
      </c>
      <c r="B24" t="s">
        <v>3518</v>
      </c>
      <c r="C24" t="s">
        <v>3525</v>
      </c>
      <c r="D24" t="s">
        <v>4552</v>
      </c>
      <c r="E24" t="s">
        <v>4553</v>
      </c>
      <c r="F24" t="s">
        <v>1650</v>
      </c>
      <c r="G24" t="s">
        <v>4554</v>
      </c>
      <c r="H24" t="s">
        <v>4555</v>
      </c>
      <c r="I24" t="s">
        <v>3467</v>
      </c>
      <c r="J24" t="s">
        <v>3528</v>
      </c>
    </row>
    <row r="25" spans="1:10" ht="15" customHeight="1" x14ac:dyDescent="0.25">
      <c r="A25" t="s">
        <v>4556</v>
      </c>
      <c r="B25" t="s">
        <v>3530</v>
      </c>
      <c r="C25" t="s">
        <v>3525</v>
      </c>
      <c r="D25" t="s">
        <v>4557</v>
      </c>
      <c r="E25" t="s">
        <v>4558</v>
      </c>
      <c r="F25" t="s">
        <v>90</v>
      </c>
      <c r="G25" t="s">
        <v>4559</v>
      </c>
      <c r="H25" t="s">
        <v>4560</v>
      </c>
      <c r="I25" t="s">
        <v>3467</v>
      </c>
      <c r="J25" t="s">
        <v>4493</v>
      </c>
    </row>
    <row r="26" spans="1:10" ht="15" customHeight="1" x14ac:dyDescent="0.25">
      <c r="A26" t="s">
        <v>3478</v>
      </c>
      <c r="B26" t="s">
        <v>3563</v>
      </c>
      <c r="C26" t="s">
        <v>3525</v>
      </c>
      <c r="D26" t="s">
        <v>4561</v>
      </c>
      <c r="E26" t="s">
        <v>4562</v>
      </c>
      <c r="F26" t="s">
        <v>90</v>
      </c>
      <c r="H26" t="s">
        <v>3566</v>
      </c>
      <c r="I26" t="s">
        <v>3467</v>
      </c>
      <c r="J26" t="s">
        <v>3449</v>
      </c>
    </row>
    <row r="27" spans="1:10" ht="15" customHeight="1" x14ac:dyDescent="0.25">
      <c r="A27" t="s">
        <v>4563</v>
      </c>
      <c r="B27" t="s">
        <v>3518</v>
      </c>
      <c r="C27" t="s">
        <v>3539</v>
      </c>
      <c r="D27" t="s">
        <v>4564</v>
      </c>
      <c r="E27" t="s">
        <v>4565</v>
      </c>
      <c r="F27" t="s">
        <v>90</v>
      </c>
      <c r="G27" t="s">
        <v>3593</v>
      </c>
      <c r="H27" t="s">
        <v>4566</v>
      </c>
      <c r="I27" t="s">
        <v>3467</v>
      </c>
      <c r="J27" t="s">
        <v>4567</v>
      </c>
    </row>
    <row r="28" spans="1:10" ht="15" customHeight="1" x14ac:dyDescent="0.25">
      <c r="A28" t="s">
        <v>4568</v>
      </c>
      <c r="B28" t="s">
        <v>3530</v>
      </c>
      <c r="C28" t="s">
        <v>3539</v>
      </c>
      <c r="D28" t="s">
        <v>4569</v>
      </c>
      <c r="E28" t="s">
        <v>4570</v>
      </c>
      <c r="F28" t="s">
        <v>497</v>
      </c>
      <c r="H28" t="s">
        <v>4568</v>
      </c>
      <c r="I28" t="s">
        <v>3467</v>
      </c>
      <c r="J28" t="s">
        <v>3536</v>
      </c>
    </row>
    <row r="29" spans="1:10" ht="15" customHeight="1" x14ac:dyDescent="0.25">
      <c r="A29" t="s">
        <v>4571</v>
      </c>
      <c r="B29" t="s">
        <v>3518</v>
      </c>
      <c r="C29" t="s">
        <v>3525</v>
      </c>
      <c r="D29" t="s">
        <v>4572</v>
      </c>
      <c r="E29" t="s">
        <v>4573</v>
      </c>
      <c r="F29" t="s">
        <v>90</v>
      </c>
      <c r="G29" t="s">
        <v>3527</v>
      </c>
      <c r="H29" t="s">
        <v>4574</v>
      </c>
      <c r="I29" t="s">
        <v>3467</v>
      </c>
      <c r="J29" t="s">
        <v>3528</v>
      </c>
    </row>
    <row r="30" spans="1:10" ht="15" customHeight="1" x14ac:dyDescent="0.25">
      <c r="A30" t="s">
        <v>3580</v>
      </c>
      <c r="B30" t="s">
        <v>3530</v>
      </c>
      <c r="C30" t="s">
        <v>3525</v>
      </c>
      <c r="D30" t="s">
        <v>4575</v>
      </c>
      <c r="E30" t="s">
        <v>4576</v>
      </c>
      <c r="F30" t="s">
        <v>160</v>
      </c>
      <c r="H30" t="s">
        <v>3585</v>
      </c>
      <c r="I30" t="s">
        <v>3467</v>
      </c>
      <c r="J30" t="s">
        <v>3449</v>
      </c>
    </row>
    <row r="31" spans="1:10" ht="15" customHeight="1" x14ac:dyDescent="0.25">
      <c r="A31" t="s">
        <v>3586</v>
      </c>
      <c r="B31" t="s">
        <v>41</v>
      </c>
      <c r="C31" t="s">
        <v>4542</v>
      </c>
      <c r="D31" t="s">
        <v>4577</v>
      </c>
      <c r="E31" t="s">
        <v>4578</v>
      </c>
      <c r="F31" t="s">
        <v>1650</v>
      </c>
      <c r="G31" t="s">
        <v>4545</v>
      </c>
      <c r="H31" t="s">
        <v>3586</v>
      </c>
      <c r="I31" t="s">
        <v>3467</v>
      </c>
      <c r="J31" t="s">
        <v>3536</v>
      </c>
    </row>
    <row r="32" spans="1:10" ht="15" customHeight="1" x14ac:dyDescent="0.25">
      <c r="A32" t="s">
        <v>4579</v>
      </c>
      <c r="B32" t="s">
        <v>3530</v>
      </c>
      <c r="C32" t="s">
        <v>3525</v>
      </c>
      <c r="D32" t="s">
        <v>4580</v>
      </c>
      <c r="E32" t="s">
        <v>4581</v>
      </c>
      <c r="F32" t="s">
        <v>1323</v>
      </c>
      <c r="G32" t="s">
        <v>4582</v>
      </c>
      <c r="H32" t="s">
        <v>4583</v>
      </c>
      <c r="I32" t="s">
        <v>3467</v>
      </c>
      <c r="J32" t="s">
        <v>4584</v>
      </c>
    </row>
    <row r="33" spans="1:10" ht="15" customHeight="1" x14ac:dyDescent="0.25">
      <c r="A33" t="s">
        <v>4585</v>
      </c>
      <c r="B33" t="s">
        <v>3518</v>
      </c>
      <c r="C33" t="s">
        <v>3539</v>
      </c>
      <c r="D33" t="s">
        <v>4586</v>
      </c>
      <c r="E33" t="s">
        <v>4587</v>
      </c>
      <c r="F33" t="s">
        <v>160</v>
      </c>
      <c r="G33" t="s">
        <v>4588</v>
      </c>
      <c r="H33" t="s">
        <v>4589</v>
      </c>
      <c r="I33" t="s">
        <v>3467</v>
      </c>
      <c r="J33" t="s">
        <v>3536</v>
      </c>
    </row>
    <row r="34" spans="1:10" ht="15" customHeight="1" x14ac:dyDescent="0.25">
      <c r="A34" t="s">
        <v>3590</v>
      </c>
      <c r="B34" t="s">
        <v>3530</v>
      </c>
      <c r="C34" t="s">
        <v>3525</v>
      </c>
      <c r="D34" t="s">
        <v>3591</v>
      </c>
      <c r="E34" t="s">
        <v>4590</v>
      </c>
      <c r="F34" t="s">
        <v>2805</v>
      </c>
      <c r="G34" t="s">
        <v>3593</v>
      </c>
      <c r="H34" t="s">
        <v>3590</v>
      </c>
      <c r="I34" t="s">
        <v>3467</v>
      </c>
      <c r="J34" t="s">
        <v>3594</v>
      </c>
    </row>
    <row r="35" spans="1:10" ht="15" customHeight="1" x14ac:dyDescent="0.25">
      <c r="A35" t="s">
        <v>3483</v>
      </c>
      <c r="B35" t="s">
        <v>3530</v>
      </c>
      <c r="C35" t="s">
        <v>4591</v>
      </c>
      <c r="D35" t="s">
        <v>4592</v>
      </c>
      <c r="E35" t="s">
        <v>4593</v>
      </c>
      <c r="F35" t="s">
        <v>160</v>
      </c>
      <c r="G35" t="s">
        <v>315</v>
      </c>
      <c r="H35" t="s">
        <v>3483</v>
      </c>
      <c r="I35" t="s">
        <v>3467</v>
      </c>
      <c r="J35" t="s">
        <v>3536</v>
      </c>
    </row>
    <row r="36" spans="1:10" ht="15" customHeight="1" x14ac:dyDescent="0.25">
      <c r="A36" t="s">
        <v>4594</v>
      </c>
      <c r="B36" t="s">
        <v>3530</v>
      </c>
      <c r="C36" t="s">
        <v>3525</v>
      </c>
      <c r="D36" t="s">
        <v>4595</v>
      </c>
      <c r="E36" t="s">
        <v>4596</v>
      </c>
      <c r="F36" t="s">
        <v>90</v>
      </c>
      <c r="G36" t="s">
        <v>4597</v>
      </c>
      <c r="H36" t="s">
        <v>4598</v>
      </c>
      <c r="I36" t="s">
        <v>3467</v>
      </c>
      <c r="J36" t="s">
        <v>4599</v>
      </c>
    </row>
    <row r="37" spans="1:10" ht="15" customHeight="1" x14ac:dyDescent="0.25">
      <c r="A37" t="s">
        <v>4600</v>
      </c>
      <c r="B37" t="s">
        <v>3518</v>
      </c>
      <c r="C37" t="s">
        <v>4601</v>
      </c>
      <c r="D37" t="s">
        <v>4602</v>
      </c>
      <c r="E37" t="s">
        <v>4603</v>
      </c>
      <c r="F37" t="s">
        <v>160</v>
      </c>
      <c r="G37" t="s">
        <v>4604</v>
      </c>
      <c r="H37" t="s">
        <v>4605</v>
      </c>
      <c r="I37" t="s">
        <v>3467</v>
      </c>
      <c r="J37" t="s">
        <v>4493</v>
      </c>
    </row>
    <row r="38" spans="1:10" ht="15" customHeight="1" x14ac:dyDescent="0.25">
      <c r="A38" t="s">
        <v>4606</v>
      </c>
      <c r="B38" t="s">
        <v>3530</v>
      </c>
      <c r="C38" t="s">
        <v>3596</v>
      </c>
      <c r="D38" t="s">
        <v>4607</v>
      </c>
      <c r="F38" t="s">
        <v>160</v>
      </c>
      <c r="G38" t="s">
        <v>4608</v>
      </c>
      <c r="H38" t="s">
        <v>4609</v>
      </c>
      <c r="I38" t="s">
        <v>3467</v>
      </c>
      <c r="J38" t="s">
        <v>3458</v>
      </c>
    </row>
    <row r="39" spans="1:10" ht="15" customHeight="1" x14ac:dyDescent="0.25">
      <c r="A39" t="s">
        <v>4610</v>
      </c>
      <c r="B39" t="s">
        <v>3530</v>
      </c>
      <c r="C39" t="s">
        <v>3525</v>
      </c>
      <c r="D39" t="s">
        <v>4611</v>
      </c>
      <c r="E39" t="s">
        <v>4612</v>
      </c>
      <c r="F39" t="s">
        <v>1130</v>
      </c>
      <c r="G39" t="s">
        <v>4613</v>
      </c>
      <c r="H39" t="s">
        <v>4614</v>
      </c>
      <c r="I39" t="s">
        <v>3467</v>
      </c>
      <c r="J39" t="s">
        <v>4615</v>
      </c>
    </row>
    <row r="40" spans="1:10" ht="15" customHeight="1" x14ac:dyDescent="0.25">
      <c r="A40" t="s">
        <v>4616</v>
      </c>
      <c r="B40" t="s">
        <v>3530</v>
      </c>
      <c r="C40" t="s">
        <v>4462</v>
      </c>
      <c r="D40" t="s">
        <v>4617</v>
      </c>
      <c r="E40" t="s">
        <v>4618</v>
      </c>
      <c r="F40" t="s">
        <v>1622</v>
      </c>
      <c r="H40" t="s">
        <v>4616</v>
      </c>
      <c r="I40" t="s">
        <v>3467</v>
      </c>
      <c r="J40" t="s">
        <v>4493</v>
      </c>
    </row>
    <row r="41" spans="1:10" ht="15" customHeight="1" x14ac:dyDescent="0.25">
      <c r="A41" t="s">
        <v>4619</v>
      </c>
      <c r="B41" t="s">
        <v>41</v>
      </c>
      <c r="C41" t="s">
        <v>4542</v>
      </c>
      <c r="D41" t="s">
        <v>4620</v>
      </c>
      <c r="E41" t="s">
        <v>4621</v>
      </c>
      <c r="F41" t="s">
        <v>1650</v>
      </c>
      <c r="G41" t="s">
        <v>4545</v>
      </c>
      <c r="H41" t="s">
        <v>4622</v>
      </c>
      <c r="I41" t="s">
        <v>3467</v>
      </c>
      <c r="J41" t="s">
        <v>3536</v>
      </c>
    </row>
    <row r="42" spans="1:10" ht="15" customHeight="1" x14ac:dyDescent="0.25">
      <c r="A42" t="s">
        <v>4623</v>
      </c>
      <c r="B42" t="s">
        <v>3518</v>
      </c>
      <c r="C42" t="s">
        <v>3525</v>
      </c>
      <c r="D42" t="s">
        <v>4624</v>
      </c>
      <c r="E42" t="s">
        <v>4625</v>
      </c>
      <c r="F42" t="s">
        <v>2805</v>
      </c>
      <c r="G42" t="s">
        <v>4486</v>
      </c>
      <c r="H42" t="s">
        <v>4623</v>
      </c>
      <c r="I42" t="s">
        <v>3467</v>
      </c>
      <c r="J42" t="s">
        <v>4493</v>
      </c>
    </row>
    <row r="43" spans="1:10" ht="15" customHeight="1" x14ac:dyDescent="0.25">
      <c r="A43" t="s">
        <v>4626</v>
      </c>
      <c r="B43" t="s">
        <v>3518</v>
      </c>
      <c r="C43" t="s">
        <v>3525</v>
      </c>
      <c r="D43" t="s">
        <v>4627</v>
      </c>
      <c r="E43" t="s">
        <v>4628</v>
      </c>
      <c r="F43" t="s">
        <v>90</v>
      </c>
      <c r="G43" t="s">
        <v>4629</v>
      </c>
      <c r="H43" t="s">
        <v>4630</v>
      </c>
      <c r="I43" t="s">
        <v>3467</v>
      </c>
      <c r="J43" t="s">
        <v>4631</v>
      </c>
    </row>
    <row r="44" spans="1:10" ht="15" customHeight="1" x14ac:dyDescent="0.25">
      <c r="A44" t="s">
        <v>4632</v>
      </c>
      <c r="B44" t="s">
        <v>3518</v>
      </c>
      <c r="C44" t="s">
        <v>3525</v>
      </c>
      <c r="D44" t="s">
        <v>4633</v>
      </c>
      <c r="E44" t="s">
        <v>4634</v>
      </c>
      <c r="F44" t="s">
        <v>1650</v>
      </c>
      <c r="G44" t="s">
        <v>4635</v>
      </c>
      <c r="H44" t="s">
        <v>4636</v>
      </c>
      <c r="I44" t="s">
        <v>3467</v>
      </c>
      <c r="J44" t="s">
        <v>4493</v>
      </c>
    </row>
    <row r="45" spans="1:10" ht="15" customHeight="1" x14ac:dyDescent="0.25">
      <c r="A45" t="s">
        <v>4637</v>
      </c>
      <c r="B45" t="s">
        <v>3530</v>
      </c>
      <c r="C45" t="s">
        <v>3525</v>
      </c>
      <c r="D45" t="s">
        <v>4638</v>
      </c>
      <c r="E45" t="s">
        <v>4639</v>
      </c>
      <c r="F45" t="s">
        <v>2805</v>
      </c>
      <c r="G45" t="s">
        <v>4640</v>
      </c>
      <c r="H45" t="s">
        <v>4641</v>
      </c>
      <c r="I45" t="s">
        <v>3467</v>
      </c>
      <c r="J45" t="s">
        <v>3536</v>
      </c>
    </row>
    <row r="46" spans="1:10" ht="15" customHeight="1" x14ac:dyDescent="0.25">
      <c r="A46" t="s">
        <v>4642</v>
      </c>
      <c r="B46" t="s">
        <v>41</v>
      </c>
      <c r="C46" t="s">
        <v>3539</v>
      </c>
      <c r="D46" t="s">
        <v>4643</v>
      </c>
      <c r="E46" t="s">
        <v>4644</v>
      </c>
      <c r="F46" t="s">
        <v>2137</v>
      </c>
      <c r="G46" t="s">
        <v>4645</v>
      </c>
      <c r="H46" t="s">
        <v>4646</v>
      </c>
      <c r="I46" t="s">
        <v>3467</v>
      </c>
      <c r="J46" t="s">
        <v>3536</v>
      </c>
    </row>
    <row r="47" spans="1:10" ht="15" customHeight="1" x14ac:dyDescent="0.25">
      <c r="A47" t="s">
        <v>4647</v>
      </c>
      <c r="B47" t="s">
        <v>3530</v>
      </c>
      <c r="C47" t="s">
        <v>3525</v>
      </c>
      <c r="D47" t="s">
        <v>4648</v>
      </c>
      <c r="E47" t="s">
        <v>4649</v>
      </c>
      <c r="F47" t="s">
        <v>90</v>
      </c>
      <c r="G47" t="s">
        <v>4650</v>
      </c>
      <c r="H47" t="s">
        <v>4651</v>
      </c>
      <c r="I47" t="s">
        <v>3467</v>
      </c>
      <c r="J47" t="s">
        <v>3594</v>
      </c>
    </row>
    <row r="48" spans="1:10" ht="15" customHeight="1" x14ac:dyDescent="0.25">
      <c r="A48" t="s">
        <v>4652</v>
      </c>
      <c r="B48" t="s">
        <v>3530</v>
      </c>
      <c r="C48" t="s">
        <v>3525</v>
      </c>
      <c r="D48" t="s">
        <v>4653</v>
      </c>
      <c r="E48" t="s">
        <v>4654</v>
      </c>
      <c r="F48" t="s">
        <v>2507</v>
      </c>
      <c r="G48" t="s">
        <v>4655</v>
      </c>
      <c r="H48" t="s">
        <v>4652</v>
      </c>
      <c r="I48" t="s">
        <v>3467</v>
      </c>
      <c r="J48" t="s">
        <v>3528</v>
      </c>
    </row>
    <row r="49" spans="1:10" ht="15" customHeight="1" x14ac:dyDescent="0.25">
      <c r="A49" t="s">
        <v>4656</v>
      </c>
      <c r="B49" t="s">
        <v>3518</v>
      </c>
      <c r="C49" t="s">
        <v>3525</v>
      </c>
      <c r="D49" t="s">
        <v>4657</v>
      </c>
      <c r="E49" t="s">
        <v>4658</v>
      </c>
      <c r="F49" t="s">
        <v>90</v>
      </c>
      <c r="G49" t="s">
        <v>264</v>
      </c>
      <c r="H49" t="s">
        <v>4656</v>
      </c>
      <c r="I49" t="s">
        <v>3467</v>
      </c>
      <c r="J49" t="s">
        <v>3528</v>
      </c>
    </row>
    <row r="50" spans="1:10" ht="15" customHeight="1" x14ac:dyDescent="0.25">
      <c r="A50" t="s">
        <v>4659</v>
      </c>
      <c r="B50" t="s">
        <v>41</v>
      </c>
      <c r="C50" t="s">
        <v>3539</v>
      </c>
      <c r="D50" t="s">
        <v>4660</v>
      </c>
      <c r="E50" t="s">
        <v>4661</v>
      </c>
      <c r="F50" t="s">
        <v>160</v>
      </c>
      <c r="G50" t="s">
        <v>4662</v>
      </c>
      <c r="H50" t="s">
        <v>4663</v>
      </c>
      <c r="I50" t="s">
        <v>3467</v>
      </c>
      <c r="J50" t="s">
        <v>3536</v>
      </c>
    </row>
    <row r="51" spans="1:10" ht="15" customHeight="1" x14ac:dyDescent="0.25">
      <c r="A51" t="s">
        <v>4664</v>
      </c>
      <c r="B51" t="s">
        <v>3518</v>
      </c>
      <c r="C51" t="s">
        <v>3525</v>
      </c>
      <c r="D51" t="s">
        <v>4665</v>
      </c>
      <c r="E51" t="s">
        <v>4666</v>
      </c>
      <c r="F51" t="s">
        <v>1130</v>
      </c>
      <c r="G51" t="s">
        <v>4667</v>
      </c>
      <c r="H51" t="s">
        <v>4668</v>
      </c>
      <c r="I51" t="s">
        <v>3467</v>
      </c>
      <c r="J51" t="s">
        <v>4669</v>
      </c>
    </row>
    <row r="52" spans="1:10" ht="15" customHeight="1" x14ac:dyDescent="0.25">
      <c r="A52" t="s">
        <v>4670</v>
      </c>
      <c r="B52" t="s">
        <v>3530</v>
      </c>
      <c r="C52" t="s">
        <v>3525</v>
      </c>
      <c r="D52" t="s">
        <v>4671</v>
      </c>
      <c r="E52" t="s">
        <v>4672</v>
      </c>
      <c r="F52" t="s">
        <v>90</v>
      </c>
      <c r="H52" t="s">
        <v>4673</v>
      </c>
      <c r="I52" t="s">
        <v>3467</v>
      </c>
      <c r="J52" t="s">
        <v>4674</v>
      </c>
    </row>
    <row r="53" spans="1:10" ht="15" customHeight="1" x14ac:dyDescent="0.25">
      <c r="A53" t="s">
        <v>4675</v>
      </c>
      <c r="B53" t="s">
        <v>3518</v>
      </c>
      <c r="C53" t="s">
        <v>3539</v>
      </c>
      <c r="D53" t="s">
        <v>4676</v>
      </c>
      <c r="E53" t="s">
        <v>4677</v>
      </c>
      <c r="F53" t="s">
        <v>497</v>
      </c>
      <c r="G53" t="s">
        <v>4678</v>
      </c>
      <c r="H53" t="s">
        <v>4675</v>
      </c>
      <c r="I53" t="s">
        <v>3467</v>
      </c>
      <c r="J53" t="s">
        <v>3536</v>
      </c>
    </row>
    <row r="54" spans="1:10" ht="15" customHeight="1" x14ac:dyDescent="0.25">
      <c r="A54" t="s">
        <v>4679</v>
      </c>
      <c r="B54" t="s">
        <v>41</v>
      </c>
      <c r="C54" t="s">
        <v>4601</v>
      </c>
      <c r="D54" t="s">
        <v>4680</v>
      </c>
      <c r="E54" t="s">
        <v>4681</v>
      </c>
      <c r="F54" t="s">
        <v>90</v>
      </c>
      <c r="G54" t="s">
        <v>4682</v>
      </c>
      <c r="H54" t="s">
        <v>4683</v>
      </c>
      <c r="I54" t="s">
        <v>3467</v>
      </c>
      <c r="J54" t="s">
        <v>4567</v>
      </c>
    </row>
    <row r="55" spans="1:10" ht="15" customHeight="1" x14ac:dyDescent="0.25">
      <c r="A55" t="s">
        <v>4684</v>
      </c>
      <c r="B55" t="s">
        <v>3530</v>
      </c>
      <c r="C55" t="s">
        <v>3525</v>
      </c>
      <c r="D55" t="s">
        <v>4685</v>
      </c>
      <c r="E55" t="s">
        <v>4686</v>
      </c>
      <c r="F55" t="s">
        <v>160</v>
      </c>
      <c r="G55" t="s">
        <v>4687</v>
      </c>
      <c r="H55" t="s">
        <v>4688</v>
      </c>
      <c r="I55" t="s">
        <v>3467</v>
      </c>
      <c r="J55" t="s">
        <v>3594</v>
      </c>
    </row>
    <row r="56" spans="1:10" ht="15" customHeight="1" x14ac:dyDescent="0.25">
      <c r="A56" t="s">
        <v>3614</v>
      </c>
      <c r="B56" t="s">
        <v>41</v>
      </c>
      <c r="C56" t="s">
        <v>3531</v>
      </c>
      <c r="D56" t="s">
        <v>4689</v>
      </c>
      <c r="E56" t="s">
        <v>4690</v>
      </c>
      <c r="F56" t="s">
        <v>2805</v>
      </c>
      <c r="G56" t="s">
        <v>3616</v>
      </c>
      <c r="H56" t="s">
        <v>3617</v>
      </c>
      <c r="I56" t="s">
        <v>3467</v>
      </c>
      <c r="J56" t="s">
        <v>3449</v>
      </c>
    </row>
    <row r="57" spans="1:10" ht="15" customHeight="1" x14ac:dyDescent="0.25">
      <c r="A57" t="s">
        <v>4691</v>
      </c>
      <c r="B57" t="s">
        <v>3742</v>
      </c>
      <c r="C57" t="s">
        <v>3525</v>
      </c>
      <c r="D57" t="s">
        <v>4692</v>
      </c>
      <c r="E57" t="s">
        <v>4693</v>
      </c>
      <c r="F57" t="s">
        <v>160</v>
      </c>
      <c r="G57" t="s">
        <v>4694</v>
      </c>
      <c r="H57" t="s">
        <v>4695</v>
      </c>
      <c r="I57" t="s">
        <v>3467</v>
      </c>
      <c r="J57" t="s">
        <v>3528</v>
      </c>
    </row>
    <row r="58" spans="1:10" ht="15" customHeight="1" x14ac:dyDescent="0.25">
      <c r="A58" t="s">
        <v>4696</v>
      </c>
      <c r="B58" t="s">
        <v>3530</v>
      </c>
      <c r="C58" t="s">
        <v>3525</v>
      </c>
      <c r="D58" t="s">
        <v>4697</v>
      </c>
      <c r="E58" t="s">
        <v>4698</v>
      </c>
      <c r="F58" t="s">
        <v>90</v>
      </c>
      <c r="G58" t="s">
        <v>3527</v>
      </c>
      <c r="H58" t="s">
        <v>4699</v>
      </c>
      <c r="I58" t="s">
        <v>3467</v>
      </c>
      <c r="J58" t="s">
        <v>3528</v>
      </c>
    </row>
    <row r="59" spans="1:10" ht="15" customHeight="1" x14ac:dyDescent="0.25">
      <c r="A59" t="s">
        <v>4700</v>
      </c>
      <c r="B59" t="s">
        <v>3518</v>
      </c>
      <c r="C59" t="s">
        <v>3525</v>
      </c>
      <c r="D59" t="s">
        <v>4701</v>
      </c>
      <c r="E59" t="s">
        <v>4702</v>
      </c>
      <c r="F59" t="s">
        <v>90</v>
      </c>
      <c r="G59" t="s">
        <v>264</v>
      </c>
      <c r="H59" t="s">
        <v>4703</v>
      </c>
      <c r="I59" t="s">
        <v>3467</v>
      </c>
      <c r="J59" t="s">
        <v>4567</v>
      </c>
    </row>
    <row r="60" spans="1:10" ht="15" customHeight="1" x14ac:dyDescent="0.25">
      <c r="A60" t="s">
        <v>4704</v>
      </c>
      <c r="B60" t="s">
        <v>3518</v>
      </c>
      <c r="C60" t="s">
        <v>3525</v>
      </c>
      <c r="D60" t="s">
        <v>4705</v>
      </c>
      <c r="E60" t="s">
        <v>4706</v>
      </c>
      <c r="F60" t="s">
        <v>1650</v>
      </c>
      <c r="G60" t="s">
        <v>4707</v>
      </c>
      <c r="H60" t="s">
        <v>4708</v>
      </c>
      <c r="I60" t="s">
        <v>3467</v>
      </c>
      <c r="J60" t="s">
        <v>4507</v>
      </c>
    </row>
    <row r="61" spans="1:10" ht="15" customHeight="1" x14ac:dyDescent="0.25">
      <c r="A61" t="s">
        <v>4709</v>
      </c>
      <c r="B61" t="s">
        <v>41</v>
      </c>
      <c r="C61" t="s">
        <v>4483</v>
      </c>
      <c r="D61" t="s">
        <v>4710</v>
      </c>
      <c r="E61" t="s">
        <v>4711</v>
      </c>
      <c r="F61" t="s">
        <v>497</v>
      </c>
      <c r="G61" t="s">
        <v>264</v>
      </c>
      <c r="H61" t="s">
        <v>4709</v>
      </c>
      <c r="I61" t="s">
        <v>3467</v>
      </c>
      <c r="J61" t="s">
        <v>3449</v>
      </c>
    </row>
    <row r="62" spans="1:10" ht="15" customHeight="1" x14ac:dyDescent="0.25">
      <c r="A62" t="s">
        <v>4712</v>
      </c>
      <c r="B62" t="s">
        <v>3518</v>
      </c>
      <c r="C62" t="s">
        <v>3525</v>
      </c>
      <c r="D62" t="s">
        <v>4713</v>
      </c>
      <c r="E62" t="s">
        <v>4714</v>
      </c>
      <c r="F62" t="s">
        <v>160</v>
      </c>
      <c r="H62" t="s">
        <v>4715</v>
      </c>
      <c r="I62" t="s">
        <v>3467</v>
      </c>
      <c r="J62" t="s">
        <v>4716</v>
      </c>
    </row>
    <row r="63" spans="1:10" ht="15" customHeight="1" x14ac:dyDescent="0.25">
      <c r="A63" t="s">
        <v>4717</v>
      </c>
      <c r="B63" t="s">
        <v>3518</v>
      </c>
      <c r="C63" t="s">
        <v>3525</v>
      </c>
      <c r="D63" t="s">
        <v>4718</v>
      </c>
      <c r="E63" t="s">
        <v>4719</v>
      </c>
      <c r="F63" t="s">
        <v>1650</v>
      </c>
      <c r="G63" t="s">
        <v>4720</v>
      </c>
      <c r="H63" t="s">
        <v>4721</v>
      </c>
      <c r="I63" t="s">
        <v>3467</v>
      </c>
      <c r="J63" t="s">
        <v>4507</v>
      </c>
    </row>
    <row r="64" spans="1:10" ht="15" customHeight="1" x14ac:dyDescent="0.25">
      <c r="A64" t="s">
        <v>4722</v>
      </c>
      <c r="B64" t="s">
        <v>3530</v>
      </c>
      <c r="C64" t="s">
        <v>3539</v>
      </c>
      <c r="D64" t="s">
        <v>4723</v>
      </c>
      <c r="E64" t="s">
        <v>4724</v>
      </c>
      <c r="F64" t="s">
        <v>2137</v>
      </c>
      <c r="G64" t="s">
        <v>4725</v>
      </c>
      <c r="H64" t="s">
        <v>4726</v>
      </c>
      <c r="I64" t="s">
        <v>3467</v>
      </c>
      <c r="J64" t="s">
        <v>3449</v>
      </c>
    </row>
    <row r="65" spans="1:10" ht="15" customHeight="1" x14ac:dyDescent="0.25">
      <c r="A65" t="s">
        <v>4727</v>
      </c>
      <c r="B65" t="s">
        <v>41</v>
      </c>
      <c r="C65" t="s">
        <v>4462</v>
      </c>
      <c r="D65" t="s">
        <v>4728</v>
      </c>
      <c r="E65" t="s">
        <v>4729</v>
      </c>
      <c r="F65" t="s">
        <v>1047</v>
      </c>
      <c r="G65" t="s">
        <v>3908</v>
      </c>
      <c r="H65" t="s">
        <v>4730</v>
      </c>
      <c r="I65" t="s">
        <v>3467</v>
      </c>
      <c r="J65" t="s">
        <v>4493</v>
      </c>
    </row>
    <row r="66" spans="1:10" ht="15" customHeight="1" x14ac:dyDescent="0.25">
      <c r="A66" t="s">
        <v>4731</v>
      </c>
      <c r="B66" t="s">
        <v>3530</v>
      </c>
      <c r="C66" t="s">
        <v>4483</v>
      </c>
      <c r="D66" t="s">
        <v>4732</v>
      </c>
      <c r="E66" t="s">
        <v>4733</v>
      </c>
      <c r="F66" t="s">
        <v>501</v>
      </c>
      <c r="G66" t="s">
        <v>4734</v>
      </c>
      <c r="H66" t="s">
        <v>4735</v>
      </c>
      <c r="I66" t="s">
        <v>3467</v>
      </c>
      <c r="J66" t="s">
        <v>4493</v>
      </c>
    </row>
    <row r="67" spans="1:10" ht="15" customHeight="1" x14ac:dyDescent="0.25">
      <c r="A67" t="s">
        <v>4736</v>
      </c>
      <c r="B67" t="s">
        <v>41</v>
      </c>
      <c r="C67" t="s">
        <v>4462</v>
      </c>
      <c r="D67" t="s">
        <v>4737</v>
      </c>
      <c r="E67" t="s">
        <v>4738</v>
      </c>
      <c r="F67" t="s">
        <v>1047</v>
      </c>
      <c r="G67" t="s">
        <v>3908</v>
      </c>
      <c r="H67" t="s">
        <v>4739</v>
      </c>
      <c r="I67" t="s">
        <v>3467</v>
      </c>
      <c r="J67" t="s">
        <v>4493</v>
      </c>
    </row>
    <row r="68" spans="1:10" ht="15" customHeight="1" x14ac:dyDescent="0.25">
      <c r="A68" t="s">
        <v>4740</v>
      </c>
      <c r="B68" t="s">
        <v>41</v>
      </c>
      <c r="C68" t="s">
        <v>3539</v>
      </c>
      <c r="D68" t="s">
        <v>4154</v>
      </c>
      <c r="E68" t="s">
        <v>4741</v>
      </c>
      <c r="F68" t="s">
        <v>160</v>
      </c>
      <c r="H68" t="s">
        <v>4742</v>
      </c>
      <c r="I68" t="s">
        <v>3467</v>
      </c>
      <c r="J68" t="s">
        <v>3536</v>
      </c>
    </row>
    <row r="69" spans="1:10" ht="15" customHeight="1" x14ac:dyDescent="0.25">
      <c r="A69" t="s">
        <v>3645</v>
      </c>
      <c r="B69" t="s">
        <v>41</v>
      </c>
      <c r="C69" t="s">
        <v>3531</v>
      </c>
      <c r="D69" t="s">
        <v>4743</v>
      </c>
      <c r="E69" t="s">
        <v>4744</v>
      </c>
      <c r="F69" t="s">
        <v>160</v>
      </c>
      <c r="G69" t="s">
        <v>264</v>
      </c>
      <c r="H69" t="s">
        <v>3645</v>
      </c>
      <c r="I69" t="s">
        <v>3467</v>
      </c>
      <c r="J69" t="s">
        <v>3449</v>
      </c>
    </row>
    <row r="70" spans="1:10" ht="15" customHeight="1" x14ac:dyDescent="0.25">
      <c r="A70" t="s">
        <v>3648</v>
      </c>
      <c r="B70" t="s">
        <v>3518</v>
      </c>
      <c r="C70" t="s">
        <v>3531</v>
      </c>
      <c r="D70" t="s">
        <v>4745</v>
      </c>
      <c r="E70" t="s">
        <v>4746</v>
      </c>
      <c r="F70" t="s">
        <v>90</v>
      </c>
      <c r="G70" t="s">
        <v>3651</v>
      </c>
      <c r="H70" t="s">
        <v>3648</v>
      </c>
      <c r="I70" t="s">
        <v>3467</v>
      </c>
      <c r="J70" t="s">
        <v>3449</v>
      </c>
    </row>
    <row r="71" spans="1:10" ht="15" customHeight="1" x14ac:dyDescent="0.25">
      <c r="A71" t="s">
        <v>3652</v>
      </c>
      <c r="B71" t="s">
        <v>3530</v>
      </c>
      <c r="C71" t="s">
        <v>3525</v>
      </c>
      <c r="D71" t="s">
        <v>4747</v>
      </c>
      <c r="E71" t="s">
        <v>4748</v>
      </c>
      <c r="F71" t="s">
        <v>90</v>
      </c>
      <c r="G71" t="s">
        <v>3655</v>
      </c>
      <c r="H71" t="s">
        <v>3656</v>
      </c>
      <c r="I71" t="s">
        <v>3467</v>
      </c>
      <c r="J71" t="s">
        <v>3449</v>
      </c>
    </row>
    <row r="72" spans="1:10" ht="15" customHeight="1" x14ac:dyDescent="0.25">
      <c r="A72" t="s">
        <v>4749</v>
      </c>
      <c r="B72" t="s">
        <v>3530</v>
      </c>
      <c r="C72" t="s">
        <v>3525</v>
      </c>
      <c r="D72" t="s">
        <v>4750</v>
      </c>
      <c r="E72" t="s">
        <v>4751</v>
      </c>
      <c r="F72" t="s">
        <v>90</v>
      </c>
      <c r="H72" t="s">
        <v>4752</v>
      </c>
      <c r="I72" t="s">
        <v>3467</v>
      </c>
      <c r="J72" t="s">
        <v>4493</v>
      </c>
    </row>
    <row r="73" spans="1:10" ht="15" customHeight="1" x14ac:dyDescent="0.25">
      <c r="A73" t="s">
        <v>4753</v>
      </c>
      <c r="B73" t="s">
        <v>3530</v>
      </c>
      <c r="C73" t="s">
        <v>3525</v>
      </c>
      <c r="D73" t="s">
        <v>4754</v>
      </c>
      <c r="E73" t="s">
        <v>4755</v>
      </c>
      <c r="F73" t="s">
        <v>1650</v>
      </c>
      <c r="G73" t="s">
        <v>4756</v>
      </c>
      <c r="H73" t="s">
        <v>4757</v>
      </c>
      <c r="I73" t="s">
        <v>3467</v>
      </c>
      <c r="J73" t="s">
        <v>3528</v>
      </c>
    </row>
    <row r="74" spans="1:10" ht="15" customHeight="1" x14ac:dyDescent="0.25">
      <c r="A74" t="s">
        <v>4758</v>
      </c>
      <c r="B74" t="s">
        <v>3530</v>
      </c>
      <c r="C74" t="s">
        <v>3525</v>
      </c>
      <c r="D74" t="s">
        <v>4759</v>
      </c>
      <c r="E74" t="s">
        <v>4760</v>
      </c>
      <c r="F74" t="s">
        <v>90</v>
      </c>
      <c r="G74" t="s">
        <v>4650</v>
      </c>
      <c r="H74" t="s">
        <v>4761</v>
      </c>
      <c r="I74" t="s">
        <v>3467</v>
      </c>
      <c r="J74" t="s">
        <v>3594</v>
      </c>
    </row>
    <row r="75" spans="1:10" ht="15" customHeight="1" x14ac:dyDescent="0.25">
      <c r="A75" t="s">
        <v>4762</v>
      </c>
      <c r="B75" t="s">
        <v>3530</v>
      </c>
      <c r="C75" t="s">
        <v>3539</v>
      </c>
      <c r="D75" t="s">
        <v>4763</v>
      </c>
      <c r="E75" t="s">
        <v>4764</v>
      </c>
      <c r="F75" t="s">
        <v>160</v>
      </c>
      <c r="H75" t="s">
        <v>4765</v>
      </c>
      <c r="I75" t="s">
        <v>3467</v>
      </c>
      <c r="J75" t="s">
        <v>3536</v>
      </c>
    </row>
    <row r="76" spans="1:10" ht="15" customHeight="1" x14ac:dyDescent="0.25">
      <c r="A76" t="s">
        <v>4766</v>
      </c>
      <c r="B76" t="s">
        <v>3518</v>
      </c>
      <c r="C76" t="s">
        <v>3525</v>
      </c>
      <c r="D76" t="s">
        <v>4767</v>
      </c>
      <c r="E76" t="s">
        <v>4768</v>
      </c>
      <c r="F76" t="s">
        <v>90</v>
      </c>
      <c r="G76" t="s">
        <v>4769</v>
      </c>
      <c r="H76" t="s">
        <v>4770</v>
      </c>
      <c r="I76" t="s">
        <v>3467</v>
      </c>
      <c r="J76" t="s">
        <v>4771</v>
      </c>
    </row>
    <row r="77" spans="1:10" ht="15" customHeight="1" x14ac:dyDescent="0.25">
      <c r="A77" t="s">
        <v>4772</v>
      </c>
      <c r="B77" t="s">
        <v>41</v>
      </c>
      <c r="C77" t="s">
        <v>4601</v>
      </c>
      <c r="D77" t="s">
        <v>4773</v>
      </c>
      <c r="E77" t="s">
        <v>4774</v>
      </c>
      <c r="F77" t="s">
        <v>90</v>
      </c>
      <c r="G77" t="s">
        <v>4775</v>
      </c>
      <c r="H77" t="s">
        <v>4772</v>
      </c>
      <c r="I77" t="s">
        <v>3467</v>
      </c>
      <c r="J77" t="s">
        <v>4776</v>
      </c>
    </row>
    <row r="78" spans="1:10" ht="15" customHeight="1" x14ac:dyDescent="0.25">
      <c r="A78" t="s">
        <v>3672</v>
      </c>
      <c r="B78" t="s">
        <v>41</v>
      </c>
      <c r="C78" t="s">
        <v>3539</v>
      </c>
      <c r="D78" t="s">
        <v>4777</v>
      </c>
      <c r="E78" t="s">
        <v>4778</v>
      </c>
      <c r="F78" t="s">
        <v>90</v>
      </c>
      <c r="G78" t="s">
        <v>3676</v>
      </c>
      <c r="H78" t="s">
        <v>3677</v>
      </c>
      <c r="I78" t="s">
        <v>3467</v>
      </c>
      <c r="J78" t="s">
        <v>3536</v>
      </c>
    </row>
    <row r="79" spans="1:10" ht="15" customHeight="1" x14ac:dyDescent="0.25">
      <c r="A79" t="s">
        <v>4779</v>
      </c>
      <c r="B79" t="s">
        <v>3518</v>
      </c>
      <c r="C79" t="s">
        <v>3531</v>
      </c>
      <c r="D79" t="s">
        <v>4780</v>
      </c>
      <c r="E79" t="s">
        <v>4781</v>
      </c>
      <c r="F79" t="s">
        <v>90</v>
      </c>
      <c r="G79" t="s">
        <v>4687</v>
      </c>
      <c r="H79" t="s">
        <v>4782</v>
      </c>
      <c r="I79" t="s">
        <v>3467</v>
      </c>
      <c r="J79" t="s">
        <v>3594</v>
      </c>
    </row>
    <row r="80" spans="1:10" ht="15" customHeight="1" x14ac:dyDescent="0.25">
      <c r="A80" t="s">
        <v>4783</v>
      </c>
      <c r="B80" t="s">
        <v>3530</v>
      </c>
      <c r="C80" t="s">
        <v>4601</v>
      </c>
      <c r="D80" t="s">
        <v>4784</v>
      </c>
      <c r="E80" t="s">
        <v>4785</v>
      </c>
      <c r="F80" t="s">
        <v>90</v>
      </c>
      <c r="G80" t="s">
        <v>4786</v>
      </c>
      <c r="H80" t="s">
        <v>4787</v>
      </c>
      <c r="I80" t="s">
        <v>3467</v>
      </c>
      <c r="J80" t="s">
        <v>3528</v>
      </c>
    </row>
    <row r="81" spans="1:10" ht="15" customHeight="1" x14ac:dyDescent="0.25">
      <c r="A81" t="s">
        <v>4788</v>
      </c>
      <c r="B81" t="s">
        <v>3518</v>
      </c>
      <c r="C81" t="s">
        <v>3556</v>
      </c>
      <c r="D81" t="s">
        <v>4789</v>
      </c>
      <c r="E81" t="s">
        <v>4790</v>
      </c>
      <c r="F81" t="s">
        <v>497</v>
      </c>
      <c r="H81" t="s">
        <v>4788</v>
      </c>
      <c r="I81" t="s">
        <v>3467</v>
      </c>
      <c r="J81" t="s">
        <v>3723</v>
      </c>
    </row>
    <row r="82" spans="1:10" ht="15" customHeight="1" x14ac:dyDescent="0.25">
      <c r="A82" t="s">
        <v>4791</v>
      </c>
      <c r="B82" t="s">
        <v>3518</v>
      </c>
      <c r="C82" t="s">
        <v>4483</v>
      </c>
      <c r="D82" t="s">
        <v>4792</v>
      </c>
      <c r="E82" t="s">
        <v>4793</v>
      </c>
      <c r="F82" t="s">
        <v>1650</v>
      </c>
      <c r="G82" t="s">
        <v>4794</v>
      </c>
      <c r="H82" t="s">
        <v>4795</v>
      </c>
      <c r="I82" t="s">
        <v>3467</v>
      </c>
      <c r="J82" t="s">
        <v>3536</v>
      </c>
    </row>
    <row r="83" spans="1:10" ht="15" customHeight="1" x14ac:dyDescent="0.25">
      <c r="A83" t="s">
        <v>4796</v>
      </c>
      <c r="B83" t="s">
        <v>41</v>
      </c>
      <c r="C83" t="s">
        <v>4601</v>
      </c>
      <c r="D83" t="s">
        <v>4797</v>
      </c>
      <c r="E83" t="s">
        <v>4798</v>
      </c>
      <c r="F83" t="s">
        <v>90</v>
      </c>
      <c r="H83" t="s">
        <v>4799</v>
      </c>
      <c r="I83" t="s">
        <v>3467</v>
      </c>
      <c r="J83" t="s">
        <v>4493</v>
      </c>
    </row>
    <row r="84" spans="1:10" ht="15" customHeight="1" x14ac:dyDescent="0.25">
      <c r="A84" t="s">
        <v>4800</v>
      </c>
      <c r="B84" t="s">
        <v>41</v>
      </c>
      <c r="C84" t="s">
        <v>4542</v>
      </c>
      <c r="D84" t="s">
        <v>4801</v>
      </c>
      <c r="E84" t="s">
        <v>4802</v>
      </c>
      <c r="F84" t="s">
        <v>1650</v>
      </c>
      <c r="G84" t="s">
        <v>4545</v>
      </c>
      <c r="H84" t="s">
        <v>4800</v>
      </c>
      <c r="I84" t="s">
        <v>3467</v>
      </c>
      <c r="J84" t="s">
        <v>3528</v>
      </c>
    </row>
    <row r="85" spans="1:10" ht="15" customHeight="1" x14ac:dyDescent="0.25">
      <c r="A85" t="s">
        <v>4803</v>
      </c>
      <c r="B85" t="s">
        <v>41</v>
      </c>
      <c r="C85" t="s">
        <v>3525</v>
      </c>
      <c r="D85" t="s">
        <v>4804</v>
      </c>
      <c r="E85" t="s">
        <v>4805</v>
      </c>
      <c r="F85" t="s">
        <v>1323</v>
      </c>
      <c r="H85" t="s">
        <v>4806</v>
      </c>
      <c r="I85" t="s">
        <v>3467</v>
      </c>
      <c r="J85" t="s">
        <v>4807</v>
      </c>
    </row>
    <row r="86" spans="1:10" ht="15" customHeight="1" x14ac:dyDescent="0.25">
      <c r="A86" t="s">
        <v>4808</v>
      </c>
      <c r="B86" t="s">
        <v>3518</v>
      </c>
      <c r="C86" t="s">
        <v>3539</v>
      </c>
      <c r="D86" t="s">
        <v>4809</v>
      </c>
      <c r="E86" t="s">
        <v>4810</v>
      </c>
      <c r="F86" t="s">
        <v>90</v>
      </c>
      <c r="G86" t="s">
        <v>3676</v>
      </c>
      <c r="H86" t="s">
        <v>3681</v>
      </c>
      <c r="I86" t="s">
        <v>3467</v>
      </c>
      <c r="J86" t="s">
        <v>4567</v>
      </c>
    </row>
    <row r="87" spans="1:10" ht="15" customHeight="1" x14ac:dyDescent="0.25">
      <c r="A87" t="s">
        <v>4811</v>
      </c>
      <c r="B87" t="s">
        <v>3518</v>
      </c>
      <c r="C87" t="s">
        <v>3525</v>
      </c>
      <c r="D87" t="s">
        <v>4812</v>
      </c>
      <c r="E87" t="s">
        <v>4813</v>
      </c>
      <c r="F87" t="s">
        <v>1650</v>
      </c>
      <c r="G87" t="s">
        <v>4814</v>
      </c>
      <c r="H87" t="s">
        <v>4815</v>
      </c>
      <c r="I87" t="s">
        <v>3467</v>
      </c>
      <c r="J87" t="s">
        <v>3528</v>
      </c>
    </row>
    <row r="88" spans="1:10" ht="15" customHeight="1" x14ac:dyDescent="0.25">
      <c r="A88" t="s">
        <v>4816</v>
      </c>
      <c r="B88" t="s">
        <v>3518</v>
      </c>
      <c r="C88" t="s">
        <v>3525</v>
      </c>
      <c r="D88" s="3" t="s">
        <v>4817</v>
      </c>
      <c r="E88" s="3" t="s">
        <v>4818</v>
      </c>
      <c r="F88" t="s">
        <v>1650</v>
      </c>
      <c r="G88" t="s">
        <v>4819</v>
      </c>
      <c r="H88" t="s">
        <v>4820</v>
      </c>
      <c r="I88" t="s">
        <v>3467</v>
      </c>
      <c r="J88" t="s">
        <v>3528</v>
      </c>
    </row>
    <row r="89" spans="1:10" ht="15" customHeight="1" x14ac:dyDescent="0.25">
      <c r="A89" t="s">
        <v>4821</v>
      </c>
      <c r="B89" t="s">
        <v>41</v>
      </c>
      <c r="C89" t="s">
        <v>3539</v>
      </c>
      <c r="D89" t="s">
        <v>4822</v>
      </c>
      <c r="E89" t="s">
        <v>4823</v>
      </c>
      <c r="F89" t="s">
        <v>497</v>
      </c>
      <c r="G89" t="s">
        <v>3643</v>
      </c>
      <c r="H89" t="s">
        <v>4824</v>
      </c>
      <c r="I89" t="s">
        <v>3467</v>
      </c>
      <c r="J89" t="s">
        <v>3536</v>
      </c>
    </row>
    <row r="90" spans="1:10" ht="15" customHeight="1" x14ac:dyDescent="0.25">
      <c r="A90" t="s">
        <v>3495</v>
      </c>
      <c r="B90" t="s">
        <v>41</v>
      </c>
      <c r="C90" t="s">
        <v>3525</v>
      </c>
      <c r="D90" t="s">
        <v>4825</v>
      </c>
      <c r="E90" t="s">
        <v>4826</v>
      </c>
      <c r="F90" t="s">
        <v>2805</v>
      </c>
      <c r="G90" t="s">
        <v>3616</v>
      </c>
      <c r="H90" t="s">
        <v>3495</v>
      </c>
      <c r="I90" t="s">
        <v>3467</v>
      </c>
      <c r="J90" t="s">
        <v>3449</v>
      </c>
    </row>
    <row r="91" spans="1:10" ht="15" customHeight="1" x14ac:dyDescent="0.25">
      <c r="A91" t="s">
        <v>4827</v>
      </c>
      <c r="B91" t="s">
        <v>3518</v>
      </c>
      <c r="C91" t="s">
        <v>3525</v>
      </c>
      <c r="D91" t="s">
        <v>4828</v>
      </c>
      <c r="E91" t="s">
        <v>4829</v>
      </c>
      <c r="F91" t="s">
        <v>1650</v>
      </c>
      <c r="G91" t="s">
        <v>4497</v>
      </c>
      <c r="H91" t="s">
        <v>4830</v>
      </c>
      <c r="I91" t="s">
        <v>3467</v>
      </c>
      <c r="J91" t="s">
        <v>4493</v>
      </c>
    </row>
    <row r="92" spans="1:10" ht="15" customHeight="1" x14ac:dyDescent="0.25">
      <c r="A92" t="s">
        <v>4831</v>
      </c>
      <c r="B92" t="s">
        <v>3518</v>
      </c>
      <c r="C92" t="s">
        <v>3525</v>
      </c>
      <c r="D92" t="s">
        <v>4832</v>
      </c>
      <c r="E92" t="s">
        <v>4833</v>
      </c>
      <c r="F92" t="s">
        <v>553</v>
      </c>
      <c r="G92" t="s">
        <v>3542</v>
      </c>
      <c r="H92" t="s">
        <v>4834</v>
      </c>
      <c r="I92" t="s">
        <v>3467</v>
      </c>
      <c r="J92" t="s">
        <v>3449</v>
      </c>
    </row>
    <row r="93" spans="1:10" ht="15" customHeight="1" x14ac:dyDescent="0.25">
      <c r="A93" t="s">
        <v>3694</v>
      </c>
      <c r="B93" t="s">
        <v>3530</v>
      </c>
      <c r="C93" t="s">
        <v>4542</v>
      </c>
      <c r="D93" t="s">
        <v>4835</v>
      </c>
      <c r="F93" t="s">
        <v>353</v>
      </c>
      <c r="H93" t="s">
        <v>3696</v>
      </c>
      <c r="I93" t="s">
        <v>3467</v>
      </c>
      <c r="J93" t="s">
        <v>3697</v>
      </c>
    </row>
    <row r="94" spans="1:10" ht="15" customHeight="1" x14ac:dyDescent="0.25">
      <c r="A94" t="s">
        <v>4836</v>
      </c>
      <c r="B94" t="s">
        <v>3563</v>
      </c>
      <c r="C94" t="s">
        <v>3525</v>
      </c>
      <c r="D94" t="s">
        <v>4837</v>
      </c>
      <c r="E94" t="s">
        <v>4838</v>
      </c>
      <c r="F94" t="s">
        <v>90</v>
      </c>
      <c r="G94" t="s">
        <v>4839</v>
      </c>
      <c r="H94" t="s">
        <v>4840</v>
      </c>
      <c r="I94" t="s">
        <v>3467</v>
      </c>
      <c r="J94" t="s">
        <v>4841</v>
      </c>
    </row>
    <row r="95" spans="1:10" ht="15" customHeight="1" x14ac:dyDescent="0.25">
      <c r="A95" t="s">
        <v>4842</v>
      </c>
      <c r="B95" t="s">
        <v>3518</v>
      </c>
      <c r="C95" t="s">
        <v>4483</v>
      </c>
      <c r="D95" t="s">
        <v>4843</v>
      </c>
      <c r="E95" t="s">
        <v>4844</v>
      </c>
      <c r="F95" t="s">
        <v>160</v>
      </c>
      <c r="G95" t="s">
        <v>3676</v>
      </c>
      <c r="H95" t="s">
        <v>4845</v>
      </c>
      <c r="I95" t="s">
        <v>3467</v>
      </c>
      <c r="J95" t="s">
        <v>3536</v>
      </c>
    </row>
    <row r="96" spans="1:10" ht="15" customHeight="1" x14ac:dyDescent="0.25">
      <c r="A96" t="s">
        <v>4846</v>
      </c>
      <c r="B96" t="s">
        <v>41</v>
      </c>
      <c r="C96" t="s">
        <v>4542</v>
      </c>
      <c r="D96" t="s">
        <v>4847</v>
      </c>
      <c r="E96" t="s">
        <v>4848</v>
      </c>
      <c r="F96" t="s">
        <v>1650</v>
      </c>
      <c r="G96" t="s">
        <v>4545</v>
      </c>
      <c r="H96" t="s">
        <v>4849</v>
      </c>
      <c r="I96" t="s">
        <v>3467</v>
      </c>
      <c r="J96" t="s">
        <v>3536</v>
      </c>
    </row>
    <row r="97" spans="1:10" ht="15" customHeight="1" x14ac:dyDescent="0.25">
      <c r="A97" t="s">
        <v>4850</v>
      </c>
      <c r="B97" t="s">
        <v>3530</v>
      </c>
      <c r="C97" t="s">
        <v>4462</v>
      </c>
      <c r="D97" t="s">
        <v>4851</v>
      </c>
      <c r="E97" t="s">
        <v>4852</v>
      </c>
      <c r="F97" t="s">
        <v>1650</v>
      </c>
      <c r="H97" t="s">
        <v>4853</v>
      </c>
      <c r="I97" t="s">
        <v>3467</v>
      </c>
      <c r="J97" t="s">
        <v>4493</v>
      </c>
    </row>
    <row r="98" spans="1:10" ht="15" customHeight="1" x14ac:dyDescent="0.25">
      <c r="A98" t="s">
        <v>4854</v>
      </c>
      <c r="B98" t="s">
        <v>3742</v>
      </c>
      <c r="C98" t="s">
        <v>3525</v>
      </c>
      <c r="D98" t="s">
        <v>4855</v>
      </c>
      <c r="E98" t="s">
        <v>4856</v>
      </c>
      <c r="F98" t="s">
        <v>160</v>
      </c>
      <c r="G98" t="s">
        <v>4694</v>
      </c>
      <c r="H98" t="s">
        <v>4857</v>
      </c>
      <c r="I98" t="s">
        <v>3467</v>
      </c>
      <c r="J98" t="s">
        <v>3594</v>
      </c>
    </row>
    <row r="99" spans="1:10" ht="15" customHeight="1" x14ac:dyDescent="0.25">
      <c r="A99" t="s">
        <v>4858</v>
      </c>
      <c r="B99" t="s">
        <v>3518</v>
      </c>
      <c r="C99" t="s">
        <v>3525</v>
      </c>
      <c r="D99" t="s">
        <v>4859</v>
      </c>
      <c r="E99" t="s">
        <v>4860</v>
      </c>
      <c r="F99" t="s">
        <v>1323</v>
      </c>
      <c r="G99" t="s">
        <v>4640</v>
      </c>
      <c r="H99" t="s">
        <v>4861</v>
      </c>
      <c r="I99" t="s">
        <v>3467</v>
      </c>
      <c r="J99" t="s">
        <v>4862</v>
      </c>
    </row>
    <row r="100" spans="1:10" ht="15" customHeight="1" x14ac:dyDescent="0.25">
      <c r="A100" t="s">
        <v>4863</v>
      </c>
      <c r="B100" t="s">
        <v>3530</v>
      </c>
      <c r="C100" t="s">
        <v>4601</v>
      </c>
      <c r="D100" t="s">
        <v>4864</v>
      </c>
      <c r="E100" t="s">
        <v>4865</v>
      </c>
      <c r="F100" t="s">
        <v>90</v>
      </c>
      <c r="G100" t="s">
        <v>4775</v>
      </c>
      <c r="H100" t="s">
        <v>4863</v>
      </c>
      <c r="I100" t="s">
        <v>3467</v>
      </c>
      <c r="J100" t="s">
        <v>4493</v>
      </c>
    </row>
    <row r="101" spans="1:10" ht="15" customHeight="1" x14ac:dyDescent="0.25">
      <c r="A101" t="s">
        <v>3707</v>
      </c>
      <c r="B101" t="s">
        <v>3530</v>
      </c>
      <c r="C101" t="s">
        <v>3525</v>
      </c>
      <c r="D101" t="s">
        <v>4866</v>
      </c>
      <c r="E101" t="s">
        <v>4867</v>
      </c>
      <c r="F101" t="s">
        <v>497</v>
      </c>
      <c r="G101" t="s">
        <v>3710</v>
      </c>
      <c r="H101" t="s">
        <v>3707</v>
      </c>
      <c r="I101" t="s">
        <v>3467</v>
      </c>
      <c r="J101" t="s">
        <v>3536</v>
      </c>
    </row>
    <row r="102" spans="1:10" ht="15" customHeight="1" x14ac:dyDescent="0.25">
      <c r="A102" t="s">
        <v>4868</v>
      </c>
      <c r="B102" t="s">
        <v>41</v>
      </c>
      <c r="C102" t="s">
        <v>4542</v>
      </c>
      <c r="D102" t="s">
        <v>4869</v>
      </c>
      <c r="E102" t="s">
        <v>4870</v>
      </c>
      <c r="F102" t="s">
        <v>1650</v>
      </c>
      <c r="G102" t="s">
        <v>4545</v>
      </c>
      <c r="H102" t="s">
        <v>4868</v>
      </c>
      <c r="I102" t="s">
        <v>3467</v>
      </c>
      <c r="J102" t="s">
        <v>3536</v>
      </c>
    </row>
    <row r="103" spans="1:10" ht="15" customHeight="1" x14ac:dyDescent="0.25">
      <c r="A103" t="s">
        <v>4871</v>
      </c>
      <c r="B103" t="s">
        <v>3518</v>
      </c>
      <c r="C103" t="s">
        <v>3539</v>
      </c>
      <c r="D103" t="s">
        <v>4872</v>
      </c>
      <c r="E103" t="s">
        <v>4873</v>
      </c>
      <c r="F103" t="s">
        <v>553</v>
      </c>
      <c r="G103" t="s">
        <v>3542</v>
      </c>
      <c r="H103" t="s">
        <v>4874</v>
      </c>
      <c r="I103" t="s">
        <v>3467</v>
      </c>
      <c r="J103" t="s">
        <v>3536</v>
      </c>
    </row>
    <row r="104" spans="1:10" ht="15" customHeight="1" x14ac:dyDescent="0.25">
      <c r="A104" t="s">
        <v>4875</v>
      </c>
      <c r="B104" t="s">
        <v>41</v>
      </c>
      <c r="C104" t="s">
        <v>3525</v>
      </c>
      <c r="D104" t="s">
        <v>4876</v>
      </c>
      <c r="E104" t="s">
        <v>4877</v>
      </c>
      <c r="F104" t="s">
        <v>1323</v>
      </c>
      <c r="H104" t="s">
        <v>4878</v>
      </c>
      <c r="I104" t="s">
        <v>3467</v>
      </c>
      <c r="J104" t="s">
        <v>4879</v>
      </c>
    </row>
    <row r="105" spans="1:10" ht="15" customHeight="1" x14ac:dyDescent="0.25">
      <c r="A105" t="s">
        <v>4880</v>
      </c>
      <c r="B105" t="s">
        <v>3530</v>
      </c>
      <c r="C105" t="s">
        <v>4542</v>
      </c>
      <c r="D105" t="s">
        <v>4881</v>
      </c>
      <c r="F105" t="s">
        <v>1650</v>
      </c>
      <c r="G105" t="s">
        <v>4882</v>
      </c>
      <c r="H105" t="s">
        <v>4883</v>
      </c>
      <c r="I105" t="s">
        <v>3467</v>
      </c>
      <c r="J105" t="s">
        <v>3449</v>
      </c>
    </row>
    <row r="106" spans="1:10" ht="15" customHeight="1" x14ac:dyDescent="0.25">
      <c r="A106" t="s">
        <v>4884</v>
      </c>
      <c r="B106" t="s">
        <v>3518</v>
      </c>
      <c r="C106" t="s">
        <v>3525</v>
      </c>
      <c r="D106" t="s">
        <v>4885</v>
      </c>
      <c r="E106" t="s">
        <v>4886</v>
      </c>
      <c r="F106" t="s">
        <v>90</v>
      </c>
      <c r="G106" t="s">
        <v>3676</v>
      </c>
      <c r="H106" t="s">
        <v>4887</v>
      </c>
      <c r="I106" t="s">
        <v>3467</v>
      </c>
      <c r="J106" t="s">
        <v>3528</v>
      </c>
    </row>
    <row r="107" spans="1:10" ht="15" customHeight="1" x14ac:dyDescent="0.25">
      <c r="A107" t="s">
        <v>4888</v>
      </c>
      <c r="B107" t="s">
        <v>41</v>
      </c>
      <c r="C107" t="s">
        <v>3525</v>
      </c>
      <c r="D107" t="s">
        <v>4889</v>
      </c>
      <c r="E107" t="s">
        <v>4890</v>
      </c>
      <c r="F107" t="s">
        <v>90</v>
      </c>
      <c r="G107" t="s">
        <v>3705</v>
      </c>
      <c r="H107" t="s">
        <v>4891</v>
      </c>
      <c r="I107" t="s">
        <v>3467</v>
      </c>
      <c r="J107" t="s">
        <v>4493</v>
      </c>
    </row>
    <row r="108" spans="1:10" ht="15" customHeight="1" x14ac:dyDescent="0.25">
      <c r="A108" t="s">
        <v>4892</v>
      </c>
      <c r="B108" t="s">
        <v>3530</v>
      </c>
      <c r="C108" t="s">
        <v>3525</v>
      </c>
      <c r="D108" t="s">
        <v>4893</v>
      </c>
      <c r="E108" t="s">
        <v>4894</v>
      </c>
      <c r="F108" t="s">
        <v>501</v>
      </c>
      <c r="G108" t="s">
        <v>4678</v>
      </c>
      <c r="H108" t="s">
        <v>4895</v>
      </c>
      <c r="I108" t="s">
        <v>3467</v>
      </c>
      <c r="J108" t="s">
        <v>3528</v>
      </c>
    </row>
    <row r="109" spans="1:10" ht="15" customHeight="1" x14ac:dyDescent="0.25">
      <c r="A109" t="s">
        <v>4896</v>
      </c>
      <c r="B109" t="s">
        <v>41</v>
      </c>
      <c r="C109" t="s">
        <v>3539</v>
      </c>
      <c r="D109" t="s">
        <v>4897</v>
      </c>
      <c r="E109" t="s">
        <v>4898</v>
      </c>
      <c r="F109" t="s">
        <v>1047</v>
      </c>
      <c r="G109" t="s">
        <v>4899</v>
      </c>
      <c r="H109" t="s">
        <v>4896</v>
      </c>
      <c r="I109" t="s">
        <v>3467</v>
      </c>
      <c r="J109" t="s">
        <v>3536</v>
      </c>
    </row>
    <row r="110" spans="1:10" ht="15" customHeight="1" x14ac:dyDescent="0.25">
      <c r="A110" t="s">
        <v>4900</v>
      </c>
      <c r="B110" t="s">
        <v>3530</v>
      </c>
      <c r="C110" t="s">
        <v>4591</v>
      </c>
      <c r="D110" t="s">
        <v>4901</v>
      </c>
      <c r="F110" t="s">
        <v>160</v>
      </c>
      <c r="G110" t="s">
        <v>4902</v>
      </c>
      <c r="H110" t="s">
        <v>4903</v>
      </c>
      <c r="I110" t="s">
        <v>3467</v>
      </c>
      <c r="J110" t="s">
        <v>4493</v>
      </c>
    </row>
    <row r="111" spans="1:10" ht="15" customHeight="1" x14ac:dyDescent="0.25">
      <c r="A111" t="s">
        <v>4904</v>
      </c>
      <c r="B111" t="s">
        <v>41</v>
      </c>
      <c r="C111" t="s">
        <v>3689</v>
      </c>
      <c r="D111" t="s">
        <v>4905</v>
      </c>
      <c r="F111" t="s">
        <v>160</v>
      </c>
      <c r="G111" t="s">
        <v>4906</v>
      </c>
      <c r="H111" t="s">
        <v>4907</v>
      </c>
      <c r="I111" t="s">
        <v>3467</v>
      </c>
      <c r="J111" t="s">
        <v>3697</v>
      </c>
    </row>
    <row r="112" spans="1:10" ht="15" customHeight="1" x14ac:dyDescent="0.25">
      <c r="A112" t="s">
        <v>4908</v>
      </c>
      <c r="B112" t="s">
        <v>3518</v>
      </c>
      <c r="C112" t="s">
        <v>3525</v>
      </c>
      <c r="D112" t="s">
        <v>4909</v>
      </c>
      <c r="E112" t="s">
        <v>4910</v>
      </c>
      <c r="F112" t="s">
        <v>90</v>
      </c>
      <c r="H112" t="s">
        <v>4911</v>
      </c>
      <c r="I112" t="s">
        <v>3467</v>
      </c>
      <c r="J112" t="s">
        <v>3528</v>
      </c>
    </row>
    <row r="113" spans="1:10" ht="15" customHeight="1" x14ac:dyDescent="0.25">
      <c r="A113" t="s">
        <v>4912</v>
      </c>
      <c r="B113" t="s">
        <v>3530</v>
      </c>
      <c r="C113" t="s">
        <v>3525</v>
      </c>
      <c r="D113" t="s">
        <v>4913</v>
      </c>
      <c r="E113" t="s">
        <v>4914</v>
      </c>
      <c r="F113" t="s">
        <v>90</v>
      </c>
      <c r="G113" t="s">
        <v>4650</v>
      </c>
      <c r="H113" t="s">
        <v>4915</v>
      </c>
      <c r="I113" t="s">
        <v>3467</v>
      </c>
      <c r="J113" t="s">
        <v>3594</v>
      </c>
    </row>
    <row r="114" spans="1:10" ht="15" customHeight="1" x14ac:dyDescent="0.25">
      <c r="A114" t="s">
        <v>4916</v>
      </c>
      <c r="B114" t="s">
        <v>41</v>
      </c>
      <c r="C114" t="s">
        <v>3525</v>
      </c>
      <c r="D114" t="s">
        <v>4917</v>
      </c>
      <c r="E114" t="s">
        <v>4918</v>
      </c>
      <c r="F114" t="s">
        <v>90</v>
      </c>
      <c r="G114" t="s">
        <v>4919</v>
      </c>
      <c r="H114" t="s">
        <v>4920</v>
      </c>
      <c r="I114" t="s">
        <v>3467</v>
      </c>
      <c r="J114" t="s">
        <v>3449</v>
      </c>
    </row>
    <row r="115" spans="1:10" ht="15" customHeight="1" x14ac:dyDescent="0.25">
      <c r="A115" t="s">
        <v>4921</v>
      </c>
      <c r="B115" t="s">
        <v>3518</v>
      </c>
      <c r="C115" t="s">
        <v>3525</v>
      </c>
      <c r="D115" t="s">
        <v>4922</v>
      </c>
      <c r="E115" t="s">
        <v>4923</v>
      </c>
      <c r="F115" t="s">
        <v>90</v>
      </c>
      <c r="G115" t="s">
        <v>4655</v>
      </c>
      <c r="H115" t="s">
        <v>4921</v>
      </c>
      <c r="I115" t="s">
        <v>3467</v>
      </c>
      <c r="J115" t="s">
        <v>3528</v>
      </c>
    </row>
    <row r="116" spans="1:10" ht="15" customHeight="1" x14ac:dyDescent="0.25">
      <c r="A116" t="s">
        <v>3733</v>
      </c>
      <c r="B116" t="s">
        <v>3530</v>
      </c>
      <c r="C116" t="s">
        <v>3525</v>
      </c>
      <c r="D116" t="s">
        <v>3734</v>
      </c>
      <c r="F116" t="s">
        <v>553</v>
      </c>
      <c r="G116" t="s">
        <v>3736</v>
      </c>
      <c r="H116" t="s">
        <v>3737</v>
      </c>
      <c r="I116" t="s">
        <v>3467</v>
      </c>
      <c r="J116" t="s">
        <v>3594</v>
      </c>
    </row>
    <row r="117" spans="1:10" ht="15" customHeight="1" x14ac:dyDescent="0.25">
      <c r="A117" t="s">
        <v>4924</v>
      </c>
      <c r="B117" t="s">
        <v>41</v>
      </c>
      <c r="C117" t="s">
        <v>4542</v>
      </c>
      <c r="D117" t="s">
        <v>4925</v>
      </c>
      <c r="E117" t="s">
        <v>4926</v>
      </c>
      <c r="F117" t="s">
        <v>1650</v>
      </c>
      <c r="G117" t="s">
        <v>4545</v>
      </c>
      <c r="H117" t="s">
        <v>4924</v>
      </c>
      <c r="I117" t="s">
        <v>3467</v>
      </c>
      <c r="J117" t="s">
        <v>3536</v>
      </c>
    </row>
    <row r="118" spans="1:10" ht="15" customHeight="1" x14ac:dyDescent="0.25">
      <c r="A118" t="s">
        <v>3738</v>
      </c>
      <c r="B118" t="s">
        <v>41</v>
      </c>
      <c r="C118" t="s">
        <v>3539</v>
      </c>
      <c r="D118" t="s">
        <v>4927</v>
      </c>
      <c r="E118" t="s">
        <v>4928</v>
      </c>
      <c r="F118" t="s">
        <v>90</v>
      </c>
      <c r="H118" t="s">
        <v>3738</v>
      </c>
      <c r="I118" t="s">
        <v>3467</v>
      </c>
      <c r="J118" t="s">
        <v>3536</v>
      </c>
    </row>
    <row r="119" spans="1:10" ht="15" customHeight="1" x14ac:dyDescent="0.25">
      <c r="A119" t="s">
        <v>4929</v>
      </c>
      <c r="B119" t="s">
        <v>3518</v>
      </c>
      <c r="C119" t="s">
        <v>3596</v>
      </c>
      <c r="D119" t="s">
        <v>4930</v>
      </c>
      <c r="F119" t="s">
        <v>160</v>
      </c>
      <c r="H119" t="s">
        <v>4931</v>
      </c>
      <c r="I119" t="s">
        <v>3467</v>
      </c>
      <c r="J119" t="s">
        <v>3697</v>
      </c>
    </row>
    <row r="120" spans="1:10" ht="15" customHeight="1" x14ac:dyDescent="0.25">
      <c r="A120" t="s">
        <v>4932</v>
      </c>
      <c r="B120" t="s">
        <v>3518</v>
      </c>
      <c r="C120" t="s">
        <v>3525</v>
      </c>
      <c r="D120" t="s">
        <v>4933</v>
      </c>
      <c r="E120" t="s">
        <v>4934</v>
      </c>
      <c r="F120" t="s">
        <v>1130</v>
      </c>
      <c r="G120" t="s">
        <v>4935</v>
      </c>
      <c r="H120" t="s">
        <v>4936</v>
      </c>
      <c r="I120" t="s">
        <v>3467</v>
      </c>
      <c r="J120" t="s">
        <v>4599</v>
      </c>
    </row>
    <row r="121" spans="1:10" ht="15" customHeight="1" x14ac:dyDescent="0.25">
      <c r="A121" t="s">
        <v>3741</v>
      </c>
      <c r="B121" t="s">
        <v>3742</v>
      </c>
      <c r="C121" t="s">
        <v>4937</v>
      </c>
      <c r="D121" t="s">
        <v>4938</v>
      </c>
      <c r="F121" t="s">
        <v>1796</v>
      </c>
      <c r="G121" t="s">
        <v>3744</v>
      </c>
      <c r="H121" t="s">
        <v>3745</v>
      </c>
      <c r="I121" t="s">
        <v>3467</v>
      </c>
      <c r="J121" t="s">
        <v>3594</v>
      </c>
    </row>
    <row r="122" spans="1:10" ht="15" customHeight="1" x14ac:dyDescent="0.25">
      <c r="A122" t="s">
        <v>4939</v>
      </c>
      <c r="B122" t="s">
        <v>41</v>
      </c>
      <c r="C122" t="s">
        <v>3531</v>
      </c>
      <c r="D122" t="s">
        <v>4940</v>
      </c>
      <c r="E122" t="s">
        <v>4941</v>
      </c>
      <c r="F122" t="s">
        <v>90</v>
      </c>
      <c r="H122" t="s">
        <v>4942</v>
      </c>
      <c r="I122" t="s">
        <v>3467</v>
      </c>
      <c r="J122" t="s">
        <v>3528</v>
      </c>
    </row>
    <row r="123" spans="1:10" ht="15" customHeight="1" x14ac:dyDescent="0.25">
      <c r="A123" t="s">
        <v>4943</v>
      </c>
      <c r="B123" t="s">
        <v>3530</v>
      </c>
      <c r="C123" t="s">
        <v>3539</v>
      </c>
      <c r="D123" t="s">
        <v>4944</v>
      </c>
      <c r="E123" t="s">
        <v>4945</v>
      </c>
      <c r="F123" t="s">
        <v>497</v>
      </c>
      <c r="G123" t="s">
        <v>264</v>
      </c>
      <c r="H123" t="s">
        <v>4943</v>
      </c>
      <c r="I123" t="s">
        <v>3467</v>
      </c>
      <c r="J123" t="s">
        <v>3536</v>
      </c>
    </row>
    <row r="124" spans="1:10" ht="15" customHeight="1" x14ac:dyDescent="0.25">
      <c r="A124" t="s">
        <v>4946</v>
      </c>
      <c r="B124" t="s">
        <v>41</v>
      </c>
      <c r="C124" t="s">
        <v>3531</v>
      </c>
      <c r="D124" t="s">
        <v>4947</v>
      </c>
      <c r="E124" t="s">
        <v>4948</v>
      </c>
      <c r="F124" t="s">
        <v>90</v>
      </c>
      <c r="G124" t="s">
        <v>3676</v>
      </c>
      <c r="H124" t="s">
        <v>4946</v>
      </c>
      <c r="I124" t="s">
        <v>3467</v>
      </c>
      <c r="J124" t="s">
        <v>4493</v>
      </c>
    </row>
    <row r="125" spans="1:10" ht="15" customHeight="1" x14ac:dyDescent="0.25">
      <c r="A125" t="s">
        <v>4949</v>
      </c>
      <c r="B125" t="s">
        <v>3518</v>
      </c>
      <c r="C125" t="s">
        <v>4950</v>
      </c>
      <c r="D125" t="s">
        <v>4951</v>
      </c>
      <c r="E125" t="s">
        <v>4952</v>
      </c>
      <c r="F125" t="s">
        <v>90</v>
      </c>
      <c r="G125" t="s">
        <v>4470</v>
      </c>
      <c r="H125" t="s">
        <v>4953</v>
      </c>
      <c r="I125" t="s">
        <v>3467</v>
      </c>
      <c r="J125" t="s">
        <v>3697</v>
      </c>
    </row>
    <row r="126" spans="1:10" ht="15" customHeight="1" x14ac:dyDescent="0.25">
      <c r="A126" t="s">
        <v>4954</v>
      </c>
      <c r="B126" t="s">
        <v>3530</v>
      </c>
      <c r="C126" t="s">
        <v>3539</v>
      </c>
      <c r="D126" t="s">
        <v>4955</v>
      </c>
      <c r="E126" t="s">
        <v>4956</v>
      </c>
      <c r="F126" t="s">
        <v>497</v>
      </c>
      <c r="G126" t="s">
        <v>3736</v>
      </c>
      <c r="H126" t="s">
        <v>4954</v>
      </c>
      <c r="I126" t="s">
        <v>3467</v>
      </c>
      <c r="J126" t="s">
        <v>3536</v>
      </c>
    </row>
    <row r="127" spans="1:10" ht="15" customHeight="1" x14ac:dyDescent="0.25">
      <c r="A127" t="s">
        <v>3746</v>
      </c>
      <c r="B127" t="s">
        <v>41</v>
      </c>
      <c r="C127" t="s">
        <v>3689</v>
      </c>
      <c r="D127" t="s">
        <v>4957</v>
      </c>
      <c r="E127" t="s">
        <v>4958</v>
      </c>
      <c r="F127" t="s">
        <v>160</v>
      </c>
      <c r="G127" t="s">
        <v>4959</v>
      </c>
      <c r="H127" t="s">
        <v>3750</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4960</v>
      </c>
      <c r="B1" t="s">
        <v>1</v>
      </c>
      <c r="C1" t="s">
        <v>167</v>
      </c>
      <c r="D1" t="s">
        <v>3751</v>
      </c>
      <c r="E1" t="s">
        <v>4961</v>
      </c>
      <c r="F1" t="s">
        <v>6</v>
      </c>
      <c r="G1" t="s">
        <v>4962</v>
      </c>
      <c r="H1" t="s">
        <v>4963</v>
      </c>
      <c r="I1" t="s">
        <v>4964</v>
      </c>
      <c r="J1" t="s">
        <v>4294</v>
      </c>
      <c r="K1" t="s">
        <v>4965</v>
      </c>
      <c r="L1" t="s">
        <v>4</v>
      </c>
      <c r="M1" t="s">
        <v>170</v>
      </c>
    </row>
    <row r="2" spans="1:13" ht="15" customHeight="1" x14ac:dyDescent="0.25">
      <c r="A2" t="s">
        <v>4966</v>
      </c>
      <c r="B2" t="s">
        <v>1650</v>
      </c>
      <c r="C2" t="s">
        <v>222</v>
      </c>
      <c r="D2" t="s">
        <v>39</v>
      </c>
      <c r="E2">
        <v>0</v>
      </c>
      <c r="F2" t="s">
        <v>41</v>
      </c>
      <c r="G2" t="s">
        <v>4967</v>
      </c>
      <c r="H2" t="s">
        <v>4968</v>
      </c>
      <c r="I2" t="s">
        <v>4031</v>
      </c>
      <c r="J2" t="s">
        <v>4969</v>
      </c>
      <c r="K2" t="s">
        <v>3467</v>
      </c>
      <c r="L2" t="s">
        <v>4331</v>
      </c>
      <c r="M2" t="s">
        <v>4970</v>
      </c>
    </row>
    <row r="3" spans="1:13" ht="15" customHeight="1" x14ac:dyDescent="0.25">
      <c r="A3" t="s">
        <v>4971</v>
      </c>
      <c r="B3" t="s">
        <v>1650</v>
      </c>
      <c r="C3" t="s">
        <v>222</v>
      </c>
      <c r="D3" t="s">
        <v>39</v>
      </c>
      <c r="E3">
        <v>0</v>
      </c>
      <c r="F3" t="s">
        <v>41</v>
      </c>
      <c r="G3" t="s">
        <v>4972</v>
      </c>
      <c r="H3" t="s">
        <v>4973</v>
      </c>
      <c r="I3" t="s">
        <v>4031</v>
      </c>
      <c r="J3" t="s">
        <v>4974</v>
      </c>
      <c r="K3" t="s">
        <v>3467</v>
      </c>
      <c r="L3" t="s">
        <v>4331</v>
      </c>
      <c r="M3" t="s">
        <v>264</v>
      </c>
    </row>
    <row r="4" spans="1:13" ht="15" customHeight="1" x14ac:dyDescent="0.25">
      <c r="A4" t="s">
        <v>4975</v>
      </c>
      <c r="B4" t="s">
        <v>90</v>
      </c>
      <c r="C4" t="s">
        <v>182</v>
      </c>
      <c r="D4" t="s">
        <v>39</v>
      </c>
      <c r="E4">
        <v>0</v>
      </c>
      <c r="F4" t="s">
        <v>3530</v>
      </c>
      <c r="G4" t="s">
        <v>4976</v>
      </c>
      <c r="H4" t="s">
        <v>4976</v>
      </c>
      <c r="I4" t="s">
        <v>4031</v>
      </c>
      <c r="J4" t="s">
        <v>4977</v>
      </c>
      <c r="K4">
        <v>1</v>
      </c>
      <c r="L4" t="s">
        <v>4331</v>
      </c>
    </row>
    <row r="5" spans="1:13" ht="15" customHeight="1" x14ac:dyDescent="0.25">
      <c r="A5" t="s">
        <v>4978</v>
      </c>
      <c r="B5" t="s">
        <v>90</v>
      </c>
      <c r="C5" t="s">
        <v>182</v>
      </c>
      <c r="D5" t="s">
        <v>4979</v>
      </c>
      <c r="E5">
        <v>0</v>
      </c>
      <c r="F5" t="s">
        <v>41</v>
      </c>
      <c r="G5" t="s">
        <v>3467</v>
      </c>
      <c r="H5" t="s">
        <v>4980</v>
      </c>
      <c r="I5" t="s">
        <v>4031</v>
      </c>
      <c r="J5" t="s">
        <v>4981</v>
      </c>
      <c r="K5" t="s">
        <v>3467</v>
      </c>
      <c r="L5" t="s">
        <v>4331</v>
      </c>
      <c r="M5" t="s">
        <v>4982</v>
      </c>
    </row>
    <row r="9" spans="1:13" ht="15" customHeight="1" x14ac:dyDescent="0.25">
      <c r="A9" t="s">
        <v>4983</v>
      </c>
      <c r="B9" t="s">
        <v>4984</v>
      </c>
      <c r="C9" t="s">
        <v>4985</v>
      </c>
      <c r="F9" t="s">
        <v>4986</v>
      </c>
      <c r="G9" t="s">
        <v>4987</v>
      </c>
      <c r="J9" t="s">
        <v>3467</v>
      </c>
    </row>
    <row r="10" spans="1:13" ht="15" customHeight="1" x14ac:dyDescent="0.25">
      <c r="A10" t="s">
        <v>4988</v>
      </c>
      <c r="B10" t="s">
        <v>4989</v>
      </c>
      <c r="C10" t="s">
        <v>4990</v>
      </c>
      <c r="F10" t="s">
        <v>4991</v>
      </c>
      <c r="G10" t="s">
        <v>4992</v>
      </c>
      <c r="J10" t="s">
        <v>4993</v>
      </c>
    </row>
    <row r="11" spans="1:13" ht="15" customHeight="1" x14ac:dyDescent="0.25">
      <c r="A11" t="s">
        <v>4994</v>
      </c>
      <c r="B11" t="s">
        <v>4995</v>
      </c>
      <c r="C11" t="s">
        <v>4996</v>
      </c>
      <c r="F11" t="s">
        <v>4997</v>
      </c>
      <c r="J11" t="s">
        <v>3467</v>
      </c>
    </row>
    <row r="12" spans="1:13" ht="15" customHeight="1" x14ac:dyDescent="0.25">
      <c r="A12" t="s">
        <v>4998</v>
      </c>
      <c r="B12" t="s">
        <v>4999</v>
      </c>
      <c r="C12" t="s">
        <v>5000</v>
      </c>
      <c r="F12" t="s">
        <v>5001</v>
      </c>
    </row>
    <row r="13" spans="1:13" ht="15" customHeight="1" x14ac:dyDescent="0.25">
      <c r="A13" t="s">
        <v>5002</v>
      </c>
      <c r="B13" t="s">
        <v>5003</v>
      </c>
      <c r="C13" t="s">
        <v>5004</v>
      </c>
      <c r="F13" t="s">
        <v>5005</v>
      </c>
      <c r="G13" t="s">
        <v>5006</v>
      </c>
      <c r="I13" t="s">
        <v>4264</v>
      </c>
    </row>
    <row r="14" spans="1:13" ht="15" customHeight="1" x14ac:dyDescent="0.25">
      <c r="A14" t="s">
        <v>5007</v>
      </c>
      <c r="B14" t="s">
        <v>5008</v>
      </c>
      <c r="C14" t="s">
        <v>5009</v>
      </c>
      <c r="F14" t="s">
        <v>5010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5011</v>
      </c>
      <c r="G1" t="s">
        <v>3513</v>
      </c>
      <c r="H1" t="s">
        <v>5012</v>
      </c>
      <c r="I1" t="s">
        <v>5013</v>
      </c>
      <c r="J1" t="s">
        <v>4294</v>
      </c>
      <c r="K1" t="s">
        <v>170</v>
      </c>
    </row>
    <row r="2" spans="1:11" ht="15" customHeight="1" x14ac:dyDescent="0.25">
      <c r="A2" t="s">
        <v>5002</v>
      </c>
      <c r="B2" t="s">
        <v>5014</v>
      </c>
      <c r="C2" t="s">
        <v>3530</v>
      </c>
      <c r="D2" t="s">
        <v>5015</v>
      </c>
      <c r="E2" t="s">
        <v>5016</v>
      </c>
      <c r="F2" t="s">
        <v>5017</v>
      </c>
      <c r="G2" t="s">
        <v>160</v>
      </c>
      <c r="H2" t="s">
        <v>5018</v>
      </c>
      <c r="I2" t="s">
        <v>5019</v>
      </c>
      <c r="J2" t="s">
        <v>5020</v>
      </c>
    </row>
    <row r="3" spans="1:11" ht="15" customHeight="1" x14ac:dyDescent="0.25">
      <c r="A3" t="s">
        <v>5021</v>
      </c>
      <c r="B3" t="s">
        <v>5022</v>
      </c>
      <c r="C3" t="s">
        <v>41</v>
      </c>
      <c r="D3" t="s">
        <v>5023</v>
      </c>
      <c r="E3" t="s">
        <v>5024</v>
      </c>
      <c r="F3" t="s">
        <v>5025</v>
      </c>
      <c r="G3" t="s">
        <v>1650</v>
      </c>
      <c r="J3" t="s">
        <v>5026</v>
      </c>
    </row>
    <row r="4" spans="1:11" ht="15" customHeight="1" x14ac:dyDescent="0.25">
      <c r="A4" t="s">
        <v>5027</v>
      </c>
      <c r="B4" t="s">
        <v>5022</v>
      </c>
      <c r="C4" t="s">
        <v>41</v>
      </c>
      <c r="D4" t="s">
        <v>5028</v>
      </c>
      <c r="E4" t="s">
        <v>5029</v>
      </c>
      <c r="F4" t="s">
        <v>5030</v>
      </c>
      <c r="G4" t="s">
        <v>1047</v>
      </c>
      <c r="J4" t="s">
        <v>5031</v>
      </c>
    </row>
    <row r="5" spans="1:11" ht="15" customHeight="1" x14ac:dyDescent="0.25">
      <c r="A5" t="s">
        <v>5032</v>
      </c>
      <c r="B5" t="s">
        <v>3697</v>
      </c>
      <c r="C5" t="s">
        <v>41</v>
      </c>
      <c r="D5" t="s">
        <v>5033</v>
      </c>
      <c r="E5" t="s">
        <v>5034</v>
      </c>
      <c r="F5" t="s">
        <v>3467</v>
      </c>
      <c r="G5" t="s">
        <v>2133</v>
      </c>
      <c r="J5" t="s">
        <v>5035</v>
      </c>
    </row>
    <row r="6" spans="1:11" ht="15" customHeight="1" x14ac:dyDescent="0.25">
      <c r="A6" t="s">
        <v>5036</v>
      </c>
      <c r="B6" t="s">
        <v>3697</v>
      </c>
      <c r="C6" t="s">
        <v>3518</v>
      </c>
      <c r="D6" t="s">
        <v>5037</v>
      </c>
      <c r="E6" t="s">
        <v>5038</v>
      </c>
      <c r="F6" t="s">
        <v>3467</v>
      </c>
      <c r="G6" t="s">
        <v>2133</v>
      </c>
      <c r="J6" t="s">
        <v>5039</v>
      </c>
    </row>
    <row r="7" spans="1:11" ht="15" customHeight="1" x14ac:dyDescent="0.25">
      <c r="A7" t="s">
        <v>5040</v>
      </c>
      <c r="B7" t="s">
        <v>5041</v>
      </c>
      <c r="C7" t="s">
        <v>41</v>
      </c>
      <c r="D7" t="s">
        <v>5042</v>
      </c>
      <c r="E7" t="s">
        <v>5043</v>
      </c>
      <c r="F7" t="s">
        <v>3467</v>
      </c>
      <c r="G7" t="s">
        <v>759</v>
      </c>
      <c r="J7" t="s">
        <v>5044</v>
      </c>
    </row>
    <row r="8" spans="1:11" ht="15" customHeight="1" x14ac:dyDescent="0.25">
      <c r="A8" t="s">
        <v>5045</v>
      </c>
      <c r="B8" t="s">
        <v>5014</v>
      </c>
      <c r="C8" t="s">
        <v>3518</v>
      </c>
      <c r="D8" t="s">
        <v>5046</v>
      </c>
      <c r="E8" t="s">
        <v>5047</v>
      </c>
      <c r="F8" t="s">
        <v>3467</v>
      </c>
      <c r="G8" t="s">
        <v>160</v>
      </c>
      <c r="H8" t="s">
        <v>5048</v>
      </c>
      <c r="I8" t="s">
        <v>5049</v>
      </c>
      <c r="J8" t="s">
        <v>5050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3751</v>
      </c>
      <c r="D1" t="s">
        <v>5051</v>
      </c>
      <c r="E1" t="s">
        <v>5052</v>
      </c>
      <c r="F1" t="s">
        <v>5053</v>
      </c>
      <c r="G1" t="s">
        <v>3756</v>
      </c>
      <c r="H1" t="s">
        <v>1</v>
      </c>
      <c r="I1" t="s">
        <v>5054</v>
      </c>
      <c r="J1" t="s">
        <v>5055</v>
      </c>
      <c r="K1" t="s">
        <v>171</v>
      </c>
      <c r="L1" t="s">
        <v>5056</v>
      </c>
      <c r="M1" t="s">
        <v>3757</v>
      </c>
    </row>
    <row r="2" spans="1:13" ht="27.75" customHeight="1" x14ac:dyDescent="0.25">
      <c r="A2" t="s">
        <v>3823</v>
      </c>
      <c r="B2" t="s">
        <v>5057</v>
      </c>
      <c r="C2" t="s">
        <v>4397</v>
      </c>
      <c r="D2">
        <v>2</v>
      </c>
      <c r="E2">
        <v>48</v>
      </c>
      <c r="F2">
        <v>54</v>
      </c>
      <c r="G2" t="s">
        <v>3467</v>
      </c>
      <c r="H2" t="s">
        <v>90</v>
      </c>
      <c r="I2" t="s">
        <v>4430</v>
      </c>
      <c r="J2" s="3" t="s">
        <v>5058</v>
      </c>
      <c r="K2" t="s">
        <v>3823</v>
      </c>
      <c r="L2" t="s">
        <v>3467</v>
      </c>
    </row>
    <row r="3" spans="1:13" ht="41.25" customHeight="1" x14ac:dyDescent="0.25">
      <c r="A3" t="s">
        <v>3852</v>
      </c>
      <c r="B3" t="s">
        <v>5057</v>
      </c>
      <c r="C3" t="s">
        <v>4401</v>
      </c>
      <c r="D3">
        <v>6</v>
      </c>
      <c r="E3">
        <v>114</v>
      </c>
      <c r="F3">
        <v>120</v>
      </c>
      <c r="G3" t="s">
        <v>3467</v>
      </c>
      <c r="H3" t="s">
        <v>90</v>
      </c>
      <c r="I3" t="s">
        <v>4430</v>
      </c>
      <c r="J3" s="3" t="s">
        <v>5059</v>
      </c>
      <c r="K3" t="s">
        <v>3852</v>
      </c>
      <c r="L3" t="s">
        <v>3467</v>
      </c>
    </row>
    <row r="4" spans="1:13" ht="15" customHeight="1" x14ac:dyDescent="0.25">
      <c r="A4" t="s">
        <v>3860</v>
      </c>
      <c r="B4" t="s">
        <v>5057</v>
      </c>
      <c r="C4" t="s">
        <v>5060</v>
      </c>
      <c r="D4">
        <v>9</v>
      </c>
      <c r="E4">
        <v>999</v>
      </c>
      <c r="F4">
        <v>999</v>
      </c>
      <c r="G4" t="s">
        <v>5061</v>
      </c>
      <c r="H4" t="s">
        <v>90</v>
      </c>
      <c r="I4" t="s">
        <v>4430</v>
      </c>
      <c r="J4" t="s">
        <v>5062</v>
      </c>
      <c r="K4" t="s">
        <v>3860</v>
      </c>
      <c r="L4" t="s">
        <v>3467</v>
      </c>
    </row>
    <row r="5" spans="1:13" ht="54.75" customHeight="1" x14ac:dyDescent="0.25">
      <c r="A5" t="s">
        <v>5063</v>
      </c>
      <c r="B5" t="s">
        <v>5057</v>
      </c>
      <c r="C5" t="s">
        <v>4397</v>
      </c>
      <c r="D5">
        <v>3</v>
      </c>
      <c r="E5">
        <v>40</v>
      </c>
      <c r="F5">
        <v>44</v>
      </c>
      <c r="G5" t="s">
        <v>3467</v>
      </c>
      <c r="H5" t="s">
        <v>90</v>
      </c>
      <c r="I5" t="s">
        <v>4430</v>
      </c>
      <c r="J5" s="3" t="s">
        <v>5064</v>
      </c>
      <c r="K5" t="s">
        <v>5065</v>
      </c>
      <c r="L5" t="s">
        <v>3467</v>
      </c>
    </row>
    <row r="6" spans="1:13" ht="27.75" customHeight="1" x14ac:dyDescent="0.25">
      <c r="A6" t="s">
        <v>5066</v>
      </c>
      <c r="B6" t="s">
        <v>5057</v>
      </c>
      <c r="C6" t="s">
        <v>4397</v>
      </c>
      <c r="D6">
        <v>1</v>
      </c>
      <c r="E6">
        <v>10</v>
      </c>
      <c r="F6">
        <v>15</v>
      </c>
      <c r="G6" t="s">
        <v>5067</v>
      </c>
      <c r="H6" t="s">
        <v>90</v>
      </c>
      <c r="I6" t="s">
        <v>4430</v>
      </c>
      <c r="J6" s="3" t="s">
        <v>5068</v>
      </c>
      <c r="K6" t="s">
        <v>5069</v>
      </c>
      <c r="L6" t="s">
        <v>3467</v>
      </c>
      <c r="M6" t="s">
        <v>4667</v>
      </c>
    </row>
    <row r="7" spans="1:13" ht="27.75" customHeight="1" x14ac:dyDescent="0.25">
      <c r="A7" t="s">
        <v>5070</v>
      </c>
      <c r="B7" t="s">
        <v>5057</v>
      </c>
      <c r="C7" t="s">
        <v>4397</v>
      </c>
      <c r="D7">
        <v>1</v>
      </c>
      <c r="E7">
        <v>11</v>
      </c>
      <c r="F7">
        <v>17</v>
      </c>
      <c r="G7" t="s">
        <v>5067</v>
      </c>
      <c r="H7" t="s">
        <v>90</v>
      </c>
      <c r="I7" t="s">
        <v>4430</v>
      </c>
      <c r="J7" s="3" t="s">
        <v>5071</v>
      </c>
      <c r="K7" t="s">
        <v>5072</v>
      </c>
      <c r="L7" t="s">
        <v>3467</v>
      </c>
      <c r="M7" t="s">
        <v>4667</v>
      </c>
    </row>
    <row r="8" spans="1:13" ht="41.25" customHeight="1" x14ac:dyDescent="0.25">
      <c r="A8" t="s">
        <v>5073</v>
      </c>
      <c r="B8" t="s">
        <v>5057</v>
      </c>
      <c r="C8" t="s">
        <v>4397</v>
      </c>
      <c r="D8">
        <v>4</v>
      </c>
      <c r="E8">
        <v>65</v>
      </c>
      <c r="F8">
        <v>69</v>
      </c>
      <c r="G8" t="s">
        <v>5074</v>
      </c>
      <c r="H8" t="s">
        <v>90</v>
      </c>
      <c r="I8" t="s">
        <v>4430</v>
      </c>
      <c r="J8" s="3" t="s">
        <v>5075</v>
      </c>
      <c r="K8" t="s">
        <v>5076</v>
      </c>
      <c r="L8" t="s">
        <v>3467</v>
      </c>
      <c r="M8" t="s">
        <v>3848</v>
      </c>
    </row>
    <row r="9" spans="1:13" ht="41.25" customHeight="1" x14ac:dyDescent="0.25">
      <c r="A9" t="s">
        <v>5077</v>
      </c>
      <c r="B9" t="s">
        <v>5057</v>
      </c>
      <c r="C9" t="s">
        <v>4397</v>
      </c>
      <c r="D9">
        <v>2</v>
      </c>
      <c r="E9">
        <v>28</v>
      </c>
      <c r="F9">
        <v>32</v>
      </c>
      <c r="G9" t="s">
        <v>3467</v>
      </c>
      <c r="H9" t="s">
        <v>90</v>
      </c>
      <c r="I9" t="s">
        <v>4430</v>
      </c>
      <c r="J9" s="3" t="s">
        <v>5078</v>
      </c>
      <c r="K9" t="s">
        <v>5079</v>
      </c>
      <c r="L9" t="s">
        <v>3467</v>
      </c>
      <c r="M9" t="s">
        <v>3848</v>
      </c>
    </row>
    <row r="10" spans="1:13" ht="27.75" customHeight="1" x14ac:dyDescent="0.25">
      <c r="A10" t="s">
        <v>5080</v>
      </c>
      <c r="B10" t="s">
        <v>5057</v>
      </c>
      <c r="C10" t="s">
        <v>4397</v>
      </c>
      <c r="D10">
        <v>1</v>
      </c>
      <c r="E10">
        <v>8</v>
      </c>
      <c r="F10">
        <v>12</v>
      </c>
      <c r="G10" t="s">
        <v>3467</v>
      </c>
      <c r="H10" t="s">
        <v>90</v>
      </c>
      <c r="I10" t="s">
        <v>4430</v>
      </c>
      <c r="J10" s="3" t="s">
        <v>5081</v>
      </c>
      <c r="K10" t="s">
        <v>5082</v>
      </c>
      <c r="L10" t="s">
        <v>3467</v>
      </c>
      <c r="M10" t="s">
        <v>3848</v>
      </c>
    </row>
    <row r="11" spans="1:13" ht="27.75" customHeight="1" x14ac:dyDescent="0.25">
      <c r="A11" t="s">
        <v>3845</v>
      </c>
      <c r="B11" t="s">
        <v>5057</v>
      </c>
      <c r="C11" t="s">
        <v>4397</v>
      </c>
      <c r="D11">
        <v>4</v>
      </c>
      <c r="E11">
        <v>64</v>
      </c>
      <c r="F11">
        <v>70</v>
      </c>
      <c r="G11" t="s">
        <v>5083</v>
      </c>
      <c r="H11" t="s">
        <v>90</v>
      </c>
      <c r="I11" t="s">
        <v>4430</v>
      </c>
      <c r="J11" s="3" t="s">
        <v>5084</v>
      </c>
      <c r="K11" t="s">
        <v>3847</v>
      </c>
      <c r="L11" t="s">
        <v>3467</v>
      </c>
      <c r="M11" t="s">
        <v>3848</v>
      </c>
    </row>
    <row r="12" spans="1:13" ht="27.75" customHeight="1" x14ac:dyDescent="0.25">
      <c r="A12" t="s">
        <v>5085</v>
      </c>
      <c r="B12" t="s">
        <v>5057</v>
      </c>
      <c r="C12" t="s">
        <v>4397</v>
      </c>
      <c r="D12">
        <v>2</v>
      </c>
      <c r="E12">
        <v>28</v>
      </c>
      <c r="F12">
        <v>32</v>
      </c>
      <c r="G12" t="s">
        <v>3467</v>
      </c>
      <c r="H12" t="s">
        <v>90</v>
      </c>
      <c r="I12" t="s">
        <v>4430</v>
      </c>
      <c r="J12" s="3" t="s">
        <v>5086</v>
      </c>
      <c r="K12" t="s">
        <v>5087</v>
      </c>
      <c r="L12" t="s">
        <v>3467</v>
      </c>
      <c r="M12" t="s">
        <v>3848</v>
      </c>
    </row>
    <row r="13" spans="1:13" ht="15" customHeight="1" x14ac:dyDescent="0.25">
      <c r="A13" t="s">
        <v>5088</v>
      </c>
      <c r="B13" t="s">
        <v>5057</v>
      </c>
      <c r="C13" t="s">
        <v>4397</v>
      </c>
      <c r="D13">
        <v>1</v>
      </c>
      <c r="E13">
        <v>10</v>
      </c>
      <c r="F13">
        <v>14</v>
      </c>
      <c r="G13" t="s">
        <v>3467</v>
      </c>
      <c r="H13" t="s">
        <v>90</v>
      </c>
      <c r="I13" t="s">
        <v>4430</v>
      </c>
      <c r="J13" t="s">
        <v>5089</v>
      </c>
      <c r="K13" t="s">
        <v>5090</v>
      </c>
      <c r="L13" t="s">
        <v>3467</v>
      </c>
      <c r="M13" t="s">
        <v>3848</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5091</v>
      </c>
      <c r="C1" t="s">
        <v>3751</v>
      </c>
      <c r="D1" t="s">
        <v>5051</v>
      </c>
      <c r="E1" t="s">
        <v>1</v>
      </c>
      <c r="F1" t="s">
        <v>5052</v>
      </c>
      <c r="G1" t="s">
        <v>5053</v>
      </c>
      <c r="H1" t="s">
        <v>4019</v>
      </c>
      <c r="I1" t="s">
        <v>3752</v>
      </c>
      <c r="J1" t="s">
        <v>5092</v>
      </c>
      <c r="K1" t="s">
        <v>5093</v>
      </c>
      <c r="L1" t="s">
        <v>5094</v>
      </c>
      <c r="M1" t="s">
        <v>5095</v>
      </c>
      <c r="N1" t="s">
        <v>5096</v>
      </c>
      <c r="O1" t="s">
        <v>5097</v>
      </c>
      <c r="P1" t="s">
        <v>5098</v>
      </c>
      <c r="Q1" t="s">
        <v>5099</v>
      </c>
      <c r="R1" t="s">
        <v>5100</v>
      </c>
      <c r="S1" t="s">
        <v>3756</v>
      </c>
      <c r="T1" t="s">
        <v>3757</v>
      </c>
    </row>
    <row r="2" spans="1:20" ht="15" customHeight="1" x14ac:dyDescent="0.25">
      <c r="A2" t="s">
        <v>3765</v>
      </c>
      <c r="B2" t="s">
        <v>5101</v>
      </c>
      <c r="C2" t="s">
        <v>4397</v>
      </c>
      <c r="D2">
        <v>1</v>
      </c>
      <c r="E2" t="s">
        <v>497</v>
      </c>
      <c r="F2">
        <v>10</v>
      </c>
      <c r="G2">
        <v>15</v>
      </c>
      <c r="H2">
        <v>80</v>
      </c>
      <c r="I2">
        <v>1</v>
      </c>
      <c r="J2" t="s">
        <v>5102</v>
      </c>
      <c r="K2">
        <v>0</v>
      </c>
      <c r="L2" t="s">
        <v>5103</v>
      </c>
      <c r="M2" t="s">
        <v>5104</v>
      </c>
      <c r="N2" t="s">
        <v>4031</v>
      </c>
      <c r="O2" t="s">
        <v>5105</v>
      </c>
      <c r="R2" t="s">
        <v>5106</v>
      </c>
      <c r="T2" t="s">
        <v>3522</v>
      </c>
    </row>
    <row r="3" spans="1:20" ht="15" customHeight="1" x14ac:dyDescent="0.25">
      <c r="A3" t="s">
        <v>5107</v>
      </c>
      <c r="B3" t="s">
        <v>5108</v>
      </c>
      <c r="C3" t="s">
        <v>4397</v>
      </c>
      <c r="D3">
        <v>2</v>
      </c>
      <c r="E3" t="s">
        <v>160</v>
      </c>
      <c r="F3">
        <v>16</v>
      </c>
      <c r="G3">
        <v>20</v>
      </c>
      <c r="H3">
        <v>90</v>
      </c>
      <c r="I3">
        <v>1</v>
      </c>
      <c r="J3" t="s">
        <v>5102</v>
      </c>
      <c r="K3">
        <v>0</v>
      </c>
      <c r="L3" t="s">
        <v>5109</v>
      </c>
      <c r="M3" t="s">
        <v>5110</v>
      </c>
      <c r="N3" t="s">
        <v>4031</v>
      </c>
      <c r="Q3" t="s">
        <v>5111</v>
      </c>
      <c r="R3" t="s">
        <v>5112</v>
      </c>
      <c r="S3" t="s">
        <v>5113</v>
      </c>
    </row>
    <row r="4" spans="1:20" ht="15" customHeight="1" x14ac:dyDescent="0.25">
      <c r="A4" t="s">
        <v>5114</v>
      </c>
      <c r="B4" t="s">
        <v>5115</v>
      </c>
      <c r="C4" t="s">
        <v>4397</v>
      </c>
      <c r="D4">
        <v>0</v>
      </c>
      <c r="E4" t="s">
        <v>160</v>
      </c>
      <c r="F4">
        <v>16</v>
      </c>
      <c r="G4">
        <v>20</v>
      </c>
      <c r="H4">
        <v>60</v>
      </c>
      <c r="I4">
        <v>1</v>
      </c>
      <c r="J4" t="s">
        <v>5116</v>
      </c>
      <c r="K4">
        <v>0</v>
      </c>
      <c r="L4" t="s">
        <v>5117</v>
      </c>
      <c r="M4" t="s">
        <v>5118</v>
      </c>
      <c r="N4" t="s">
        <v>4031</v>
      </c>
      <c r="Q4" t="s">
        <v>5119</v>
      </c>
      <c r="R4" t="s">
        <v>5120</v>
      </c>
    </row>
    <row r="5" spans="1:20" ht="15" customHeight="1" x14ac:dyDescent="0.25">
      <c r="A5" t="s">
        <v>5121</v>
      </c>
      <c r="B5" t="s">
        <v>5122</v>
      </c>
      <c r="C5" t="s">
        <v>4397</v>
      </c>
      <c r="D5">
        <v>2</v>
      </c>
      <c r="E5" t="s">
        <v>160</v>
      </c>
      <c r="F5">
        <v>16</v>
      </c>
      <c r="G5">
        <v>20</v>
      </c>
      <c r="H5">
        <v>0</v>
      </c>
      <c r="I5">
        <v>1</v>
      </c>
      <c r="J5" t="s">
        <v>5123</v>
      </c>
      <c r="K5">
        <v>0</v>
      </c>
      <c r="L5" t="s">
        <v>5124</v>
      </c>
      <c r="M5" t="s">
        <v>5125</v>
      </c>
      <c r="N5" t="s">
        <v>4031</v>
      </c>
      <c r="R5" t="s">
        <v>5126</v>
      </c>
    </row>
    <row r="6" spans="1:20" ht="15" customHeight="1" x14ac:dyDescent="0.25">
      <c r="A6" t="s">
        <v>5116</v>
      </c>
      <c r="B6" t="s">
        <v>5127</v>
      </c>
      <c r="C6" t="s">
        <v>4397</v>
      </c>
      <c r="D6">
        <v>0</v>
      </c>
      <c r="E6" t="s">
        <v>160</v>
      </c>
      <c r="F6">
        <v>16</v>
      </c>
      <c r="G6">
        <v>20</v>
      </c>
      <c r="H6">
        <v>70</v>
      </c>
      <c r="I6">
        <v>1</v>
      </c>
      <c r="J6" t="s">
        <v>5116</v>
      </c>
      <c r="K6">
        <v>0</v>
      </c>
      <c r="L6" t="s">
        <v>5109</v>
      </c>
      <c r="M6" t="s">
        <v>5128</v>
      </c>
      <c r="N6" t="s">
        <v>4031</v>
      </c>
      <c r="Q6" t="s">
        <v>5129</v>
      </c>
      <c r="R6" t="s">
        <v>5130</v>
      </c>
    </row>
    <row r="7" spans="1:20" ht="15" customHeight="1" x14ac:dyDescent="0.25">
      <c r="A7" t="s">
        <v>5131</v>
      </c>
      <c r="B7" t="s">
        <v>5132</v>
      </c>
      <c r="C7" t="s">
        <v>4397</v>
      </c>
      <c r="D7">
        <v>2</v>
      </c>
      <c r="E7" t="s">
        <v>497</v>
      </c>
      <c r="F7">
        <v>12</v>
      </c>
      <c r="G7">
        <v>16</v>
      </c>
      <c r="H7">
        <v>70</v>
      </c>
      <c r="I7">
        <v>1</v>
      </c>
      <c r="J7" t="s">
        <v>5133</v>
      </c>
      <c r="K7">
        <v>6</v>
      </c>
      <c r="L7" t="s">
        <v>5134</v>
      </c>
      <c r="M7" t="s">
        <v>5135</v>
      </c>
      <c r="N7" t="s">
        <v>4031</v>
      </c>
      <c r="O7" t="s">
        <v>5105</v>
      </c>
      <c r="P7" t="s">
        <v>5136</v>
      </c>
      <c r="R7" t="s">
        <v>5106</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5041</v>
      </c>
      <c r="D1" t="s">
        <v>5137</v>
      </c>
      <c r="E1" t="s">
        <v>3512</v>
      </c>
    </row>
    <row r="2" spans="1:5" ht="15" customHeight="1" x14ac:dyDescent="0.25">
      <c r="A2" t="s">
        <v>5138</v>
      </c>
      <c r="B2" t="s">
        <v>3853</v>
      </c>
      <c r="C2" t="s">
        <v>5139</v>
      </c>
      <c r="D2" t="s">
        <v>3458</v>
      </c>
    </row>
    <row r="3" spans="1:5" ht="15" customHeight="1" x14ac:dyDescent="0.25">
      <c r="A3" t="s">
        <v>5140</v>
      </c>
      <c r="B3" t="s">
        <v>3853</v>
      </c>
      <c r="C3" t="s">
        <v>5141</v>
      </c>
      <c r="D3" t="s">
        <v>3458</v>
      </c>
    </row>
    <row r="4" spans="1:5" ht="15" customHeight="1" x14ac:dyDescent="0.25">
      <c r="A4" t="s">
        <v>5142</v>
      </c>
      <c r="B4" t="s">
        <v>3853</v>
      </c>
      <c r="C4" t="s">
        <v>3960</v>
      </c>
      <c r="D4" t="s">
        <v>5143</v>
      </c>
    </row>
    <row r="5" spans="1:5" ht="15" customHeight="1" x14ac:dyDescent="0.25">
      <c r="A5" t="s">
        <v>5144</v>
      </c>
      <c r="B5" t="s">
        <v>3853</v>
      </c>
      <c r="C5" t="s">
        <v>5145</v>
      </c>
      <c r="D5" t="s">
        <v>3458</v>
      </c>
    </row>
    <row r="6" spans="1:5" ht="15" customHeight="1" x14ac:dyDescent="0.25">
      <c r="A6" t="s">
        <v>5146</v>
      </c>
      <c r="B6" t="s">
        <v>3853</v>
      </c>
      <c r="C6" t="s">
        <v>5147</v>
      </c>
      <c r="D6" t="s">
        <v>3458</v>
      </c>
    </row>
    <row r="7" spans="1:5" ht="15" customHeight="1" x14ac:dyDescent="0.25">
      <c r="A7" t="s">
        <v>5148</v>
      </c>
      <c r="B7" t="s">
        <v>3853</v>
      </c>
      <c r="C7" t="s">
        <v>5149</v>
      </c>
      <c r="D7" t="s">
        <v>5150</v>
      </c>
    </row>
    <row r="8" spans="1:5" ht="15" customHeight="1" x14ac:dyDescent="0.25">
      <c r="A8" t="s">
        <v>5151</v>
      </c>
      <c r="B8" t="s">
        <v>3853</v>
      </c>
      <c r="C8" t="s">
        <v>5152</v>
      </c>
      <c r="D8" t="s">
        <v>5153</v>
      </c>
    </row>
    <row r="9" spans="1:5" ht="15" customHeight="1" x14ac:dyDescent="0.25">
      <c r="A9" t="s">
        <v>5154</v>
      </c>
      <c r="B9" t="s">
        <v>5155</v>
      </c>
      <c r="C9" t="s">
        <v>5156</v>
      </c>
      <c r="D9" t="s">
        <v>3467</v>
      </c>
      <c r="E9" t="s">
        <v>5157</v>
      </c>
    </row>
    <row r="10" spans="1:5" ht="15" customHeight="1" x14ac:dyDescent="0.25">
      <c r="A10" t="s">
        <v>5158</v>
      </c>
      <c r="B10" t="s">
        <v>5155</v>
      </c>
      <c r="C10" t="s">
        <v>5159</v>
      </c>
      <c r="D10" t="s">
        <v>3467</v>
      </c>
      <c r="E10" t="s">
        <v>5160</v>
      </c>
    </row>
    <row r="11" spans="1:5" ht="15" customHeight="1" x14ac:dyDescent="0.25">
      <c r="A11" t="s">
        <v>5161</v>
      </c>
      <c r="B11" t="s">
        <v>5155</v>
      </c>
      <c r="C11" t="s">
        <v>5162</v>
      </c>
      <c r="D11" t="s">
        <v>3467</v>
      </c>
      <c r="E11" t="s">
        <v>5163</v>
      </c>
    </row>
    <row r="12" spans="1:5" ht="15" customHeight="1" x14ac:dyDescent="0.25">
      <c r="A12" t="s">
        <v>5164</v>
      </c>
      <c r="B12" t="s">
        <v>3853</v>
      </c>
      <c r="C12" t="s">
        <v>5165</v>
      </c>
      <c r="D12" t="s">
        <v>5166</v>
      </c>
    </row>
    <row r="13" spans="1:5" ht="15" customHeight="1" x14ac:dyDescent="0.25">
      <c r="A13" t="s">
        <v>5167</v>
      </c>
      <c r="B13" t="s">
        <v>3853</v>
      </c>
      <c r="C13" t="s">
        <v>5168</v>
      </c>
      <c r="D13" t="s">
        <v>3458</v>
      </c>
    </row>
    <row r="14" spans="1:5" ht="15" customHeight="1" x14ac:dyDescent="0.25">
      <c r="A14" t="s">
        <v>5169</v>
      </c>
      <c r="B14" t="s">
        <v>3853</v>
      </c>
      <c r="C14" t="s">
        <v>5170</v>
      </c>
      <c r="D14" t="s">
        <v>4287</v>
      </c>
    </row>
    <row r="15" spans="1:5" ht="15" customHeight="1" x14ac:dyDescent="0.25">
      <c r="A15" t="s">
        <v>5171</v>
      </c>
      <c r="B15" t="s">
        <v>3853</v>
      </c>
      <c r="C15" t="s">
        <v>5172</v>
      </c>
      <c r="D15" t="s">
        <v>3458</v>
      </c>
    </row>
    <row r="16" spans="1:5" ht="15" customHeight="1" x14ac:dyDescent="0.25">
      <c r="A16" t="s">
        <v>5173</v>
      </c>
      <c r="B16" t="s">
        <v>5155</v>
      </c>
      <c r="C16" t="s">
        <v>5174</v>
      </c>
      <c r="D16" t="s">
        <v>3467</v>
      </c>
      <c r="E16" t="s">
        <v>5175</v>
      </c>
    </row>
    <row r="17" spans="1:4" ht="15" customHeight="1" x14ac:dyDescent="0.25">
      <c r="A17" t="s">
        <v>5176</v>
      </c>
      <c r="B17" t="s">
        <v>3853</v>
      </c>
      <c r="C17" t="s">
        <v>5177</v>
      </c>
      <c r="D17" t="s">
        <v>5178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4013</v>
      </c>
      <c r="E1" t="s">
        <v>5179</v>
      </c>
      <c r="F1" t="s">
        <v>4293</v>
      </c>
      <c r="G1" t="s">
        <v>5180</v>
      </c>
      <c r="H1" t="s">
        <v>4043</v>
      </c>
      <c r="I1" t="s">
        <v>171</v>
      </c>
      <c r="J1" t="s">
        <v>6</v>
      </c>
      <c r="K1" t="s">
        <v>5181</v>
      </c>
    </row>
    <row r="2" spans="1:11" ht="15" customHeight="1" x14ac:dyDescent="0.25">
      <c r="A2" t="s">
        <v>5182</v>
      </c>
      <c r="B2" t="s">
        <v>5183</v>
      </c>
      <c r="C2" t="s">
        <v>4015</v>
      </c>
      <c r="D2" t="s">
        <v>187</v>
      </c>
      <c r="E2" t="s">
        <v>3467</v>
      </c>
      <c r="F2" t="s">
        <v>4331</v>
      </c>
      <c r="G2" t="s">
        <v>39</v>
      </c>
      <c r="H2" t="s">
        <v>4065</v>
      </c>
      <c r="I2" t="s">
        <v>5182</v>
      </c>
      <c r="J2" t="s">
        <v>3530</v>
      </c>
      <c r="K2" t="s">
        <v>3467</v>
      </c>
    </row>
    <row r="3" spans="1:11" ht="15" customHeight="1" x14ac:dyDescent="0.25">
      <c r="A3" t="s">
        <v>3537</v>
      </c>
      <c r="B3" t="s">
        <v>5184</v>
      </c>
      <c r="C3" t="s">
        <v>3756</v>
      </c>
      <c r="D3" t="s">
        <v>4031</v>
      </c>
      <c r="E3" t="s">
        <v>3467</v>
      </c>
      <c r="F3" t="s">
        <v>4331</v>
      </c>
      <c r="G3" t="s">
        <v>39</v>
      </c>
      <c r="H3" t="s">
        <v>4065</v>
      </c>
      <c r="I3" t="s">
        <v>3537</v>
      </c>
      <c r="J3" t="s">
        <v>3518</v>
      </c>
      <c r="K3" t="s">
        <v>3467</v>
      </c>
    </row>
    <row r="4" spans="1:11" ht="15" customHeight="1" x14ac:dyDescent="0.25">
      <c r="A4" t="s">
        <v>5185</v>
      </c>
      <c r="B4" t="s">
        <v>5186</v>
      </c>
      <c r="C4" t="s">
        <v>4026</v>
      </c>
      <c r="D4" t="s">
        <v>187</v>
      </c>
      <c r="E4" t="s">
        <v>3467</v>
      </c>
      <c r="F4" t="s">
        <v>5187</v>
      </c>
      <c r="G4" t="s">
        <v>39</v>
      </c>
      <c r="H4" t="s">
        <v>4048</v>
      </c>
      <c r="I4" t="s">
        <v>5185</v>
      </c>
      <c r="J4" t="s">
        <v>3530</v>
      </c>
      <c r="K4" t="s">
        <v>3467</v>
      </c>
    </row>
    <row r="5" spans="1:11" ht="15" customHeight="1" x14ac:dyDescent="0.25">
      <c r="A5" t="s">
        <v>5188</v>
      </c>
      <c r="B5" t="s">
        <v>5189</v>
      </c>
      <c r="C5" t="s">
        <v>4015</v>
      </c>
      <c r="D5" t="s">
        <v>187</v>
      </c>
      <c r="E5" t="s">
        <v>3467</v>
      </c>
      <c r="F5" t="s">
        <v>4331</v>
      </c>
      <c r="G5" t="s">
        <v>39</v>
      </c>
      <c r="H5" t="s">
        <v>4065</v>
      </c>
      <c r="I5" t="s">
        <v>5190</v>
      </c>
      <c r="J5" t="s">
        <v>3518</v>
      </c>
      <c r="K5" t="s">
        <v>3467</v>
      </c>
    </row>
    <row r="6" spans="1:11" ht="15" customHeight="1" x14ac:dyDescent="0.25">
      <c r="A6" t="s">
        <v>5191</v>
      </c>
      <c r="B6" t="s">
        <v>5192</v>
      </c>
      <c r="C6" t="s">
        <v>4026</v>
      </c>
      <c r="D6" t="s">
        <v>187</v>
      </c>
      <c r="E6" t="s">
        <v>3467</v>
      </c>
      <c r="F6" t="s">
        <v>5193</v>
      </c>
      <c r="G6" t="s">
        <v>39</v>
      </c>
      <c r="H6" t="s">
        <v>4048</v>
      </c>
      <c r="I6" t="s">
        <v>5191</v>
      </c>
      <c r="J6" t="s">
        <v>41</v>
      </c>
      <c r="K6" t="s">
        <v>3467</v>
      </c>
    </row>
    <row r="7" spans="1:11" ht="15" customHeight="1" x14ac:dyDescent="0.25">
      <c r="A7" t="s">
        <v>5194</v>
      </c>
      <c r="B7" t="s">
        <v>5195</v>
      </c>
      <c r="C7" t="s">
        <v>4015</v>
      </c>
      <c r="D7" t="s">
        <v>187</v>
      </c>
      <c r="E7" t="s">
        <v>3467</v>
      </c>
      <c r="F7" t="s">
        <v>5193</v>
      </c>
      <c r="G7" t="s">
        <v>39</v>
      </c>
      <c r="H7" t="s">
        <v>4065</v>
      </c>
      <c r="I7" t="s">
        <v>5194</v>
      </c>
      <c r="J7" t="s">
        <v>3518</v>
      </c>
      <c r="K7" t="s">
        <v>3467</v>
      </c>
    </row>
    <row r="8" spans="1:11" ht="15" customHeight="1" x14ac:dyDescent="0.25">
      <c r="A8" t="s">
        <v>5196</v>
      </c>
      <c r="B8" t="s">
        <v>5197</v>
      </c>
      <c r="C8" t="s">
        <v>4015</v>
      </c>
      <c r="D8" t="s">
        <v>187</v>
      </c>
      <c r="E8" t="s">
        <v>3467</v>
      </c>
      <c r="F8" t="s">
        <v>4331</v>
      </c>
      <c r="G8" t="s">
        <v>39</v>
      </c>
      <c r="H8" t="s">
        <v>4065</v>
      </c>
      <c r="I8" t="s">
        <v>5196</v>
      </c>
      <c r="J8" t="s">
        <v>41</v>
      </c>
      <c r="K8" t="s">
        <v>3467</v>
      </c>
    </row>
    <row r="9" spans="1:11" ht="15" customHeight="1" x14ac:dyDescent="0.25">
      <c r="A9" t="s">
        <v>5198</v>
      </c>
      <c r="B9" t="s">
        <v>5199</v>
      </c>
      <c r="C9" t="s">
        <v>4026</v>
      </c>
      <c r="D9" t="s">
        <v>187</v>
      </c>
      <c r="E9" t="s">
        <v>3467</v>
      </c>
      <c r="F9" t="s">
        <v>4331</v>
      </c>
      <c r="G9" t="s">
        <v>39</v>
      </c>
      <c r="H9" t="s">
        <v>4048</v>
      </c>
      <c r="I9" t="s">
        <v>5198</v>
      </c>
      <c r="J9" t="s">
        <v>41</v>
      </c>
      <c r="K9" t="s">
        <v>3467</v>
      </c>
    </row>
    <row r="10" spans="1:11" ht="15" customHeight="1" x14ac:dyDescent="0.25">
      <c r="A10" t="s">
        <v>5200</v>
      </c>
      <c r="B10" t="s">
        <v>5201</v>
      </c>
      <c r="C10" t="s">
        <v>4015</v>
      </c>
      <c r="D10" t="s">
        <v>187</v>
      </c>
      <c r="E10" t="s">
        <v>3467</v>
      </c>
      <c r="F10" t="s">
        <v>5202</v>
      </c>
      <c r="G10" t="s">
        <v>39</v>
      </c>
      <c r="H10" t="s">
        <v>4065</v>
      </c>
      <c r="I10" t="s">
        <v>5200</v>
      </c>
      <c r="J10" t="s">
        <v>3518</v>
      </c>
      <c r="K10" t="s">
        <v>3467</v>
      </c>
    </row>
    <row r="11" spans="1:11" ht="15" customHeight="1" x14ac:dyDescent="0.25">
      <c r="A11" t="s">
        <v>4036</v>
      </c>
      <c r="B11" t="s">
        <v>5203</v>
      </c>
      <c r="C11" t="s">
        <v>4026</v>
      </c>
      <c r="D11" t="s">
        <v>187</v>
      </c>
      <c r="E11" t="s">
        <v>3467</v>
      </c>
      <c r="F11" t="s">
        <v>5193</v>
      </c>
      <c r="G11" t="s">
        <v>39</v>
      </c>
      <c r="H11" t="s">
        <v>4048</v>
      </c>
      <c r="I11" t="s">
        <v>4036</v>
      </c>
      <c r="J11" t="s">
        <v>41</v>
      </c>
      <c r="K11" t="s">
        <v>3467</v>
      </c>
    </row>
    <row r="12" spans="1:11" ht="15" customHeight="1" x14ac:dyDescent="0.25">
      <c r="A12" t="s">
        <v>5204</v>
      </c>
      <c r="B12" t="s">
        <v>5205</v>
      </c>
      <c r="C12" t="s">
        <v>4015</v>
      </c>
      <c r="D12" t="s">
        <v>187</v>
      </c>
      <c r="E12" t="s">
        <v>3467</v>
      </c>
      <c r="F12" t="s">
        <v>5206</v>
      </c>
      <c r="G12" t="s">
        <v>5207</v>
      </c>
      <c r="H12" t="s">
        <v>4065</v>
      </c>
      <c r="I12" t="s">
        <v>5204</v>
      </c>
      <c r="J12" t="s">
        <v>3518</v>
      </c>
      <c r="K12" t="s">
        <v>3467</v>
      </c>
    </row>
    <row r="13" spans="1:11" ht="15" customHeight="1" x14ac:dyDescent="0.25">
      <c r="A13" t="s">
        <v>5208</v>
      </c>
      <c r="B13" t="s">
        <v>5209</v>
      </c>
      <c r="C13" t="s">
        <v>4026</v>
      </c>
      <c r="D13" t="s">
        <v>187</v>
      </c>
      <c r="E13" t="s">
        <v>3467</v>
      </c>
      <c r="F13" t="s">
        <v>5206</v>
      </c>
      <c r="G13" t="s">
        <v>5210</v>
      </c>
      <c r="H13" t="s">
        <v>4048</v>
      </c>
      <c r="I13" t="s">
        <v>5208</v>
      </c>
      <c r="J13" t="s">
        <v>3467</v>
      </c>
      <c r="K13" t="s">
        <v>3467</v>
      </c>
    </row>
    <row r="14" spans="1:11" ht="15" customHeight="1" x14ac:dyDescent="0.25">
      <c r="A14" t="s">
        <v>5211</v>
      </c>
      <c r="B14" t="s">
        <v>5212</v>
      </c>
      <c r="C14" t="s">
        <v>4026</v>
      </c>
      <c r="D14" t="s">
        <v>187</v>
      </c>
      <c r="E14" t="s">
        <v>3467</v>
      </c>
      <c r="F14" t="s">
        <v>5193</v>
      </c>
      <c r="G14" t="s">
        <v>5207</v>
      </c>
      <c r="H14" t="s">
        <v>4048</v>
      </c>
      <c r="I14" t="s">
        <v>5211</v>
      </c>
      <c r="J14" t="s">
        <v>3467</v>
      </c>
      <c r="K14" t="s">
        <v>3467</v>
      </c>
    </row>
    <row r="15" spans="1:11" ht="15" customHeight="1" x14ac:dyDescent="0.25">
      <c r="A15" t="s">
        <v>5213</v>
      </c>
      <c r="B15" t="s">
        <v>5214</v>
      </c>
      <c r="C15" t="s">
        <v>4026</v>
      </c>
      <c r="D15" t="s">
        <v>187</v>
      </c>
      <c r="E15" t="s">
        <v>3467</v>
      </c>
      <c r="F15" t="s">
        <v>4331</v>
      </c>
      <c r="G15" t="s">
        <v>5210</v>
      </c>
      <c r="H15" t="s">
        <v>4048</v>
      </c>
      <c r="I15" t="s">
        <v>5215</v>
      </c>
      <c r="J15" t="s">
        <v>3467</v>
      </c>
      <c r="K15" t="s">
        <v>3467</v>
      </c>
    </row>
    <row r="16" spans="1:11" ht="15" customHeight="1" x14ac:dyDescent="0.25">
      <c r="A16" t="s">
        <v>5216</v>
      </c>
      <c r="B16" t="s">
        <v>5217</v>
      </c>
      <c r="C16" t="s">
        <v>3756</v>
      </c>
      <c r="D16" t="s">
        <v>4031</v>
      </c>
      <c r="E16" t="s">
        <v>3467</v>
      </c>
      <c r="F16" t="s">
        <v>4331</v>
      </c>
      <c r="G16" t="s">
        <v>39</v>
      </c>
      <c r="H16" t="s">
        <v>4065</v>
      </c>
      <c r="I16" t="s">
        <v>5218</v>
      </c>
      <c r="J16" t="s">
        <v>3467</v>
      </c>
      <c r="K16" t="s">
        <v>3467</v>
      </c>
    </row>
    <row r="17" spans="1:11" ht="15" customHeight="1" x14ac:dyDescent="0.25">
      <c r="A17" t="s">
        <v>3528</v>
      </c>
      <c r="B17" t="s">
        <v>5219</v>
      </c>
      <c r="C17" t="s">
        <v>4015</v>
      </c>
      <c r="D17" t="s">
        <v>187</v>
      </c>
      <c r="E17" t="s">
        <v>3467</v>
      </c>
      <c r="F17" t="s">
        <v>4331</v>
      </c>
      <c r="G17" t="s">
        <v>39</v>
      </c>
      <c r="H17" t="s">
        <v>4065</v>
      </c>
      <c r="I17" t="s">
        <v>3528</v>
      </c>
      <c r="J17" t="s">
        <v>3530</v>
      </c>
      <c r="K17" t="s">
        <v>3467</v>
      </c>
    </row>
    <row r="18" spans="1:11" ht="15" customHeight="1" x14ac:dyDescent="0.25">
      <c r="A18" t="s">
        <v>5220</v>
      </c>
      <c r="B18" t="s">
        <v>5221</v>
      </c>
      <c r="C18" t="s">
        <v>4015</v>
      </c>
      <c r="D18" t="s">
        <v>187</v>
      </c>
      <c r="E18" t="s">
        <v>3467</v>
      </c>
      <c r="F18" t="s">
        <v>5222</v>
      </c>
      <c r="G18" t="s">
        <v>39</v>
      </c>
      <c r="H18" t="s">
        <v>4065</v>
      </c>
      <c r="I18" t="s">
        <v>5220</v>
      </c>
      <c r="J18" t="s">
        <v>3518</v>
      </c>
      <c r="K18" t="s">
        <v>3467</v>
      </c>
    </row>
    <row r="19" spans="1:11" ht="15" customHeight="1" x14ac:dyDescent="0.25">
      <c r="A19" t="s">
        <v>5223</v>
      </c>
      <c r="B19" t="s">
        <v>5224</v>
      </c>
      <c r="C19" t="s">
        <v>4026</v>
      </c>
      <c r="D19" t="s">
        <v>187</v>
      </c>
      <c r="E19" t="s">
        <v>3467</v>
      </c>
      <c r="F19" t="s">
        <v>4331</v>
      </c>
      <c r="G19" t="s">
        <v>39</v>
      </c>
      <c r="H19" t="s">
        <v>4048</v>
      </c>
      <c r="I19" t="s">
        <v>5223</v>
      </c>
      <c r="J19" t="s">
        <v>3530</v>
      </c>
      <c r="K19" t="s">
        <v>3467</v>
      </c>
    </row>
    <row r="20" spans="1:11" ht="15" customHeight="1" x14ac:dyDescent="0.25">
      <c r="A20" t="s">
        <v>5225</v>
      </c>
      <c r="B20" t="s">
        <v>5226</v>
      </c>
      <c r="C20" t="s">
        <v>4015</v>
      </c>
      <c r="D20" t="s">
        <v>187</v>
      </c>
      <c r="E20" t="s">
        <v>3467</v>
      </c>
      <c r="F20" t="s">
        <v>5193</v>
      </c>
      <c r="G20" t="s">
        <v>5207</v>
      </c>
      <c r="H20" t="s">
        <v>4065</v>
      </c>
      <c r="I20" t="s">
        <v>5227</v>
      </c>
      <c r="J20" t="s">
        <v>3518</v>
      </c>
      <c r="K20" t="s">
        <v>3467</v>
      </c>
    </row>
    <row r="21" spans="1:11" ht="15" customHeight="1" x14ac:dyDescent="0.25">
      <c r="A21" t="s">
        <v>5228</v>
      </c>
      <c r="B21" t="s">
        <v>5229</v>
      </c>
      <c r="C21" t="s">
        <v>4026</v>
      </c>
      <c r="D21" t="s">
        <v>187</v>
      </c>
      <c r="E21" t="s">
        <v>3467</v>
      </c>
      <c r="F21" t="s">
        <v>5193</v>
      </c>
      <c r="G21" t="s">
        <v>39</v>
      </c>
      <c r="H21" t="s">
        <v>4048</v>
      </c>
      <c r="I21" t="s">
        <v>5228</v>
      </c>
      <c r="J21" t="s">
        <v>3518</v>
      </c>
      <c r="K21" t="s">
        <v>3467</v>
      </c>
    </row>
    <row r="22" spans="1:11" ht="15" customHeight="1" x14ac:dyDescent="0.25">
      <c r="A22" t="s">
        <v>5230</v>
      </c>
      <c r="B22" t="s">
        <v>5231</v>
      </c>
      <c r="C22" t="s">
        <v>3756</v>
      </c>
      <c r="D22" t="s">
        <v>187</v>
      </c>
      <c r="E22" t="s">
        <v>3467</v>
      </c>
      <c r="F22" t="s">
        <v>4331</v>
      </c>
      <c r="G22" t="s">
        <v>5207</v>
      </c>
      <c r="H22" t="s">
        <v>4065</v>
      </c>
      <c r="I22" t="s">
        <v>5230</v>
      </c>
      <c r="J22" t="s">
        <v>3467</v>
      </c>
      <c r="K22" t="s">
        <v>3467</v>
      </c>
    </row>
    <row r="23" spans="1:11" ht="15" customHeight="1" x14ac:dyDescent="0.25">
      <c r="A23" t="s">
        <v>5232</v>
      </c>
      <c r="B23" t="s">
        <v>5233</v>
      </c>
      <c r="C23" t="s">
        <v>3756</v>
      </c>
      <c r="D23" t="s">
        <v>187</v>
      </c>
      <c r="E23" t="s">
        <v>3467</v>
      </c>
      <c r="F23" t="s">
        <v>4331</v>
      </c>
      <c r="G23" t="s">
        <v>5207</v>
      </c>
      <c r="H23" t="s">
        <v>4065</v>
      </c>
      <c r="I23" t="s">
        <v>5232</v>
      </c>
      <c r="J23" t="s">
        <v>3467</v>
      </c>
      <c r="K23" t="s">
        <v>3467</v>
      </c>
    </row>
    <row r="24" spans="1:11" ht="15" customHeight="1" x14ac:dyDescent="0.25">
      <c r="A24" t="s">
        <v>5234</v>
      </c>
      <c r="B24" t="s">
        <v>5235</v>
      </c>
      <c r="C24" t="s">
        <v>4026</v>
      </c>
      <c r="D24" t="s">
        <v>187</v>
      </c>
      <c r="E24" t="s">
        <v>3467</v>
      </c>
      <c r="F24" t="s">
        <v>5193</v>
      </c>
      <c r="G24" t="s">
        <v>39</v>
      </c>
      <c r="H24" t="s">
        <v>4048</v>
      </c>
      <c r="I24" t="s">
        <v>5236</v>
      </c>
      <c r="J24" t="s">
        <v>3467</v>
      </c>
      <c r="K24" t="s">
        <v>3467</v>
      </c>
    </row>
    <row r="25" spans="1:11" ht="15" customHeight="1" x14ac:dyDescent="0.25">
      <c r="A25" t="s">
        <v>5237</v>
      </c>
      <c r="B25" t="s">
        <v>5238</v>
      </c>
      <c r="C25" t="s">
        <v>4026</v>
      </c>
      <c r="D25" t="s">
        <v>187</v>
      </c>
      <c r="E25" t="s">
        <v>3467</v>
      </c>
      <c r="F25" t="s">
        <v>5239</v>
      </c>
      <c r="G25" t="s">
        <v>5207</v>
      </c>
      <c r="H25" t="s">
        <v>4048</v>
      </c>
      <c r="I25" t="s">
        <v>5237</v>
      </c>
      <c r="J25" t="s">
        <v>3530</v>
      </c>
      <c r="K25" t="s">
        <v>3467</v>
      </c>
    </row>
    <row r="26" spans="1:11" ht="15" customHeight="1" x14ac:dyDescent="0.25">
      <c r="A26" t="s">
        <v>5240</v>
      </c>
      <c r="B26" t="s">
        <v>5241</v>
      </c>
      <c r="C26" t="s">
        <v>3756</v>
      </c>
      <c r="D26" t="s">
        <v>187</v>
      </c>
      <c r="E26" t="s">
        <v>3467</v>
      </c>
      <c r="F26" t="s">
        <v>4331</v>
      </c>
      <c r="G26" t="s">
        <v>5207</v>
      </c>
      <c r="H26" t="s">
        <v>4065</v>
      </c>
      <c r="I26" t="s">
        <v>5242</v>
      </c>
      <c r="J26" t="s">
        <v>3467</v>
      </c>
      <c r="K26" t="s">
        <v>3467</v>
      </c>
    </row>
    <row r="27" spans="1:11" ht="15" customHeight="1" x14ac:dyDescent="0.25">
      <c r="A27" t="s">
        <v>5243</v>
      </c>
      <c r="B27" t="s">
        <v>5244</v>
      </c>
      <c r="C27" t="s">
        <v>3756</v>
      </c>
      <c r="D27" t="s">
        <v>187</v>
      </c>
      <c r="E27" t="s">
        <v>3467</v>
      </c>
      <c r="F27" t="s">
        <v>4331</v>
      </c>
      <c r="G27" t="s">
        <v>5207</v>
      </c>
      <c r="H27" t="s">
        <v>4065</v>
      </c>
      <c r="I27" t="s">
        <v>5245</v>
      </c>
      <c r="J27" t="s">
        <v>3467</v>
      </c>
      <c r="K27" t="s">
        <v>3467</v>
      </c>
    </row>
    <row r="28" spans="1:11" ht="15" customHeight="1" x14ac:dyDescent="0.25">
      <c r="A28" t="s">
        <v>5246</v>
      </c>
      <c r="B28" t="s">
        <v>5247</v>
      </c>
      <c r="C28" t="s">
        <v>4015</v>
      </c>
      <c r="D28" t="s">
        <v>187</v>
      </c>
      <c r="E28" t="s">
        <v>3467</v>
      </c>
      <c r="F28" t="s">
        <v>5206</v>
      </c>
      <c r="G28" t="s">
        <v>39</v>
      </c>
      <c r="H28" t="s">
        <v>4065</v>
      </c>
      <c r="I28" t="s">
        <v>5248</v>
      </c>
      <c r="J28" t="s">
        <v>3530</v>
      </c>
      <c r="K28" t="s">
        <v>3467</v>
      </c>
    </row>
    <row r="29" spans="1:11" ht="15" customHeight="1" x14ac:dyDescent="0.25">
      <c r="A29" t="s">
        <v>5249</v>
      </c>
      <c r="B29" t="s">
        <v>5250</v>
      </c>
      <c r="C29" t="s">
        <v>3756</v>
      </c>
      <c r="D29" t="s">
        <v>4031</v>
      </c>
      <c r="E29" t="s">
        <v>3467</v>
      </c>
      <c r="F29" t="s">
        <v>5251</v>
      </c>
      <c r="G29" t="s">
        <v>5210</v>
      </c>
      <c r="H29" t="s">
        <v>4048</v>
      </c>
      <c r="I29" t="s">
        <v>5249</v>
      </c>
      <c r="J29" t="s">
        <v>3467</v>
      </c>
      <c r="K29" t="s">
        <v>3467</v>
      </c>
    </row>
    <row r="30" spans="1:11" ht="15" customHeight="1" x14ac:dyDescent="0.25">
      <c r="A30" t="s">
        <v>5252</v>
      </c>
      <c r="B30" t="s">
        <v>5253</v>
      </c>
      <c r="C30" t="s">
        <v>3756</v>
      </c>
      <c r="D30" t="s">
        <v>4031</v>
      </c>
      <c r="E30" t="s">
        <v>3467</v>
      </c>
      <c r="F30" t="s">
        <v>4331</v>
      </c>
      <c r="G30" t="s">
        <v>5210</v>
      </c>
      <c r="H30" t="s">
        <v>4076</v>
      </c>
      <c r="I30" t="s">
        <v>5252</v>
      </c>
      <c r="J30" t="s">
        <v>3467</v>
      </c>
      <c r="K30" t="s">
        <v>3467</v>
      </c>
    </row>
    <row r="31" spans="1:11" ht="15" customHeight="1" x14ac:dyDescent="0.25">
      <c r="A31" t="s">
        <v>5254</v>
      </c>
      <c r="B31" t="s">
        <v>5255</v>
      </c>
      <c r="C31" t="s">
        <v>4026</v>
      </c>
      <c r="D31" t="s">
        <v>187</v>
      </c>
      <c r="E31" t="s">
        <v>3467</v>
      </c>
      <c r="F31" t="s">
        <v>5193</v>
      </c>
      <c r="G31" t="s">
        <v>5207</v>
      </c>
      <c r="H31" t="s">
        <v>4048</v>
      </c>
      <c r="I31" t="s">
        <v>5254</v>
      </c>
      <c r="J31" t="s">
        <v>41</v>
      </c>
      <c r="K31" t="s">
        <v>3467</v>
      </c>
    </row>
    <row r="32" spans="1:11" ht="15" customHeight="1" x14ac:dyDescent="0.25">
      <c r="A32" t="s">
        <v>5256</v>
      </c>
      <c r="B32" t="s">
        <v>5257</v>
      </c>
      <c r="C32" t="s">
        <v>4015</v>
      </c>
      <c r="D32" t="s">
        <v>187</v>
      </c>
      <c r="E32" t="s">
        <v>3467</v>
      </c>
      <c r="F32" t="s">
        <v>5193</v>
      </c>
      <c r="G32" t="s">
        <v>39</v>
      </c>
      <c r="H32" t="s">
        <v>4065</v>
      </c>
      <c r="I32" t="s">
        <v>5256</v>
      </c>
      <c r="J32" t="s">
        <v>3518</v>
      </c>
      <c r="K32" t="s">
        <v>3467</v>
      </c>
    </row>
    <row r="33" spans="1:11" ht="15" customHeight="1" x14ac:dyDescent="0.25">
      <c r="A33" t="s">
        <v>5258</v>
      </c>
      <c r="B33" t="s">
        <v>5259</v>
      </c>
      <c r="C33" t="s">
        <v>4026</v>
      </c>
      <c r="D33" t="s">
        <v>187</v>
      </c>
      <c r="E33" t="s">
        <v>3467</v>
      </c>
      <c r="F33" t="s">
        <v>4331</v>
      </c>
      <c r="G33" t="s">
        <v>39</v>
      </c>
      <c r="H33" t="s">
        <v>4048</v>
      </c>
      <c r="I33" t="s">
        <v>5258</v>
      </c>
      <c r="J33" t="s">
        <v>3530</v>
      </c>
      <c r="K33" t="s">
        <v>3467</v>
      </c>
    </row>
    <row r="34" spans="1:11" ht="15" customHeight="1" x14ac:dyDescent="0.25">
      <c r="A34" t="s">
        <v>5260</v>
      </c>
      <c r="B34" t="s">
        <v>5261</v>
      </c>
      <c r="C34" t="s">
        <v>3756</v>
      </c>
      <c r="D34" t="s">
        <v>4031</v>
      </c>
      <c r="E34" t="s">
        <v>3467</v>
      </c>
      <c r="F34" t="s">
        <v>4331</v>
      </c>
      <c r="G34" t="s">
        <v>5210</v>
      </c>
      <c r="H34" t="s">
        <v>4065</v>
      </c>
      <c r="I34" t="s">
        <v>5262</v>
      </c>
      <c r="J34" t="s">
        <v>3467</v>
      </c>
      <c r="K34" t="s">
        <v>3467</v>
      </c>
    </row>
    <row r="35" spans="1:11" ht="15" customHeight="1" x14ac:dyDescent="0.25">
      <c r="A35" t="s">
        <v>5263</v>
      </c>
      <c r="B35" t="s">
        <v>5264</v>
      </c>
      <c r="C35" t="s">
        <v>4015</v>
      </c>
      <c r="D35" t="s">
        <v>5265</v>
      </c>
      <c r="E35" t="s">
        <v>3467</v>
      </c>
      <c r="F35" t="s">
        <v>5266</v>
      </c>
      <c r="G35" t="s">
        <v>5207</v>
      </c>
      <c r="H35" t="s">
        <v>4065</v>
      </c>
      <c r="I35" t="s">
        <v>5267</v>
      </c>
      <c r="J35" t="s">
        <v>41</v>
      </c>
      <c r="K35" t="s">
        <v>3467</v>
      </c>
    </row>
    <row r="36" spans="1:11" ht="15" customHeight="1" x14ac:dyDescent="0.25">
      <c r="A36" t="s">
        <v>5268</v>
      </c>
      <c r="B36" t="s">
        <v>5269</v>
      </c>
      <c r="C36" t="s">
        <v>4015</v>
      </c>
      <c r="D36" t="s">
        <v>5265</v>
      </c>
      <c r="E36" t="s">
        <v>3467</v>
      </c>
      <c r="F36" t="s">
        <v>5266</v>
      </c>
      <c r="G36" t="s">
        <v>5207</v>
      </c>
      <c r="H36" t="s">
        <v>4065</v>
      </c>
      <c r="I36" t="s">
        <v>5270</v>
      </c>
      <c r="J36" t="s">
        <v>3518</v>
      </c>
      <c r="K36" t="s">
        <v>3467</v>
      </c>
    </row>
    <row r="37" spans="1:11" ht="15" customHeight="1" x14ac:dyDescent="0.25">
      <c r="A37" t="s">
        <v>5271</v>
      </c>
      <c r="B37" t="s">
        <v>5272</v>
      </c>
      <c r="C37" t="s">
        <v>4015</v>
      </c>
      <c r="D37" t="s">
        <v>5265</v>
      </c>
      <c r="E37" t="s">
        <v>3467</v>
      </c>
      <c r="F37" t="s">
        <v>5266</v>
      </c>
      <c r="G37" t="s">
        <v>5207</v>
      </c>
      <c r="H37" t="s">
        <v>4065</v>
      </c>
      <c r="I37" t="s">
        <v>5273</v>
      </c>
      <c r="J37" t="s">
        <v>3518</v>
      </c>
      <c r="K37" t="s">
        <v>3467</v>
      </c>
    </row>
    <row r="38" spans="1:11" ht="15" customHeight="1" x14ac:dyDescent="0.25">
      <c r="A38" t="s">
        <v>5274</v>
      </c>
      <c r="B38" t="s">
        <v>5275</v>
      </c>
      <c r="C38" t="s">
        <v>4026</v>
      </c>
      <c r="D38" t="s">
        <v>4031</v>
      </c>
      <c r="E38" t="s">
        <v>3467</v>
      </c>
      <c r="F38" t="s">
        <v>5193</v>
      </c>
      <c r="G38" t="s">
        <v>5207</v>
      </c>
      <c r="H38" t="s">
        <v>4048</v>
      </c>
      <c r="I38" t="s">
        <v>5276</v>
      </c>
      <c r="J38" t="s">
        <v>3467</v>
      </c>
      <c r="K38" t="s">
        <v>3467</v>
      </c>
    </row>
    <row r="39" spans="1:11" ht="15" customHeight="1" x14ac:dyDescent="0.25">
      <c r="A39" t="s">
        <v>5277</v>
      </c>
      <c r="B39" t="s">
        <v>5278</v>
      </c>
      <c r="C39" t="s">
        <v>4026</v>
      </c>
      <c r="D39" t="s">
        <v>187</v>
      </c>
      <c r="E39" t="s">
        <v>3467</v>
      </c>
      <c r="F39" t="s">
        <v>5193</v>
      </c>
      <c r="G39" t="s">
        <v>39</v>
      </c>
      <c r="H39" t="s">
        <v>4048</v>
      </c>
      <c r="I39" t="s">
        <v>5277</v>
      </c>
      <c r="J39" t="s">
        <v>3467</v>
      </c>
      <c r="K39" t="s">
        <v>3467</v>
      </c>
    </row>
    <row r="40" spans="1:11" ht="15" customHeight="1" x14ac:dyDescent="0.25">
      <c r="A40" t="s">
        <v>5279</v>
      </c>
      <c r="B40" t="s">
        <v>5280</v>
      </c>
      <c r="C40" t="s">
        <v>4015</v>
      </c>
      <c r="D40" t="s">
        <v>187</v>
      </c>
      <c r="E40" t="s">
        <v>3467</v>
      </c>
      <c r="F40" t="s">
        <v>4331</v>
      </c>
      <c r="G40" t="s">
        <v>39</v>
      </c>
      <c r="H40" t="s">
        <v>4065</v>
      </c>
      <c r="I40" t="s">
        <v>5279</v>
      </c>
      <c r="J40" t="s">
        <v>3518</v>
      </c>
      <c r="K40" t="s">
        <v>3467</v>
      </c>
    </row>
    <row r="41" spans="1:11" ht="15" customHeight="1" x14ac:dyDescent="0.25">
      <c r="A41" t="s">
        <v>5281</v>
      </c>
      <c r="B41" t="s">
        <v>5282</v>
      </c>
      <c r="C41" t="s">
        <v>3756</v>
      </c>
      <c r="D41" t="s">
        <v>4031</v>
      </c>
      <c r="E41" t="s">
        <v>3467</v>
      </c>
      <c r="F41" t="s">
        <v>4331</v>
      </c>
      <c r="G41" t="s">
        <v>5210</v>
      </c>
      <c r="H41" t="s">
        <v>4076</v>
      </c>
      <c r="I41" t="s">
        <v>5283</v>
      </c>
      <c r="J41" t="s">
        <v>3467</v>
      </c>
      <c r="K41" t="s">
        <v>3467</v>
      </c>
    </row>
    <row r="42" spans="1:11" ht="15" customHeight="1" x14ac:dyDescent="0.25">
      <c r="A42" t="s">
        <v>5284</v>
      </c>
      <c r="B42" t="s">
        <v>5285</v>
      </c>
      <c r="C42" t="s">
        <v>4015</v>
      </c>
      <c r="D42" t="s">
        <v>187</v>
      </c>
      <c r="E42" t="s">
        <v>3467</v>
      </c>
      <c r="F42" t="s">
        <v>5286</v>
      </c>
      <c r="G42" t="s">
        <v>39</v>
      </c>
      <c r="H42" t="s">
        <v>4065</v>
      </c>
      <c r="I42" t="s">
        <v>5287</v>
      </c>
      <c r="J42" t="s">
        <v>3530</v>
      </c>
      <c r="K42" t="s">
        <v>3467</v>
      </c>
    </row>
    <row r="43" spans="1:11" ht="15" customHeight="1" x14ac:dyDescent="0.25">
      <c r="A43" t="s">
        <v>5288</v>
      </c>
      <c r="B43" t="s">
        <v>5289</v>
      </c>
      <c r="C43" t="s">
        <v>4026</v>
      </c>
      <c r="D43" t="s">
        <v>187</v>
      </c>
      <c r="E43" t="s">
        <v>3467</v>
      </c>
      <c r="F43" t="s">
        <v>5290</v>
      </c>
      <c r="G43" t="s">
        <v>39</v>
      </c>
      <c r="H43" t="s">
        <v>4048</v>
      </c>
      <c r="I43" t="s">
        <v>5288</v>
      </c>
      <c r="J43" t="s">
        <v>41</v>
      </c>
      <c r="K43" t="s">
        <v>3467</v>
      </c>
    </row>
    <row r="44" spans="1:11" ht="15" customHeight="1" x14ac:dyDescent="0.25">
      <c r="A44" t="s">
        <v>4631</v>
      </c>
      <c r="B44" t="s">
        <v>5291</v>
      </c>
      <c r="C44" t="s">
        <v>4015</v>
      </c>
      <c r="D44" t="s">
        <v>187</v>
      </c>
      <c r="E44" t="s">
        <v>3467</v>
      </c>
      <c r="F44" t="s">
        <v>4331</v>
      </c>
      <c r="G44" t="s">
        <v>39</v>
      </c>
      <c r="H44" t="s">
        <v>4065</v>
      </c>
      <c r="I44" t="s">
        <v>4631</v>
      </c>
      <c r="J44" t="s">
        <v>3530</v>
      </c>
      <c r="K44" t="s">
        <v>3467</v>
      </c>
    </row>
    <row r="45" spans="1:11" ht="15" customHeight="1" x14ac:dyDescent="0.25">
      <c r="A45" t="s">
        <v>5292</v>
      </c>
      <c r="B45" t="s">
        <v>5293</v>
      </c>
      <c r="C45" t="s">
        <v>4015</v>
      </c>
      <c r="D45" t="s">
        <v>187</v>
      </c>
      <c r="E45" t="s">
        <v>3467</v>
      </c>
      <c r="F45" t="s">
        <v>5193</v>
      </c>
      <c r="G45" t="s">
        <v>39</v>
      </c>
      <c r="H45" t="s">
        <v>4065</v>
      </c>
      <c r="I45" t="s">
        <v>5292</v>
      </c>
      <c r="J45" t="s">
        <v>3530</v>
      </c>
      <c r="K45" t="s">
        <v>3467</v>
      </c>
    </row>
    <row r="46" spans="1:11" ht="15" customHeight="1" x14ac:dyDescent="0.25">
      <c r="A46" t="s">
        <v>5294</v>
      </c>
      <c r="B46" t="s">
        <v>5295</v>
      </c>
      <c r="C46" t="s">
        <v>3756</v>
      </c>
      <c r="D46" t="s">
        <v>4031</v>
      </c>
      <c r="E46" t="s">
        <v>3467</v>
      </c>
      <c r="F46" t="s">
        <v>4331</v>
      </c>
      <c r="G46" t="s">
        <v>5210</v>
      </c>
      <c r="H46" t="s">
        <v>4076</v>
      </c>
      <c r="I46" t="s">
        <v>5294</v>
      </c>
      <c r="J46" t="s">
        <v>3467</v>
      </c>
      <c r="K46" t="s">
        <v>3467</v>
      </c>
    </row>
    <row r="47" spans="1:11" ht="15" customHeight="1" x14ac:dyDescent="0.25">
      <c r="A47" t="s">
        <v>5296</v>
      </c>
      <c r="B47" t="s">
        <v>5297</v>
      </c>
      <c r="C47" t="s">
        <v>4015</v>
      </c>
      <c r="D47" t="s">
        <v>187</v>
      </c>
      <c r="E47" t="s">
        <v>3467</v>
      </c>
      <c r="F47" t="s">
        <v>4331</v>
      </c>
      <c r="G47" t="s">
        <v>39</v>
      </c>
      <c r="H47" t="s">
        <v>4065</v>
      </c>
      <c r="I47" t="s">
        <v>5296</v>
      </c>
      <c r="J47" t="s">
        <v>3518</v>
      </c>
      <c r="K47" t="s">
        <v>3467</v>
      </c>
    </row>
    <row r="48" spans="1:11" ht="15" customHeight="1" x14ac:dyDescent="0.25">
      <c r="A48" t="s">
        <v>5298</v>
      </c>
      <c r="B48" t="s">
        <v>5299</v>
      </c>
      <c r="C48" t="s">
        <v>4026</v>
      </c>
      <c r="D48" t="s">
        <v>187</v>
      </c>
      <c r="E48" t="s">
        <v>3467</v>
      </c>
      <c r="F48" t="s">
        <v>5300</v>
      </c>
      <c r="G48" t="s">
        <v>39</v>
      </c>
      <c r="H48" t="s">
        <v>4048</v>
      </c>
      <c r="I48" t="s">
        <v>5298</v>
      </c>
      <c r="J48" t="s">
        <v>3467</v>
      </c>
      <c r="K48" t="s">
        <v>3467</v>
      </c>
    </row>
    <row r="49" spans="1:11" ht="15" customHeight="1" x14ac:dyDescent="0.25">
      <c r="A49" t="s">
        <v>5301</v>
      </c>
      <c r="B49" t="s">
        <v>5302</v>
      </c>
      <c r="C49" t="s">
        <v>3756</v>
      </c>
      <c r="D49" t="s">
        <v>4031</v>
      </c>
      <c r="E49" t="s">
        <v>3467</v>
      </c>
      <c r="F49" t="s">
        <v>4331</v>
      </c>
      <c r="G49" t="s">
        <v>5210</v>
      </c>
      <c r="H49" t="s">
        <v>4076</v>
      </c>
      <c r="I49" t="s">
        <v>5301</v>
      </c>
      <c r="J49" t="s">
        <v>3467</v>
      </c>
      <c r="K49" t="s">
        <v>3467</v>
      </c>
    </row>
    <row r="50" spans="1:11" ht="15" customHeight="1" x14ac:dyDescent="0.25">
      <c r="A50" t="s">
        <v>5303</v>
      </c>
      <c r="B50" t="s">
        <v>5304</v>
      </c>
      <c r="C50" t="s">
        <v>4015</v>
      </c>
      <c r="D50" t="s">
        <v>187</v>
      </c>
      <c r="E50" t="s">
        <v>3467</v>
      </c>
      <c r="F50" t="s">
        <v>5266</v>
      </c>
      <c r="G50" t="s">
        <v>39</v>
      </c>
      <c r="H50" t="s">
        <v>4065</v>
      </c>
      <c r="I50" t="s">
        <v>5303</v>
      </c>
      <c r="J50" t="s">
        <v>3467</v>
      </c>
      <c r="K50" t="s">
        <v>3467</v>
      </c>
    </row>
    <row r="51" spans="1:11" ht="15" customHeight="1" x14ac:dyDescent="0.25">
      <c r="A51" t="s">
        <v>5305</v>
      </c>
      <c r="B51" t="s">
        <v>5306</v>
      </c>
      <c r="C51" t="s">
        <v>4026</v>
      </c>
      <c r="D51" t="s">
        <v>4031</v>
      </c>
      <c r="E51" t="s">
        <v>3467</v>
      </c>
      <c r="F51" t="s">
        <v>4331</v>
      </c>
      <c r="G51" t="s">
        <v>39</v>
      </c>
      <c r="H51" t="s">
        <v>4048</v>
      </c>
      <c r="I51" t="s">
        <v>5305</v>
      </c>
      <c r="J51" t="s">
        <v>3467</v>
      </c>
      <c r="K51" t="s">
        <v>3467</v>
      </c>
    </row>
    <row r="52" spans="1:11" ht="15" customHeight="1" x14ac:dyDescent="0.25">
      <c r="A52" t="s">
        <v>5307</v>
      </c>
      <c r="B52" t="s">
        <v>5308</v>
      </c>
      <c r="C52" t="s">
        <v>4026</v>
      </c>
      <c r="D52" t="s">
        <v>4031</v>
      </c>
      <c r="E52" t="s">
        <v>3467</v>
      </c>
      <c r="F52" t="s">
        <v>4331</v>
      </c>
      <c r="G52" t="s">
        <v>39</v>
      </c>
      <c r="H52" t="s">
        <v>4048</v>
      </c>
      <c r="I52" t="s">
        <v>5309</v>
      </c>
      <c r="J52" t="s">
        <v>3518</v>
      </c>
      <c r="K52" t="s">
        <v>3467</v>
      </c>
    </row>
    <row r="53" spans="1:11" ht="15" customHeight="1" x14ac:dyDescent="0.25">
      <c r="A53" t="s">
        <v>5310</v>
      </c>
      <c r="B53" t="s">
        <v>5311</v>
      </c>
      <c r="C53" t="s">
        <v>3756</v>
      </c>
      <c r="D53" t="s">
        <v>4031</v>
      </c>
      <c r="E53" t="s">
        <v>3467</v>
      </c>
      <c r="F53" t="s">
        <v>4331</v>
      </c>
      <c r="G53" t="s">
        <v>5210</v>
      </c>
      <c r="H53" t="s">
        <v>4065</v>
      </c>
      <c r="I53" t="s">
        <v>5310</v>
      </c>
      <c r="J53" t="s">
        <v>3467</v>
      </c>
      <c r="K53" t="s">
        <v>3467</v>
      </c>
    </row>
    <row r="54" spans="1:11" ht="15" customHeight="1" x14ac:dyDescent="0.25">
      <c r="A54" t="s">
        <v>5312</v>
      </c>
      <c r="B54" t="s">
        <v>5313</v>
      </c>
      <c r="C54" t="s">
        <v>3756</v>
      </c>
      <c r="D54" t="s">
        <v>4031</v>
      </c>
      <c r="E54" t="s">
        <v>3467</v>
      </c>
      <c r="F54" t="s">
        <v>4331</v>
      </c>
      <c r="G54" t="s">
        <v>5210</v>
      </c>
      <c r="H54" t="s">
        <v>4048</v>
      </c>
      <c r="I54" t="s">
        <v>5314</v>
      </c>
      <c r="J54" t="s">
        <v>3467</v>
      </c>
      <c r="K54" t="s">
        <v>3467</v>
      </c>
    </row>
    <row r="55" spans="1:11" ht="15" customHeight="1" x14ac:dyDescent="0.25">
      <c r="A55" t="s">
        <v>5314</v>
      </c>
      <c r="B55" t="s">
        <v>5315</v>
      </c>
      <c r="C55" t="s">
        <v>4026</v>
      </c>
      <c r="D55" t="s">
        <v>4031</v>
      </c>
      <c r="E55">
        <v>1</v>
      </c>
      <c r="F55" t="s">
        <v>5193</v>
      </c>
      <c r="G55" t="s">
        <v>5210</v>
      </c>
      <c r="H55" t="s">
        <v>4048</v>
      </c>
      <c r="I55" t="s">
        <v>5314</v>
      </c>
      <c r="J55" t="s">
        <v>3467</v>
      </c>
      <c r="K55" t="s">
        <v>3467</v>
      </c>
    </row>
    <row r="56" spans="1:11" ht="15" customHeight="1" x14ac:dyDescent="0.25">
      <c r="A56" t="s">
        <v>5316</v>
      </c>
      <c r="B56" t="s">
        <v>5317</v>
      </c>
      <c r="C56" t="s">
        <v>4015</v>
      </c>
      <c r="D56" t="s">
        <v>187</v>
      </c>
      <c r="E56" t="s">
        <v>3467</v>
      </c>
      <c r="F56" t="s">
        <v>4331</v>
      </c>
      <c r="G56" t="s">
        <v>39</v>
      </c>
      <c r="H56" t="s">
        <v>4065</v>
      </c>
      <c r="I56" t="s">
        <v>5316</v>
      </c>
      <c r="J56" t="s">
        <v>3530</v>
      </c>
      <c r="K56" t="s">
        <v>3467</v>
      </c>
    </row>
    <row r="57" spans="1:11" ht="15" customHeight="1" x14ac:dyDescent="0.25">
      <c r="A57" t="s">
        <v>5318</v>
      </c>
      <c r="B57" t="s">
        <v>5319</v>
      </c>
      <c r="C57" t="s">
        <v>5320</v>
      </c>
      <c r="D57" t="s">
        <v>4031</v>
      </c>
      <c r="E57" t="s">
        <v>3467</v>
      </c>
      <c r="F57" t="s">
        <v>4331</v>
      </c>
      <c r="G57" t="s">
        <v>5210</v>
      </c>
      <c r="H57" t="s">
        <v>4076</v>
      </c>
      <c r="I57" t="s">
        <v>5318</v>
      </c>
      <c r="J57" t="s">
        <v>3467</v>
      </c>
      <c r="K57" t="s">
        <v>3467</v>
      </c>
    </row>
    <row r="58" spans="1:11" ht="15" customHeight="1" x14ac:dyDescent="0.25">
      <c r="A58" t="s">
        <v>5321</v>
      </c>
      <c r="B58" t="s">
        <v>5322</v>
      </c>
      <c r="C58" t="s">
        <v>4026</v>
      </c>
      <c r="D58" t="s">
        <v>187</v>
      </c>
      <c r="E58" t="s">
        <v>3467</v>
      </c>
      <c r="F58" t="s">
        <v>5193</v>
      </c>
      <c r="G58" t="s">
        <v>39</v>
      </c>
      <c r="H58" t="s">
        <v>4048</v>
      </c>
      <c r="I58" t="s">
        <v>5321</v>
      </c>
      <c r="J58" t="s">
        <v>41</v>
      </c>
      <c r="K58" t="s">
        <v>3467</v>
      </c>
    </row>
    <row r="59" spans="1:11" ht="15" customHeight="1" x14ac:dyDescent="0.25">
      <c r="A59" t="s">
        <v>5323</v>
      </c>
      <c r="B59" t="s">
        <v>5324</v>
      </c>
      <c r="C59" t="s">
        <v>4026</v>
      </c>
      <c r="D59" t="s">
        <v>187</v>
      </c>
      <c r="E59" t="s">
        <v>3467</v>
      </c>
      <c r="F59" t="s">
        <v>5193</v>
      </c>
      <c r="G59" t="s">
        <v>39</v>
      </c>
      <c r="H59" t="s">
        <v>4048</v>
      </c>
      <c r="I59" t="s">
        <v>5323</v>
      </c>
      <c r="J59" t="s">
        <v>41</v>
      </c>
      <c r="K59" t="s">
        <v>3467</v>
      </c>
    </row>
    <row r="60" spans="1:11" ht="15" customHeight="1" x14ac:dyDescent="0.25">
      <c r="A60" t="s">
        <v>5325</v>
      </c>
      <c r="B60" t="s">
        <v>5326</v>
      </c>
      <c r="C60" t="s">
        <v>3756</v>
      </c>
      <c r="D60" t="s">
        <v>187</v>
      </c>
      <c r="E60" t="s">
        <v>3467</v>
      </c>
      <c r="F60" t="s">
        <v>5206</v>
      </c>
      <c r="G60" t="s">
        <v>5207</v>
      </c>
      <c r="H60" t="s">
        <v>4065</v>
      </c>
      <c r="I60" t="s">
        <v>5327</v>
      </c>
      <c r="J60" t="s">
        <v>3467</v>
      </c>
      <c r="K60" t="s">
        <v>3467</v>
      </c>
    </row>
    <row r="61" spans="1:11" ht="15" customHeight="1" x14ac:dyDescent="0.25">
      <c r="A61" t="s">
        <v>5328</v>
      </c>
      <c r="B61" t="s">
        <v>5329</v>
      </c>
      <c r="C61" t="s">
        <v>3756</v>
      </c>
      <c r="D61" t="s">
        <v>187</v>
      </c>
      <c r="E61" t="s">
        <v>3467</v>
      </c>
      <c r="F61" t="s">
        <v>5193</v>
      </c>
      <c r="G61" t="s">
        <v>39</v>
      </c>
      <c r="H61" t="s">
        <v>4076</v>
      </c>
      <c r="I61" t="s">
        <v>5328</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4013</v>
      </c>
      <c r="F1" t="s">
        <v>5179</v>
      </c>
      <c r="G1" t="s">
        <v>4293</v>
      </c>
      <c r="H1" t="s">
        <v>5180</v>
      </c>
      <c r="I1" t="s">
        <v>4043</v>
      </c>
      <c r="J1" t="s">
        <v>5330</v>
      </c>
      <c r="K1" t="s">
        <v>6</v>
      </c>
      <c r="L1" t="s">
        <v>5331</v>
      </c>
      <c r="M1" t="s">
        <v>5332</v>
      </c>
    </row>
    <row r="2" spans="1:13" ht="15" customHeight="1" x14ac:dyDescent="0.25">
      <c r="A2" t="s">
        <v>5182</v>
      </c>
      <c r="B2" t="s">
        <v>5183</v>
      </c>
      <c r="C2" t="s">
        <v>5333</v>
      </c>
      <c r="D2" t="s">
        <v>4015</v>
      </c>
      <c r="E2" t="s">
        <v>187</v>
      </c>
      <c r="F2" t="s">
        <v>3467</v>
      </c>
      <c r="G2" t="s">
        <v>4331</v>
      </c>
      <c r="H2" t="s">
        <v>39</v>
      </c>
      <c r="I2" t="s">
        <v>4065</v>
      </c>
      <c r="J2" t="s">
        <v>5182</v>
      </c>
      <c r="K2" t="s">
        <v>3530</v>
      </c>
      <c r="L2" t="s">
        <v>187</v>
      </c>
      <c r="M2" t="s">
        <v>3467</v>
      </c>
    </row>
    <row r="3" spans="1:13" ht="15" customHeight="1" x14ac:dyDescent="0.25">
      <c r="A3" t="s">
        <v>5185</v>
      </c>
      <c r="B3" t="s">
        <v>5334</v>
      </c>
      <c r="C3" t="s">
        <v>5335</v>
      </c>
      <c r="D3" t="s">
        <v>4026</v>
      </c>
      <c r="E3" t="s">
        <v>187</v>
      </c>
      <c r="F3" t="s">
        <v>3467</v>
      </c>
      <c r="G3" t="s">
        <v>5336</v>
      </c>
      <c r="H3" t="s">
        <v>39</v>
      </c>
      <c r="I3" t="s">
        <v>4048</v>
      </c>
      <c r="J3" t="s">
        <v>5185</v>
      </c>
      <c r="K3" t="s">
        <v>3530</v>
      </c>
      <c r="L3" t="s">
        <v>4031</v>
      </c>
      <c r="M3" t="s">
        <v>5337</v>
      </c>
    </row>
    <row r="4" spans="1:13" ht="15" customHeight="1" x14ac:dyDescent="0.25">
      <c r="A4" t="s">
        <v>5188</v>
      </c>
      <c r="B4" t="s">
        <v>5338</v>
      </c>
      <c r="C4" t="s">
        <v>5339</v>
      </c>
      <c r="D4" t="s">
        <v>4015</v>
      </c>
      <c r="E4" t="s">
        <v>187</v>
      </c>
      <c r="F4" t="s">
        <v>3467</v>
      </c>
      <c r="G4" t="s">
        <v>4331</v>
      </c>
      <c r="H4" t="s">
        <v>39</v>
      </c>
      <c r="I4" t="s">
        <v>4065</v>
      </c>
      <c r="J4" t="s">
        <v>5190</v>
      </c>
      <c r="K4" t="s">
        <v>3518</v>
      </c>
      <c r="L4" t="s">
        <v>187</v>
      </c>
      <c r="M4" t="s">
        <v>3467</v>
      </c>
    </row>
    <row r="5" spans="1:13" ht="15" customHeight="1" x14ac:dyDescent="0.25">
      <c r="A5" s="4" t="s">
        <v>5191</v>
      </c>
      <c r="B5" s="4" t="s">
        <v>5340</v>
      </c>
      <c r="C5" s="4" t="s">
        <v>5341</v>
      </c>
      <c r="D5" s="4" t="s">
        <v>4026</v>
      </c>
      <c r="E5" s="4" t="s">
        <v>187</v>
      </c>
      <c r="F5" s="4" t="s">
        <v>3467</v>
      </c>
      <c r="G5" s="4" t="s">
        <v>5193</v>
      </c>
      <c r="H5" s="4" t="s">
        <v>39</v>
      </c>
      <c r="I5" s="4" t="s">
        <v>4048</v>
      </c>
      <c r="J5" s="4" t="s">
        <v>5191</v>
      </c>
      <c r="K5" s="4" t="s">
        <v>41</v>
      </c>
      <c r="L5" t="s">
        <v>187</v>
      </c>
      <c r="M5" t="s">
        <v>3467</v>
      </c>
    </row>
    <row r="6" spans="1:13" ht="15" customHeight="1" x14ac:dyDescent="0.25">
      <c r="A6" t="s">
        <v>5198</v>
      </c>
      <c r="B6" t="s">
        <v>5342</v>
      </c>
      <c r="C6" t="s">
        <v>5343</v>
      </c>
      <c r="D6" t="s">
        <v>4026</v>
      </c>
      <c r="E6" t="s">
        <v>187</v>
      </c>
      <c r="F6" t="s">
        <v>3467</v>
      </c>
      <c r="G6" t="s">
        <v>4331</v>
      </c>
      <c r="H6" t="s">
        <v>39</v>
      </c>
      <c r="I6" t="s">
        <v>4048</v>
      </c>
      <c r="J6" t="s">
        <v>5198</v>
      </c>
      <c r="K6" t="s">
        <v>41</v>
      </c>
      <c r="L6" t="s">
        <v>187</v>
      </c>
      <c r="M6" t="s">
        <v>3467</v>
      </c>
    </row>
    <row r="7" spans="1:13" ht="15" customHeight="1" x14ac:dyDescent="0.25">
      <c r="A7" s="5" t="s">
        <v>5200</v>
      </c>
      <c r="B7" s="6" t="s">
        <v>5201</v>
      </c>
      <c r="C7" s="6" t="s">
        <v>5344</v>
      </c>
      <c r="D7" s="6" t="s">
        <v>4015</v>
      </c>
      <c r="E7" s="6" t="s">
        <v>187</v>
      </c>
      <c r="F7" s="6" t="s">
        <v>3467</v>
      </c>
      <c r="G7" s="7" t="s">
        <v>5222</v>
      </c>
      <c r="H7" s="6" t="s">
        <v>39</v>
      </c>
      <c r="I7" s="6" t="s">
        <v>4065</v>
      </c>
      <c r="J7" s="6" t="s">
        <v>5200</v>
      </c>
      <c r="K7" s="6" t="s">
        <v>3518</v>
      </c>
      <c r="L7" t="s">
        <v>187</v>
      </c>
      <c r="M7" t="s">
        <v>3467</v>
      </c>
    </row>
    <row r="8" spans="1:13" ht="15" customHeight="1" x14ac:dyDescent="0.25">
      <c r="A8" t="s">
        <v>4036</v>
      </c>
      <c r="B8" t="s">
        <v>5203</v>
      </c>
      <c r="C8" t="s">
        <v>5345</v>
      </c>
      <c r="D8" t="s">
        <v>4026</v>
      </c>
      <c r="E8" t="s">
        <v>187</v>
      </c>
      <c r="F8" t="s">
        <v>3467</v>
      </c>
      <c r="G8" t="s">
        <v>5193</v>
      </c>
      <c r="H8" t="s">
        <v>39</v>
      </c>
      <c r="I8" t="s">
        <v>4048</v>
      </c>
      <c r="J8" t="s">
        <v>4036</v>
      </c>
      <c r="K8" t="s">
        <v>41</v>
      </c>
      <c r="L8" t="s">
        <v>187</v>
      </c>
      <c r="M8" t="s">
        <v>3467</v>
      </c>
    </row>
    <row r="9" spans="1:13" ht="15" customHeight="1" x14ac:dyDescent="0.25">
      <c r="A9" t="s">
        <v>5211</v>
      </c>
      <c r="B9" s="8" t="s">
        <v>5346</v>
      </c>
      <c r="C9" s="8" t="s">
        <v>5347</v>
      </c>
      <c r="D9" t="s">
        <v>4026</v>
      </c>
      <c r="E9" t="s">
        <v>187</v>
      </c>
      <c r="F9" t="s">
        <v>3467</v>
      </c>
      <c r="G9" t="s">
        <v>5193</v>
      </c>
      <c r="H9" t="s">
        <v>5207</v>
      </c>
      <c r="I9" t="s">
        <v>4048</v>
      </c>
      <c r="J9" t="s">
        <v>5211</v>
      </c>
      <c r="K9" t="s">
        <v>3467</v>
      </c>
      <c r="L9" t="s">
        <v>187</v>
      </c>
      <c r="M9" t="s">
        <v>3467</v>
      </c>
    </row>
    <row r="10" spans="1:13" ht="15" customHeight="1" x14ac:dyDescent="0.25">
      <c r="A10" t="s">
        <v>5348</v>
      </c>
      <c r="B10" t="s">
        <v>5349</v>
      </c>
      <c r="C10" t="s">
        <v>5350</v>
      </c>
      <c r="D10" t="s">
        <v>4015</v>
      </c>
      <c r="E10" t="s">
        <v>187</v>
      </c>
      <c r="F10" t="s">
        <v>3467</v>
      </c>
      <c r="G10" t="s">
        <v>4331</v>
      </c>
      <c r="H10" t="s">
        <v>39</v>
      </c>
      <c r="I10" t="s">
        <v>4065</v>
      </c>
      <c r="J10" t="s">
        <v>5351</v>
      </c>
      <c r="K10" t="s">
        <v>41</v>
      </c>
      <c r="L10" t="s">
        <v>187</v>
      </c>
      <c r="M10" t="s">
        <v>3467</v>
      </c>
    </row>
    <row r="11" spans="1:13" ht="15" customHeight="1" x14ac:dyDescent="0.25">
      <c r="A11" t="s">
        <v>5216</v>
      </c>
      <c r="B11" s="8" t="s">
        <v>5352</v>
      </c>
      <c r="C11" s="8" t="s">
        <v>5353</v>
      </c>
      <c r="D11" t="s">
        <v>3756</v>
      </c>
      <c r="E11" t="s">
        <v>4031</v>
      </c>
      <c r="F11" t="s">
        <v>3467</v>
      </c>
      <c r="G11" t="s">
        <v>4331</v>
      </c>
      <c r="H11" t="s">
        <v>39</v>
      </c>
      <c r="I11" t="s">
        <v>4065</v>
      </c>
      <c r="J11" t="s">
        <v>5218</v>
      </c>
      <c r="K11" t="s">
        <v>3467</v>
      </c>
      <c r="L11" t="s">
        <v>187</v>
      </c>
      <c r="M11" t="s">
        <v>3467</v>
      </c>
    </row>
    <row r="12" spans="1:13" ht="15" customHeight="1" x14ac:dyDescent="0.25">
      <c r="A12" t="s">
        <v>3528</v>
      </c>
      <c r="B12" t="s">
        <v>5219</v>
      </c>
      <c r="C12" t="s">
        <v>5354</v>
      </c>
      <c r="D12" t="s">
        <v>4015</v>
      </c>
      <c r="E12" t="s">
        <v>187</v>
      </c>
      <c r="F12" t="s">
        <v>3467</v>
      </c>
      <c r="G12" t="s">
        <v>4331</v>
      </c>
      <c r="H12" t="s">
        <v>39</v>
      </c>
      <c r="I12" t="s">
        <v>4065</v>
      </c>
      <c r="J12" t="s">
        <v>3528</v>
      </c>
      <c r="K12" t="s">
        <v>3530</v>
      </c>
      <c r="L12" t="s">
        <v>187</v>
      </c>
      <c r="M12" t="s">
        <v>3467</v>
      </c>
    </row>
    <row r="13" spans="1:13" ht="15" customHeight="1" x14ac:dyDescent="0.25">
      <c r="A13" t="s">
        <v>5220</v>
      </c>
      <c r="B13" t="s">
        <v>5221</v>
      </c>
      <c r="C13" t="s">
        <v>5344</v>
      </c>
      <c r="D13" t="s">
        <v>4015</v>
      </c>
      <c r="E13" t="s">
        <v>187</v>
      </c>
      <c r="F13" t="s">
        <v>3467</v>
      </c>
      <c r="G13" t="s">
        <v>5202</v>
      </c>
      <c r="H13" t="s">
        <v>39</v>
      </c>
      <c r="I13" t="s">
        <v>4065</v>
      </c>
      <c r="J13" t="s">
        <v>5220</v>
      </c>
      <c r="K13" t="s">
        <v>3518</v>
      </c>
      <c r="L13" t="s">
        <v>187</v>
      </c>
      <c r="M13" t="s">
        <v>3467</v>
      </c>
    </row>
    <row r="14" spans="1:13" ht="15" customHeight="1" x14ac:dyDescent="0.25">
      <c r="A14" t="s">
        <v>5236</v>
      </c>
      <c r="B14" s="8" t="s">
        <v>5235</v>
      </c>
      <c r="C14" s="8" t="s">
        <v>5355</v>
      </c>
      <c r="D14" t="s">
        <v>4026</v>
      </c>
      <c r="E14" t="s">
        <v>187</v>
      </c>
      <c r="F14" t="s">
        <v>3467</v>
      </c>
      <c r="G14" t="s">
        <v>5193</v>
      </c>
      <c r="H14" t="s">
        <v>39</v>
      </c>
      <c r="I14" t="s">
        <v>4048</v>
      </c>
      <c r="J14" t="s">
        <v>5236</v>
      </c>
      <c r="K14" t="s">
        <v>3467</v>
      </c>
      <c r="L14" t="s">
        <v>187</v>
      </c>
      <c r="M14" t="s">
        <v>3467</v>
      </c>
    </row>
    <row r="15" spans="1:13" ht="15" customHeight="1" x14ac:dyDescent="0.25">
      <c r="A15" t="s">
        <v>5237</v>
      </c>
      <c r="B15" t="s">
        <v>5238</v>
      </c>
      <c r="C15" t="s">
        <v>3467</v>
      </c>
      <c r="D15" t="s">
        <v>4026</v>
      </c>
      <c r="E15" t="s">
        <v>187</v>
      </c>
      <c r="F15" t="s">
        <v>3467</v>
      </c>
      <c r="G15" t="s">
        <v>5239</v>
      </c>
      <c r="H15" t="s">
        <v>5207</v>
      </c>
      <c r="I15" t="s">
        <v>4048</v>
      </c>
      <c r="J15" t="s">
        <v>5237</v>
      </c>
      <c r="K15" t="s">
        <v>3530</v>
      </c>
      <c r="L15" t="s">
        <v>4031</v>
      </c>
      <c r="M15" t="s">
        <v>5356</v>
      </c>
    </row>
    <row r="16" spans="1:13" ht="15" customHeight="1" x14ac:dyDescent="0.25">
      <c r="A16" t="s">
        <v>5254</v>
      </c>
      <c r="B16" t="s">
        <v>5255</v>
      </c>
      <c r="C16" t="s">
        <v>5357</v>
      </c>
      <c r="D16" t="s">
        <v>4026</v>
      </c>
      <c r="E16" t="s">
        <v>187</v>
      </c>
      <c r="F16" t="s">
        <v>3467</v>
      </c>
      <c r="G16" t="s">
        <v>5193</v>
      </c>
      <c r="H16" t="s">
        <v>39</v>
      </c>
      <c r="I16" t="s">
        <v>4048</v>
      </c>
      <c r="J16" t="s">
        <v>5254</v>
      </c>
      <c r="K16" t="s">
        <v>41</v>
      </c>
      <c r="L16" t="s">
        <v>187</v>
      </c>
      <c r="M16" t="s">
        <v>3467</v>
      </c>
    </row>
    <row r="17" spans="1:13" ht="15" customHeight="1" x14ac:dyDescent="0.25">
      <c r="A17" t="s">
        <v>5279</v>
      </c>
      <c r="B17" t="s">
        <v>5280</v>
      </c>
      <c r="C17" t="s">
        <v>5358</v>
      </c>
      <c r="D17" t="s">
        <v>4015</v>
      </c>
      <c r="E17" t="s">
        <v>187</v>
      </c>
      <c r="F17" t="s">
        <v>3467</v>
      </c>
      <c r="G17" t="s">
        <v>4331</v>
      </c>
      <c r="H17" t="s">
        <v>39</v>
      </c>
      <c r="I17" t="s">
        <v>4065</v>
      </c>
      <c r="J17" t="s">
        <v>5279</v>
      </c>
      <c r="K17" t="s">
        <v>3518</v>
      </c>
      <c r="L17" t="s">
        <v>187</v>
      </c>
      <c r="M17" t="s">
        <v>3467</v>
      </c>
    </row>
    <row r="18" spans="1:13" ht="15" customHeight="1" x14ac:dyDescent="0.25">
      <c r="A18" t="s">
        <v>5284</v>
      </c>
      <c r="B18" t="s">
        <v>5285</v>
      </c>
      <c r="C18" t="s">
        <v>5359</v>
      </c>
      <c r="D18" t="s">
        <v>4015</v>
      </c>
      <c r="E18" t="s">
        <v>187</v>
      </c>
      <c r="F18" t="s">
        <v>3467</v>
      </c>
      <c r="G18" s="2" t="s">
        <v>5286</v>
      </c>
      <c r="H18" t="s">
        <v>39</v>
      </c>
      <c r="I18" t="s">
        <v>4065</v>
      </c>
      <c r="J18" t="s">
        <v>5287</v>
      </c>
      <c r="K18" t="s">
        <v>3530</v>
      </c>
      <c r="L18" t="s">
        <v>3467</v>
      </c>
      <c r="M18" t="s">
        <v>3467</v>
      </c>
    </row>
    <row r="19" spans="1:13" ht="15" customHeight="1" x14ac:dyDescent="0.25">
      <c r="A19" t="s">
        <v>5288</v>
      </c>
      <c r="B19" t="s">
        <v>5289</v>
      </c>
      <c r="C19" t="s">
        <v>5360</v>
      </c>
      <c r="D19" t="s">
        <v>4026</v>
      </c>
      <c r="E19" t="s">
        <v>187</v>
      </c>
      <c r="F19" t="s">
        <v>3467</v>
      </c>
      <c r="G19" t="s">
        <v>5290</v>
      </c>
      <c r="H19" t="s">
        <v>39</v>
      </c>
      <c r="I19" t="s">
        <v>4048</v>
      </c>
      <c r="J19" t="s">
        <v>5288</v>
      </c>
      <c r="K19" t="s">
        <v>41</v>
      </c>
      <c r="L19" t="s">
        <v>187</v>
      </c>
      <c r="M19" t="s">
        <v>3467</v>
      </c>
    </row>
    <row r="20" spans="1:13" ht="15" customHeight="1" x14ac:dyDescent="0.25">
      <c r="A20" t="s">
        <v>4631</v>
      </c>
      <c r="B20" t="s">
        <v>5291</v>
      </c>
      <c r="C20" t="s">
        <v>5361</v>
      </c>
      <c r="D20" t="s">
        <v>4015</v>
      </c>
      <c r="E20" t="s">
        <v>187</v>
      </c>
      <c r="F20" t="s">
        <v>3467</v>
      </c>
      <c r="G20" t="s">
        <v>4331</v>
      </c>
      <c r="H20" t="s">
        <v>39</v>
      </c>
      <c r="I20" t="s">
        <v>4065</v>
      </c>
      <c r="J20" t="s">
        <v>4631</v>
      </c>
      <c r="K20" t="s">
        <v>3530</v>
      </c>
      <c r="L20" t="s">
        <v>187</v>
      </c>
      <c r="M20" t="s">
        <v>3467</v>
      </c>
    </row>
    <row r="21" spans="1:13" ht="15" customHeight="1" x14ac:dyDescent="0.25">
      <c r="A21" t="s">
        <v>5292</v>
      </c>
      <c r="B21" t="s">
        <v>5293</v>
      </c>
      <c r="C21" t="s">
        <v>5362</v>
      </c>
      <c r="D21" t="s">
        <v>4015</v>
      </c>
      <c r="E21" t="s">
        <v>187</v>
      </c>
      <c r="F21" t="s">
        <v>3467</v>
      </c>
      <c r="G21" t="s">
        <v>5193</v>
      </c>
      <c r="H21" t="s">
        <v>39</v>
      </c>
      <c r="I21" t="s">
        <v>4065</v>
      </c>
      <c r="J21" t="s">
        <v>5292</v>
      </c>
      <c r="K21" t="s">
        <v>3530</v>
      </c>
      <c r="L21" t="s">
        <v>187</v>
      </c>
      <c r="M21" t="s">
        <v>3467</v>
      </c>
    </row>
    <row r="22" spans="1:13" ht="15" customHeight="1" x14ac:dyDescent="0.25">
      <c r="A22" t="s">
        <v>5296</v>
      </c>
      <c r="B22" s="8" t="s">
        <v>5297</v>
      </c>
      <c r="C22" s="8" t="s">
        <v>5363</v>
      </c>
      <c r="D22" t="s">
        <v>4015</v>
      </c>
      <c r="E22" t="s">
        <v>187</v>
      </c>
      <c r="F22" t="s">
        <v>3467</v>
      </c>
      <c r="G22" t="s">
        <v>4331</v>
      </c>
      <c r="H22" t="s">
        <v>39</v>
      </c>
      <c r="I22" t="s">
        <v>4065</v>
      </c>
      <c r="J22" t="s">
        <v>5296</v>
      </c>
      <c r="K22" t="s">
        <v>3518</v>
      </c>
      <c r="L22" t="s">
        <v>187</v>
      </c>
      <c r="M22" t="s">
        <v>3467</v>
      </c>
    </row>
    <row r="23" spans="1:13" ht="15" customHeight="1" x14ac:dyDescent="0.25">
      <c r="A23" t="s">
        <v>5303</v>
      </c>
      <c r="B23" s="8" t="s">
        <v>5364</v>
      </c>
      <c r="C23" s="8" t="s">
        <v>5365</v>
      </c>
      <c r="D23" t="s">
        <v>4015</v>
      </c>
      <c r="E23" t="s">
        <v>187</v>
      </c>
      <c r="F23" t="s">
        <v>3467</v>
      </c>
      <c r="G23" t="s">
        <v>5266</v>
      </c>
      <c r="H23" t="s">
        <v>39</v>
      </c>
      <c r="I23" t="s">
        <v>4065</v>
      </c>
      <c r="J23" t="s">
        <v>5303</v>
      </c>
      <c r="K23" t="s">
        <v>3467</v>
      </c>
      <c r="L23" t="s">
        <v>187</v>
      </c>
      <c r="M23" t="s">
        <v>3467</v>
      </c>
    </row>
    <row r="24" spans="1:13" ht="15" customHeight="1" x14ac:dyDescent="0.25">
      <c r="A24" t="s">
        <v>5305</v>
      </c>
      <c r="B24" s="8" t="s">
        <v>5366</v>
      </c>
      <c r="C24" s="8" t="s">
        <v>5367</v>
      </c>
      <c r="D24" t="s">
        <v>4026</v>
      </c>
      <c r="E24" t="s">
        <v>4031</v>
      </c>
      <c r="F24" t="s">
        <v>3467</v>
      </c>
      <c r="G24" t="s">
        <v>4331</v>
      </c>
      <c r="H24" t="s">
        <v>39</v>
      </c>
      <c r="I24" t="s">
        <v>4048</v>
      </c>
      <c r="J24" t="s">
        <v>5305</v>
      </c>
      <c r="K24" t="s">
        <v>3467</v>
      </c>
      <c r="L24" t="s">
        <v>187</v>
      </c>
      <c r="M24" t="s">
        <v>3467</v>
      </c>
    </row>
    <row r="25" spans="1:13" ht="15" customHeight="1" x14ac:dyDescent="0.25">
      <c r="A25" t="s">
        <v>5307</v>
      </c>
      <c r="B25" t="s">
        <v>5308</v>
      </c>
      <c r="C25" t="s">
        <v>5368</v>
      </c>
      <c r="D25" t="s">
        <v>4026</v>
      </c>
      <c r="E25" t="s">
        <v>4031</v>
      </c>
      <c r="F25" t="s">
        <v>3467</v>
      </c>
      <c r="G25" t="s">
        <v>4331</v>
      </c>
      <c r="H25" t="s">
        <v>39</v>
      </c>
      <c r="I25" t="s">
        <v>4048</v>
      </c>
      <c r="J25" t="s">
        <v>5309</v>
      </c>
      <c r="K25" t="s">
        <v>3518</v>
      </c>
      <c r="L25" t="s">
        <v>187</v>
      </c>
      <c r="M25" t="s">
        <v>3467</v>
      </c>
    </row>
    <row r="26" spans="1:13" ht="15" customHeight="1" x14ac:dyDescent="0.25">
      <c r="A26" t="s">
        <v>5310</v>
      </c>
      <c r="B26" s="8" t="s">
        <v>5369</v>
      </c>
      <c r="C26" s="8" t="s">
        <v>5370</v>
      </c>
      <c r="D26" t="s">
        <v>3756</v>
      </c>
      <c r="E26" t="s">
        <v>4031</v>
      </c>
      <c r="F26" t="s">
        <v>3467</v>
      </c>
      <c r="G26" t="s">
        <v>4331</v>
      </c>
      <c r="H26" t="s">
        <v>5210</v>
      </c>
      <c r="I26" t="s">
        <v>4065</v>
      </c>
      <c r="J26" t="s">
        <v>5310</v>
      </c>
      <c r="K26" t="s">
        <v>3467</v>
      </c>
      <c r="L26" t="s">
        <v>187</v>
      </c>
      <c r="M26" t="s">
        <v>3467</v>
      </c>
    </row>
    <row r="27" spans="1:13" ht="15" customHeight="1" x14ac:dyDescent="0.25">
      <c r="A27" t="s">
        <v>5316</v>
      </c>
      <c r="B27" t="s">
        <v>5371</v>
      </c>
      <c r="C27" t="s">
        <v>5372</v>
      </c>
      <c r="D27" t="s">
        <v>4015</v>
      </c>
      <c r="E27" t="s">
        <v>187</v>
      </c>
      <c r="F27" t="s">
        <v>3467</v>
      </c>
      <c r="G27" t="s">
        <v>4331</v>
      </c>
      <c r="H27" t="s">
        <v>39</v>
      </c>
      <c r="I27" t="s">
        <v>4065</v>
      </c>
      <c r="J27" t="s">
        <v>5316</v>
      </c>
      <c r="K27" t="s">
        <v>3530</v>
      </c>
      <c r="L27" t="s">
        <v>187</v>
      </c>
      <c r="M27" t="s">
        <v>3467</v>
      </c>
    </row>
    <row r="28" spans="1:13" ht="15" customHeight="1" x14ac:dyDescent="0.25">
      <c r="A28" t="s">
        <v>5321</v>
      </c>
      <c r="B28" t="s">
        <v>5322</v>
      </c>
      <c r="C28" t="s">
        <v>5373</v>
      </c>
      <c r="D28" t="s">
        <v>4026</v>
      </c>
      <c r="E28" t="s">
        <v>187</v>
      </c>
      <c r="F28" t="s">
        <v>3467</v>
      </c>
      <c r="G28" t="s">
        <v>5193</v>
      </c>
      <c r="H28" t="s">
        <v>39</v>
      </c>
      <c r="I28" t="s">
        <v>4048</v>
      </c>
      <c r="J28" t="s">
        <v>5321</v>
      </c>
      <c r="K28" t="s">
        <v>41</v>
      </c>
      <c r="L28" t="s">
        <v>187</v>
      </c>
      <c r="M28" t="s">
        <v>3467</v>
      </c>
    </row>
    <row r="29" spans="1:13" ht="15" customHeight="1" x14ac:dyDescent="0.25">
      <c r="A29" t="s">
        <v>5323</v>
      </c>
      <c r="B29" t="s">
        <v>5324</v>
      </c>
      <c r="C29" t="s">
        <v>5374</v>
      </c>
      <c r="D29" t="s">
        <v>4026</v>
      </c>
      <c r="E29" t="s">
        <v>187</v>
      </c>
      <c r="F29" t="s">
        <v>3467</v>
      </c>
      <c r="G29" t="s">
        <v>5193</v>
      </c>
      <c r="H29" t="s">
        <v>39</v>
      </c>
      <c r="I29" t="s">
        <v>4048</v>
      </c>
      <c r="J29" t="s">
        <v>5323</v>
      </c>
      <c r="K29" t="s">
        <v>41</v>
      </c>
      <c r="L29" t="s">
        <v>187</v>
      </c>
      <c r="M29" t="s">
        <v>3467</v>
      </c>
    </row>
    <row r="30" spans="1:13" ht="15" customHeight="1" x14ac:dyDescent="0.25">
      <c r="A30" t="s">
        <v>5314</v>
      </c>
      <c r="B30" t="s">
        <v>5315</v>
      </c>
      <c r="C30" t="s">
        <v>5375</v>
      </c>
      <c r="D30" t="s">
        <v>4026</v>
      </c>
      <c r="E30" t="s">
        <v>4031</v>
      </c>
      <c r="F30">
        <v>1</v>
      </c>
      <c r="G30" t="s">
        <v>5193</v>
      </c>
      <c r="H30" t="s">
        <v>39</v>
      </c>
      <c r="I30" t="s">
        <v>4048</v>
      </c>
      <c r="J30" t="s">
        <v>5314</v>
      </c>
      <c r="K30" t="s">
        <v>3467</v>
      </c>
      <c r="L30" t="s">
        <v>187</v>
      </c>
      <c r="M30" t="s">
        <v>5376</v>
      </c>
    </row>
    <row r="31" spans="1:13" ht="60" customHeight="1" x14ac:dyDescent="0.25">
      <c r="A31" t="s">
        <v>5271</v>
      </c>
      <c r="B31" s="8" t="s">
        <v>5377</v>
      </c>
      <c r="C31" s="8" t="s">
        <v>5378</v>
      </c>
      <c r="D31" t="s">
        <v>4015</v>
      </c>
      <c r="E31" t="s">
        <v>187</v>
      </c>
      <c r="F31" t="s">
        <v>3467</v>
      </c>
      <c r="G31" t="s">
        <v>5266</v>
      </c>
      <c r="H31" t="s">
        <v>5207</v>
      </c>
      <c r="I31" t="s">
        <v>4065</v>
      </c>
      <c r="J31" t="s">
        <v>5273</v>
      </c>
      <c r="K31" t="s">
        <v>3530</v>
      </c>
      <c r="L31" t="s">
        <v>4031</v>
      </c>
      <c r="M31" s="8" t="s">
        <v>5379</v>
      </c>
    </row>
    <row r="32" spans="1:13" ht="45" customHeight="1" x14ac:dyDescent="0.25">
      <c r="A32" t="s">
        <v>5268</v>
      </c>
      <c r="B32" s="8" t="s">
        <v>5380</v>
      </c>
      <c r="C32" s="8" t="s">
        <v>5381</v>
      </c>
      <c r="D32" t="s">
        <v>4015</v>
      </c>
      <c r="E32" t="s">
        <v>187</v>
      </c>
      <c r="F32" t="s">
        <v>3467</v>
      </c>
      <c r="G32" t="s">
        <v>5266</v>
      </c>
      <c r="H32" t="s">
        <v>5207</v>
      </c>
      <c r="I32" t="s">
        <v>4065</v>
      </c>
      <c r="J32" t="s">
        <v>5270</v>
      </c>
      <c r="K32" t="s">
        <v>3530</v>
      </c>
      <c r="L32" t="s">
        <v>4031</v>
      </c>
      <c r="M32" s="8" t="s">
        <v>5382</v>
      </c>
    </row>
    <row r="33" spans="1:13" ht="60" customHeight="1" x14ac:dyDescent="0.25">
      <c r="A33" t="s">
        <v>5274</v>
      </c>
      <c r="B33" s="8" t="s">
        <v>5383</v>
      </c>
      <c r="C33" s="8" t="s">
        <v>5384</v>
      </c>
      <c r="D33" t="s">
        <v>4026</v>
      </c>
      <c r="E33" t="s">
        <v>187</v>
      </c>
      <c r="F33" t="s">
        <v>3467</v>
      </c>
      <c r="G33" t="s">
        <v>5193</v>
      </c>
      <c r="H33" t="s">
        <v>5207</v>
      </c>
      <c r="I33" t="s">
        <v>4048</v>
      </c>
      <c r="J33" t="s">
        <v>5276</v>
      </c>
      <c r="K33" t="s">
        <v>3467</v>
      </c>
      <c r="L33" t="s">
        <v>4031</v>
      </c>
      <c r="M33" s="8" t="s">
        <v>5385</v>
      </c>
    </row>
    <row r="34" spans="1:13" ht="45" customHeight="1" x14ac:dyDescent="0.25">
      <c r="A34" t="s">
        <v>5256</v>
      </c>
      <c r="B34" s="8" t="s">
        <v>5257</v>
      </c>
      <c r="C34" s="8" t="s">
        <v>5386</v>
      </c>
      <c r="D34" t="s">
        <v>4015</v>
      </c>
      <c r="E34" t="s">
        <v>187</v>
      </c>
      <c r="F34" t="s">
        <v>3467</v>
      </c>
      <c r="G34" t="s">
        <v>5193</v>
      </c>
      <c r="H34" t="s">
        <v>39</v>
      </c>
      <c r="I34" t="s">
        <v>4065</v>
      </c>
      <c r="J34" t="s">
        <v>5256</v>
      </c>
      <c r="K34" t="s">
        <v>3518</v>
      </c>
      <c r="L34" t="s">
        <v>187</v>
      </c>
      <c r="M34" s="8" t="s">
        <v>5387</v>
      </c>
    </row>
    <row r="35" spans="1:13" ht="45" customHeight="1" x14ac:dyDescent="0.25">
      <c r="A35" t="s">
        <v>5208</v>
      </c>
      <c r="B35" s="8" t="s">
        <v>5388</v>
      </c>
      <c r="C35" s="8" t="s">
        <v>5389</v>
      </c>
      <c r="D35" t="s">
        <v>4026</v>
      </c>
      <c r="E35" t="s">
        <v>187</v>
      </c>
      <c r="F35" t="s">
        <v>3467</v>
      </c>
      <c r="G35" t="s">
        <v>5390</v>
      </c>
      <c r="H35" t="s">
        <v>5210</v>
      </c>
      <c r="I35" t="s">
        <v>4048</v>
      </c>
      <c r="J35" t="s">
        <v>5208</v>
      </c>
      <c r="K35" t="s">
        <v>3467</v>
      </c>
      <c r="L35" t="s">
        <v>187</v>
      </c>
      <c r="M35" s="8" t="s">
        <v>5391</v>
      </c>
    </row>
    <row r="36" spans="1:13" x14ac:dyDescent="0.25">
      <c r="A36" t="s">
        <v>5246</v>
      </c>
      <c r="B36" s="8" t="s">
        <v>5392</v>
      </c>
      <c r="C36" s="8" t="s">
        <v>5393</v>
      </c>
      <c r="D36" t="s">
        <v>5394</v>
      </c>
      <c r="E36" t="s">
        <v>187</v>
      </c>
      <c r="F36" t="s">
        <v>3467</v>
      </c>
      <c r="G36" t="s">
        <v>5395</v>
      </c>
      <c r="H36" t="s">
        <v>5207</v>
      </c>
      <c r="I36" t="s">
        <v>4065</v>
      </c>
      <c r="J36" t="s">
        <v>5248</v>
      </c>
      <c r="K36" t="s">
        <v>3530</v>
      </c>
      <c r="L36" t="s">
        <v>4031</v>
      </c>
      <c r="M36" t="s">
        <v>3467</v>
      </c>
    </row>
    <row r="37" spans="1:13" x14ac:dyDescent="0.25">
      <c r="A37" t="s">
        <v>5396</v>
      </c>
      <c r="B37" s="8" t="s">
        <v>5397</v>
      </c>
      <c r="C37" s="8" t="s">
        <v>5393</v>
      </c>
      <c r="D37" t="s">
        <v>5394</v>
      </c>
      <c r="E37" t="s">
        <v>187</v>
      </c>
      <c r="F37" t="s">
        <v>3467</v>
      </c>
      <c r="G37" t="s">
        <v>5395</v>
      </c>
      <c r="H37" t="s">
        <v>5207</v>
      </c>
      <c r="I37" t="s">
        <v>4065</v>
      </c>
      <c r="J37" t="s">
        <v>5396</v>
      </c>
      <c r="K37" t="s">
        <v>3530</v>
      </c>
      <c r="L37" t="s">
        <v>4031</v>
      </c>
      <c r="M37" t="s">
        <v>3467</v>
      </c>
    </row>
    <row r="38" spans="1:13" x14ac:dyDescent="0.25">
      <c r="A38" t="s">
        <v>5398</v>
      </c>
      <c r="B38" s="8" t="s">
        <v>5399</v>
      </c>
      <c r="C38" s="8" t="s">
        <v>5393</v>
      </c>
      <c r="D38" t="s">
        <v>5394</v>
      </c>
      <c r="E38" t="s">
        <v>187</v>
      </c>
      <c r="F38" t="s">
        <v>3467</v>
      </c>
      <c r="G38" t="s">
        <v>5395</v>
      </c>
      <c r="H38" t="s">
        <v>5207</v>
      </c>
      <c r="I38" t="s">
        <v>4065</v>
      </c>
      <c r="J38" t="s">
        <v>5400</v>
      </c>
      <c r="K38" t="s">
        <v>3518</v>
      </c>
      <c r="L38" t="s">
        <v>4031</v>
      </c>
      <c r="M38" t="s">
        <v>3467</v>
      </c>
    </row>
    <row r="39" spans="1:13" x14ac:dyDescent="0.25">
      <c r="A39" t="s">
        <v>5194</v>
      </c>
      <c r="B39" s="8" t="s">
        <v>5401</v>
      </c>
      <c r="C39" s="8" t="s">
        <v>5402</v>
      </c>
      <c r="D39" t="s">
        <v>4015</v>
      </c>
      <c r="E39" t="s">
        <v>187</v>
      </c>
      <c r="F39" t="s">
        <v>3467</v>
      </c>
      <c r="G39" t="s">
        <v>5403</v>
      </c>
      <c r="H39" t="s">
        <v>5207</v>
      </c>
      <c r="I39" t="s">
        <v>4065</v>
      </c>
      <c r="J39" t="s">
        <v>5194</v>
      </c>
      <c r="K39" t="s">
        <v>3530</v>
      </c>
      <c r="L39" t="s">
        <v>4031</v>
      </c>
      <c r="M39" t="s">
        <v>5404</v>
      </c>
    </row>
    <row r="40" spans="1:13" x14ac:dyDescent="0.25">
      <c r="A40" t="s">
        <v>5204</v>
      </c>
      <c r="B40" s="8" t="s">
        <v>5405</v>
      </c>
      <c r="C40" s="8" t="s">
        <v>5393</v>
      </c>
      <c r="D40" t="s">
        <v>5394</v>
      </c>
      <c r="E40" t="s">
        <v>187</v>
      </c>
      <c r="F40" t="s">
        <v>3467</v>
      </c>
      <c r="G40" t="s">
        <v>5395</v>
      </c>
      <c r="H40" t="s">
        <v>5207</v>
      </c>
      <c r="I40" t="s">
        <v>4065</v>
      </c>
      <c r="J40" t="s">
        <v>5204</v>
      </c>
      <c r="K40" t="s">
        <v>3518</v>
      </c>
      <c r="L40" t="s">
        <v>4031</v>
      </c>
      <c r="M40" t="s">
        <v>3467</v>
      </c>
    </row>
    <row r="41" spans="1:13" x14ac:dyDescent="0.25">
      <c r="A41" t="s">
        <v>5263</v>
      </c>
      <c r="B41" s="8" t="s">
        <v>5406</v>
      </c>
      <c r="C41" s="8" t="s">
        <v>5407</v>
      </c>
      <c r="D41" t="s">
        <v>4015</v>
      </c>
      <c r="E41" t="s">
        <v>187</v>
      </c>
      <c r="F41" t="s">
        <v>3467</v>
      </c>
      <c r="G41" t="s">
        <v>5266</v>
      </c>
      <c r="H41" t="s">
        <v>5207</v>
      </c>
      <c r="I41" t="s">
        <v>4065</v>
      </c>
      <c r="J41" t="s">
        <v>5267</v>
      </c>
      <c r="K41" t="s">
        <v>3530</v>
      </c>
      <c r="L41" t="s">
        <v>4031</v>
      </c>
      <c r="M41" t="s">
        <v>5408</v>
      </c>
    </row>
    <row r="42" spans="1:13" x14ac:dyDescent="0.25">
      <c r="A42" t="s">
        <v>5225</v>
      </c>
      <c r="B42" s="8" t="s">
        <v>5409</v>
      </c>
      <c r="C42" s="8" t="s">
        <v>5410</v>
      </c>
      <c r="D42" t="s">
        <v>4015</v>
      </c>
      <c r="E42" t="s">
        <v>187</v>
      </c>
      <c r="F42" t="s">
        <v>3467</v>
      </c>
      <c r="G42" t="s">
        <v>5193</v>
      </c>
      <c r="H42" t="s">
        <v>39</v>
      </c>
      <c r="I42" t="s">
        <v>4065</v>
      </c>
      <c r="J42" t="s">
        <v>5227</v>
      </c>
      <c r="K42" t="s">
        <v>3518</v>
      </c>
      <c r="L42" t="s">
        <v>187</v>
      </c>
      <c r="M42" t="s">
        <v>3467</v>
      </c>
    </row>
    <row r="43" spans="1:13" x14ac:dyDescent="0.25">
      <c r="A43" t="s">
        <v>5213</v>
      </c>
      <c r="B43" s="8" t="s">
        <v>5411</v>
      </c>
      <c r="C43" s="8" t="s">
        <v>5412</v>
      </c>
      <c r="D43" t="s">
        <v>4026</v>
      </c>
      <c r="E43" t="s">
        <v>4031</v>
      </c>
      <c r="F43" t="s">
        <v>3467</v>
      </c>
      <c r="G43" t="s">
        <v>4331</v>
      </c>
      <c r="H43" t="s">
        <v>5210</v>
      </c>
      <c r="I43" t="s">
        <v>4048</v>
      </c>
      <c r="J43" t="s">
        <v>5215</v>
      </c>
      <c r="K43" t="s">
        <v>3518</v>
      </c>
      <c r="L43" t="s">
        <v>4031</v>
      </c>
      <c r="M43" t="s">
        <v>5413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5414</v>
      </c>
      <c r="C1" t="s">
        <v>5415</v>
      </c>
      <c r="D1" t="s">
        <v>5416</v>
      </c>
      <c r="E1" t="s">
        <v>5095</v>
      </c>
    </row>
    <row r="2" spans="1:5" ht="15" customHeight="1" x14ac:dyDescent="0.25">
      <c r="A2" t="s">
        <v>5417</v>
      </c>
      <c r="B2" t="s">
        <v>5418</v>
      </c>
      <c r="E2" t="s">
        <v>5419</v>
      </c>
    </row>
    <row r="3" spans="1:5" ht="15" customHeight="1" x14ac:dyDescent="0.25">
      <c r="A3" t="s">
        <v>5420</v>
      </c>
      <c r="B3" t="s">
        <v>5421</v>
      </c>
      <c r="E3" t="s">
        <v>5422</v>
      </c>
    </row>
    <row r="4" spans="1:5" ht="15" customHeight="1" x14ac:dyDescent="0.25">
      <c r="A4" t="s">
        <v>5423</v>
      </c>
      <c r="B4" t="s">
        <v>3467</v>
      </c>
      <c r="E4" t="s">
        <v>5424</v>
      </c>
    </row>
    <row r="5" spans="1:5" ht="15" customHeight="1" x14ac:dyDescent="0.25">
      <c r="A5" t="s">
        <v>5425</v>
      </c>
      <c r="B5" t="s">
        <v>5426</v>
      </c>
      <c r="E5" t="s">
        <v>5427</v>
      </c>
    </row>
    <row r="6" spans="1:5" ht="15" customHeight="1" x14ac:dyDescent="0.25">
      <c r="A6" t="s">
        <v>4295</v>
      </c>
      <c r="B6" t="s">
        <v>5428</v>
      </c>
      <c r="E6" t="s">
        <v>5429</v>
      </c>
    </row>
    <row r="7" spans="1:5" ht="15" customHeight="1" x14ac:dyDescent="0.25">
      <c r="A7" t="s">
        <v>5288</v>
      </c>
      <c r="B7" t="s">
        <v>5430</v>
      </c>
      <c r="E7" t="s">
        <v>5431</v>
      </c>
    </row>
    <row r="8" spans="1:5" ht="15" customHeight="1" x14ac:dyDescent="0.25">
      <c r="A8" t="s">
        <v>5432</v>
      </c>
      <c r="B8" t="s">
        <v>5433</v>
      </c>
      <c r="C8" t="s">
        <v>5434</v>
      </c>
      <c r="D8" t="s">
        <v>5435</v>
      </c>
      <c r="E8" t="s">
        <v>5436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5437</v>
      </c>
      <c r="D1" t="s">
        <v>5438</v>
      </c>
    </row>
    <row r="2" spans="1:4" ht="15" customHeight="1" x14ac:dyDescent="0.25">
      <c r="A2" t="s">
        <v>5439</v>
      </c>
      <c r="B2" t="s">
        <v>5440</v>
      </c>
      <c r="C2" t="s">
        <v>39</v>
      </c>
      <c r="D2" t="s">
        <v>3467</v>
      </c>
    </row>
    <row r="3" spans="1:4" ht="15" customHeight="1" x14ac:dyDescent="0.25">
      <c r="A3" t="s">
        <v>5441</v>
      </c>
      <c r="B3" t="s">
        <v>5442</v>
      </c>
      <c r="C3" t="s">
        <v>5443</v>
      </c>
      <c r="D3" t="s">
        <v>3467</v>
      </c>
    </row>
    <row r="4" spans="1:4" ht="15" customHeight="1" x14ac:dyDescent="0.25">
      <c r="A4" t="s">
        <v>5444</v>
      </c>
      <c r="B4" t="s">
        <v>5445</v>
      </c>
      <c r="C4" t="s">
        <v>39</v>
      </c>
      <c r="D4" t="s">
        <v>3467</v>
      </c>
    </row>
    <row r="5" spans="1:4" ht="15" customHeight="1" x14ac:dyDescent="0.25">
      <c r="A5" t="s">
        <v>5446</v>
      </c>
      <c r="B5" t="s">
        <v>5447</v>
      </c>
      <c r="C5" t="s">
        <v>5443</v>
      </c>
      <c r="D5" t="s">
        <v>3467</v>
      </c>
    </row>
    <row r="6" spans="1:4" ht="15" customHeight="1" x14ac:dyDescent="0.25">
      <c r="A6" t="s">
        <v>5448</v>
      </c>
      <c r="B6" t="s">
        <v>5449</v>
      </c>
      <c r="C6" t="s">
        <v>5443</v>
      </c>
      <c r="D6" t="s">
        <v>3467</v>
      </c>
    </row>
    <row r="7" spans="1:4" ht="15" customHeight="1" x14ac:dyDescent="0.25">
      <c r="A7" t="s">
        <v>5450</v>
      </c>
      <c r="B7" t="s">
        <v>5451</v>
      </c>
      <c r="C7" t="s">
        <v>39</v>
      </c>
      <c r="D7" t="s">
        <v>3467</v>
      </c>
    </row>
    <row r="8" spans="1:4" ht="15" customHeight="1" x14ac:dyDescent="0.25">
      <c r="A8" t="s">
        <v>5452</v>
      </c>
      <c r="B8" t="s">
        <v>5453</v>
      </c>
      <c r="C8" t="s">
        <v>39</v>
      </c>
      <c r="D8" t="s">
        <v>3467</v>
      </c>
    </row>
    <row r="9" spans="1:4" ht="15" customHeight="1" x14ac:dyDescent="0.25">
      <c r="A9" t="s">
        <v>5454</v>
      </c>
      <c r="B9" t="s">
        <v>5455</v>
      </c>
      <c r="C9" t="s">
        <v>39</v>
      </c>
      <c r="D9" t="s">
        <v>3467</v>
      </c>
    </row>
    <row r="10" spans="1:4" ht="15" customHeight="1" x14ac:dyDescent="0.25">
      <c r="A10" t="s">
        <v>5456</v>
      </c>
      <c r="B10" t="s">
        <v>5457</v>
      </c>
      <c r="C10" t="s">
        <v>5458</v>
      </c>
      <c r="D10" t="s">
        <v>3467</v>
      </c>
    </row>
    <row r="11" spans="1:4" ht="15" customHeight="1" x14ac:dyDescent="0.25">
      <c r="A11" t="s">
        <v>5459</v>
      </c>
      <c r="B11" t="s">
        <v>5460</v>
      </c>
      <c r="C11" t="s">
        <v>4462</v>
      </c>
      <c r="D11" t="s">
        <v>3467</v>
      </c>
    </row>
    <row r="12" spans="1:4" ht="15" customHeight="1" x14ac:dyDescent="0.25">
      <c r="A12" t="s">
        <v>5461</v>
      </c>
      <c r="B12" t="s">
        <v>5462</v>
      </c>
      <c r="C12" t="s">
        <v>4462</v>
      </c>
      <c r="D12" t="s">
        <v>3467</v>
      </c>
    </row>
    <row r="13" spans="1:4" ht="15" customHeight="1" x14ac:dyDescent="0.25">
      <c r="A13" t="s">
        <v>5463</v>
      </c>
      <c r="B13" t="s">
        <v>5464</v>
      </c>
      <c r="C13" t="s">
        <v>5443</v>
      </c>
      <c r="D13" t="s">
        <v>3467</v>
      </c>
    </row>
    <row r="14" spans="1:4" ht="15" customHeight="1" x14ac:dyDescent="0.25">
      <c r="A14" t="s">
        <v>5465</v>
      </c>
      <c r="B14" t="s">
        <v>5466</v>
      </c>
      <c r="C14" t="s">
        <v>39</v>
      </c>
      <c r="D14" t="s">
        <v>3467</v>
      </c>
    </row>
    <row r="15" spans="1:4" ht="15" customHeight="1" x14ac:dyDescent="0.25">
      <c r="A15" t="s">
        <v>5467</v>
      </c>
      <c r="B15" t="s">
        <v>5468</v>
      </c>
      <c r="C15" t="s">
        <v>39</v>
      </c>
      <c r="D15" t="s">
        <v>3467</v>
      </c>
    </row>
    <row r="16" spans="1:4" ht="15" customHeight="1" x14ac:dyDescent="0.25">
      <c r="A16" t="s">
        <v>5469</v>
      </c>
      <c r="B16" t="s">
        <v>5470</v>
      </c>
      <c r="C16" t="s">
        <v>5458</v>
      </c>
      <c r="D16" t="s">
        <v>3467</v>
      </c>
    </row>
    <row r="17" spans="1:4" ht="15" customHeight="1" x14ac:dyDescent="0.25">
      <c r="A17" t="s">
        <v>5471</v>
      </c>
      <c r="B17" t="s">
        <v>5472</v>
      </c>
      <c r="C17" t="s">
        <v>39</v>
      </c>
      <c r="D17" t="s">
        <v>3467</v>
      </c>
    </row>
    <row r="18" spans="1:4" ht="15" customHeight="1" x14ac:dyDescent="0.25">
      <c r="A18" t="s">
        <v>5473</v>
      </c>
      <c r="B18" t="s">
        <v>5474</v>
      </c>
      <c r="C18" t="s">
        <v>5475</v>
      </c>
      <c r="D18" t="s">
        <v>3467</v>
      </c>
    </row>
    <row r="19" spans="1:4" ht="15" customHeight="1" x14ac:dyDescent="0.25">
      <c r="A19" t="s">
        <v>5476</v>
      </c>
      <c r="B19" t="s">
        <v>5477</v>
      </c>
      <c r="C19" t="s">
        <v>39</v>
      </c>
      <c r="D19" t="s">
        <v>3467</v>
      </c>
    </row>
    <row r="20" spans="1:4" ht="15" customHeight="1" x14ac:dyDescent="0.25">
      <c r="A20" t="s">
        <v>5478</v>
      </c>
      <c r="B20" t="s">
        <v>5479</v>
      </c>
      <c r="C20" t="s">
        <v>39</v>
      </c>
      <c r="D20" t="s">
        <v>3467</v>
      </c>
    </row>
    <row r="21" spans="1:4" ht="15" customHeight="1" x14ac:dyDescent="0.25">
      <c r="A21" t="s">
        <v>5480</v>
      </c>
      <c r="B21" t="s">
        <v>5481</v>
      </c>
      <c r="C21" t="s">
        <v>39</v>
      </c>
      <c r="D21" t="s">
        <v>5482</v>
      </c>
    </row>
    <row r="22" spans="1:4" ht="15" customHeight="1" x14ac:dyDescent="0.25">
      <c r="A22" t="s">
        <v>5483</v>
      </c>
      <c r="B22" t="s">
        <v>5484</v>
      </c>
      <c r="C22" t="s">
        <v>5485</v>
      </c>
      <c r="D22" t="s">
        <v>3467</v>
      </c>
    </row>
    <row r="23" spans="1:4" ht="15" customHeight="1" x14ac:dyDescent="0.25">
      <c r="A23" t="s">
        <v>5486</v>
      </c>
      <c r="B23" t="s">
        <v>5487</v>
      </c>
      <c r="C23" t="s">
        <v>5458</v>
      </c>
      <c r="D23" t="s">
        <v>3467</v>
      </c>
    </row>
    <row r="24" spans="1:4" ht="15" customHeight="1" x14ac:dyDescent="0.25">
      <c r="A24" t="s">
        <v>5488</v>
      </c>
      <c r="B24" t="s">
        <v>5489</v>
      </c>
      <c r="C24" t="s">
        <v>5458</v>
      </c>
      <c r="D24" t="s">
        <v>5490</v>
      </c>
    </row>
    <row r="25" spans="1:4" ht="15" customHeight="1" x14ac:dyDescent="0.25">
      <c r="A25" t="s">
        <v>5491</v>
      </c>
      <c r="B25" t="s">
        <v>5492</v>
      </c>
      <c r="C25" t="s">
        <v>5475</v>
      </c>
      <c r="D25" t="s">
        <v>3467</v>
      </c>
    </row>
    <row r="26" spans="1:4" ht="15" customHeight="1" x14ac:dyDescent="0.25">
      <c r="A26" t="s">
        <v>5493</v>
      </c>
      <c r="B26" t="s">
        <v>5494</v>
      </c>
      <c r="C26" t="s">
        <v>5443</v>
      </c>
      <c r="D26" t="s">
        <v>3467</v>
      </c>
    </row>
    <row r="27" spans="1:4" ht="15" customHeight="1" x14ac:dyDescent="0.25">
      <c r="A27" t="s">
        <v>5495</v>
      </c>
      <c r="B27" t="s">
        <v>5496</v>
      </c>
      <c r="C27" t="s">
        <v>5458</v>
      </c>
      <c r="D27" t="s">
        <v>3467</v>
      </c>
    </row>
    <row r="28" spans="1:4" ht="15" customHeight="1" x14ac:dyDescent="0.25">
      <c r="A28" t="s">
        <v>5497</v>
      </c>
      <c r="B28" t="s">
        <v>5498</v>
      </c>
      <c r="C28" t="s">
        <v>5458</v>
      </c>
      <c r="D28" t="s">
        <v>3467</v>
      </c>
    </row>
    <row r="29" spans="1:4" ht="15" customHeight="1" x14ac:dyDescent="0.25">
      <c r="A29" t="s">
        <v>5499</v>
      </c>
      <c r="B29" t="s">
        <v>5500</v>
      </c>
      <c r="C29" t="s">
        <v>5501</v>
      </c>
      <c r="D29" t="s">
        <v>3467</v>
      </c>
    </row>
    <row r="30" spans="1:4" ht="15" customHeight="1" x14ac:dyDescent="0.25">
      <c r="A30" t="s">
        <v>5502</v>
      </c>
      <c r="B30" t="s">
        <v>5503</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5504</v>
      </c>
      <c r="F1" t="s">
        <v>5505</v>
      </c>
      <c r="G1" t="s">
        <v>5438</v>
      </c>
      <c r="H1" t="s">
        <v>5506</v>
      </c>
      <c r="I1" t="s">
        <v>5507</v>
      </c>
      <c r="J1" t="s">
        <v>5508</v>
      </c>
      <c r="K1" t="s">
        <v>5509</v>
      </c>
      <c r="L1" t="s">
        <v>5510</v>
      </c>
      <c r="M1" t="s">
        <v>5511</v>
      </c>
    </row>
    <row r="2" spans="1:13" ht="15" customHeight="1" x14ac:dyDescent="0.25">
      <c r="A2" t="s">
        <v>5444</v>
      </c>
      <c r="B2" t="s">
        <v>5445</v>
      </c>
      <c r="C2" t="s">
        <v>5512</v>
      </c>
      <c r="D2" t="s">
        <v>5513</v>
      </c>
      <c r="E2" t="s">
        <v>4031</v>
      </c>
      <c r="F2" t="s">
        <v>39</v>
      </c>
      <c r="G2" t="s">
        <v>3467</v>
      </c>
      <c r="H2" t="s">
        <v>5514</v>
      </c>
      <c r="I2" t="s">
        <v>5515</v>
      </c>
      <c r="J2" t="s">
        <v>5516</v>
      </c>
    </row>
    <row r="3" spans="1:13" ht="15" customHeight="1" x14ac:dyDescent="0.25">
      <c r="A3" t="s">
        <v>5450</v>
      </c>
      <c r="B3" t="s">
        <v>5451</v>
      </c>
      <c r="C3" t="s">
        <v>5451</v>
      </c>
      <c r="D3" t="s">
        <v>5451</v>
      </c>
      <c r="E3" t="s">
        <v>4031</v>
      </c>
      <c r="F3" t="s">
        <v>39</v>
      </c>
      <c r="G3" t="s">
        <v>3467</v>
      </c>
      <c r="H3" t="s">
        <v>5517</v>
      </c>
      <c r="I3" t="s">
        <v>5518</v>
      </c>
    </row>
    <row r="4" spans="1:13" ht="15" customHeight="1" x14ac:dyDescent="0.25">
      <c r="A4" t="s">
        <v>5519</v>
      </c>
      <c r="B4" s="8" t="s">
        <v>5520</v>
      </c>
      <c r="C4" s="8" t="s">
        <v>5520</v>
      </c>
      <c r="D4" s="8" t="s">
        <v>5520</v>
      </c>
      <c r="E4" t="s">
        <v>187</v>
      </c>
      <c r="F4" t="s">
        <v>39</v>
      </c>
      <c r="G4" t="s">
        <v>3467</v>
      </c>
      <c r="H4" t="s">
        <v>5521</v>
      </c>
      <c r="I4" t="s">
        <v>5522</v>
      </c>
    </row>
    <row r="5" spans="1:13" ht="15" customHeight="1" x14ac:dyDescent="0.25">
      <c r="A5" t="s">
        <v>5523</v>
      </c>
      <c r="B5" t="s">
        <v>5524</v>
      </c>
      <c r="C5" t="s">
        <v>5524</v>
      </c>
      <c r="D5" t="s">
        <v>5524</v>
      </c>
      <c r="E5" t="s">
        <v>4031</v>
      </c>
      <c r="F5" t="s">
        <v>5458</v>
      </c>
      <c r="G5" t="s">
        <v>3467</v>
      </c>
      <c r="H5" t="s">
        <v>5525</v>
      </c>
      <c r="I5" t="s">
        <v>5518</v>
      </c>
    </row>
    <row r="6" spans="1:13" ht="15" customHeight="1" x14ac:dyDescent="0.25">
      <c r="A6" t="s">
        <v>5456</v>
      </c>
      <c r="B6" t="s">
        <v>5457</v>
      </c>
      <c r="C6" t="s">
        <v>5526</v>
      </c>
      <c r="D6" t="s">
        <v>5457</v>
      </c>
      <c r="E6" t="s">
        <v>4031</v>
      </c>
      <c r="F6" t="s">
        <v>5458</v>
      </c>
      <c r="G6" t="s">
        <v>3467</v>
      </c>
      <c r="H6" t="s">
        <v>5527</v>
      </c>
      <c r="I6" t="s">
        <v>5518</v>
      </c>
      <c r="K6" t="s">
        <v>5528</v>
      </c>
      <c r="L6" t="s">
        <v>5529</v>
      </c>
    </row>
    <row r="7" spans="1:13" ht="15" customHeight="1" x14ac:dyDescent="0.25">
      <c r="A7" t="s">
        <v>5530</v>
      </c>
      <c r="B7" t="s">
        <v>5531</v>
      </c>
      <c r="C7" t="s">
        <v>5532</v>
      </c>
      <c r="D7" t="s">
        <v>5531</v>
      </c>
      <c r="E7" t="s">
        <v>4031</v>
      </c>
      <c r="F7" t="s">
        <v>5458</v>
      </c>
      <c r="G7" t="s">
        <v>3467</v>
      </c>
      <c r="H7" t="s">
        <v>5533</v>
      </c>
      <c r="I7" t="s">
        <v>5518</v>
      </c>
      <c r="K7" t="s">
        <v>5534</v>
      </c>
      <c r="L7" t="s">
        <v>5535</v>
      </c>
    </row>
    <row r="8" spans="1:13" ht="15" customHeight="1" x14ac:dyDescent="0.25">
      <c r="A8" t="s">
        <v>5459</v>
      </c>
      <c r="B8" t="s">
        <v>5536</v>
      </c>
      <c r="C8" t="s">
        <v>5537</v>
      </c>
      <c r="D8" t="s">
        <v>5537</v>
      </c>
      <c r="E8" t="s">
        <v>4031</v>
      </c>
      <c r="F8" t="s">
        <v>4462</v>
      </c>
      <c r="G8" t="s">
        <v>3467</v>
      </c>
      <c r="H8" t="s">
        <v>5538</v>
      </c>
      <c r="I8" t="s">
        <v>5539</v>
      </c>
      <c r="J8" t="s">
        <v>5538</v>
      </c>
    </row>
    <row r="9" spans="1:13" ht="15" customHeight="1" x14ac:dyDescent="0.25">
      <c r="A9" t="s">
        <v>5461</v>
      </c>
      <c r="B9" t="s">
        <v>5462</v>
      </c>
      <c r="C9" t="s">
        <v>5462</v>
      </c>
      <c r="D9" t="s">
        <v>5462</v>
      </c>
      <c r="E9" t="s">
        <v>4031</v>
      </c>
      <c r="F9" t="s">
        <v>39</v>
      </c>
      <c r="G9" t="s">
        <v>3467</v>
      </c>
      <c r="H9" t="s">
        <v>5540</v>
      </c>
      <c r="I9" t="s">
        <v>5541</v>
      </c>
      <c r="J9" t="s">
        <v>3870</v>
      </c>
    </row>
    <row r="10" spans="1:13" ht="15" customHeight="1" x14ac:dyDescent="0.25">
      <c r="A10" t="s">
        <v>5465</v>
      </c>
      <c r="B10" t="s">
        <v>5466</v>
      </c>
      <c r="C10" t="s">
        <v>5542</v>
      </c>
      <c r="D10" t="s">
        <v>5542</v>
      </c>
      <c r="E10" t="s">
        <v>4031</v>
      </c>
      <c r="F10" t="s">
        <v>39</v>
      </c>
      <c r="G10" t="s">
        <v>3467</v>
      </c>
      <c r="H10" t="s">
        <v>5543</v>
      </c>
      <c r="I10" t="s">
        <v>5539</v>
      </c>
      <c r="J10" t="s">
        <v>5543</v>
      </c>
    </row>
    <row r="11" spans="1:13" ht="15" customHeight="1" x14ac:dyDescent="0.25">
      <c r="A11" t="s">
        <v>5544</v>
      </c>
      <c r="B11" t="s">
        <v>5468</v>
      </c>
      <c r="C11" t="s">
        <v>5545</v>
      </c>
      <c r="D11" t="s">
        <v>5468</v>
      </c>
      <c r="E11" t="s">
        <v>187</v>
      </c>
      <c r="F11" t="s">
        <v>39</v>
      </c>
      <c r="G11" t="s">
        <v>3467</v>
      </c>
      <c r="H11" t="s">
        <v>5546</v>
      </c>
      <c r="I11" t="s">
        <v>5522</v>
      </c>
    </row>
    <row r="12" spans="1:13" ht="15" customHeight="1" x14ac:dyDescent="0.25">
      <c r="A12" t="s">
        <v>5469</v>
      </c>
      <c r="B12" t="s">
        <v>5470</v>
      </c>
      <c r="C12" t="s">
        <v>5547</v>
      </c>
      <c r="D12" t="s">
        <v>5470</v>
      </c>
      <c r="E12" t="s">
        <v>4031</v>
      </c>
      <c r="F12" t="s">
        <v>5458</v>
      </c>
      <c r="G12" t="s">
        <v>3467</v>
      </c>
      <c r="H12" t="s">
        <v>5548</v>
      </c>
      <c r="I12" t="s">
        <v>5518</v>
      </c>
      <c r="K12" t="s">
        <v>5549</v>
      </c>
      <c r="L12" t="s">
        <v>5550</v>
      </c>
    </row>
    <row r="13" spans="1:13" ht="15" customHeight="1" x14ac:dyDescent="0.25">
      <c r="A13" t="s">
        <v>5471</v>
      </c>
      <c r="B13" t="s">
        <v>5472</v>
      </c>
      <c r="C13" t="s">
        <v>5472</v>
      </c>
      <c r="D13" t="s">
        <v>5472</v>
      </c>
      <c r="E13" t="s">
        <v>4031</v>
      </c>
      <c r="F13" t="s">
        <v>39</v>
      </c>
      <c r="G13" t="s">
        <v>3467</v>
      </c>
      <c r="H13" t="s">
        <v>5551</v>
      </c>
      <c r="I13" t="s">
        <v>5539</v>
      </c>
      <c r="J13" t="s">
        <v>5551</v>
      </c>
    </row>
    <row r="14" spans="1:13" ht="15" customHeight="1" x14ac:dyDescent="0.25">
      <c r="A14" t="s">
        <v>5476</v>
      </c>
      <c r="B14" t="s">
        <v>5552</v>
      </c>
      <c r="C14" t="s">
        <v>5553</v>
      </c>
      <c r="D14" t="s">
        <v>5553</v>
      </c>
      <c r="E14" t="s">
        <v>4031</v>
      </c>
      <c r="F14" t="s">
        <v>39</v>
      </c>
      <c r="G14" t="s">
        <v>3467</v>
      </c>
      <c r="H14" t="s">
        <v>5554</v>
      </c>
      <c r="I14" t="s">
        <v>5518</v>
      </c>
    </row>
    <row r="15" spans="1:13" ht="15" customHeight="1" x14ac:dyDescent="0.25">
      <c r="A15" t="s">
        <v>5555</v>
      </c>
      <c r="B15" t="s">
        <v>5556</v>
      </c>
      <c r="C15" t="s">
        <v>5556</v>
      </c>
      <c r="D15" t="s">
        <v>5556</v>
      </c>
      <c r="E15" t="s">
        <v>4031</v>
      </c>
      <c r="F15" t="s">
        <v>5557</v>
      </c>
      <c r="G15" t="s">
        <v>3467</v>
      </c>
      <c r="H15" t="s">
        <v>5558</v>
      </c>
      <c r="I15" t="s">
        <v>5558</v>
      </c>
    </row>
    <row r="16" spans="1:13" ht="15" customHeight="1" x14ac:dyDescent="0.25">
      <c r="A16" t="s">
        <v>5559</v>
      </c>
      <c r="B16" t="s">
        <v>5560</v>
      </c>
      <c r="C16" t="s">
        <v>5560</v>
      </c>
      <c r="D16" t="s">
        <v>5560</v>
      </c>
      <c r="E16" t="s">
        <v>187</v>
      </c>
      <c r="F16" t="s">
        <v>5557</v>
      </c>
      <c r="G16" t="s">
        <v>3467</v>
      </c>
      <c r="H16" t="s">
        <v>5561</v>
      </c>
      <c r="I16" t="s">
        <v>5561</v>
      </c>
    </row>
    <row r="17" spans="1:12" ht="15" customHeight="1" x14ac:dyDescent="0.25">
      <c r="A17" t="s">
        <v>5483</v>
      </c>
      <c r="B17" t="s">
        <v>5484</v>
      </c>
      <c r="C17" t="s">
        <v>5562</v>
      </c>
      <c r="D17" t="s">
        <v>5562</v>
      </c>
      <c r="E17" t="s">
        <v>4031</v>
      </c>
      <c r="F17" t="s">
        <v>39</v>
      </c>
      <c r="G17" t="s">
        <v>3467</v>
      </c>
      <c r="H17" t="s">
        <v>5563</v>
      </c>
      <c r="I17" t="s">
        <v>5518</v>
      </c>
    </row>
    <row r="18" spans="1:12" ht="15" customHeight="1" x14ac:dyDescent="0.25">
      <c r="A18" t="s">
        <v>5564</v>
      </c>
      <c r="B18" t="s">
        <v>5565</v>
      </c>
      <c r="C18" t="s">
        <v>5565</v>
      </c>
      <c r="D18" t="s">
        <v>5566</v>
      </c>
      <c r="E18" t="s">
        <v>187</v>
      </c>
      <c r="F18" t="s">
        <v>5458</v>
      </c>
      <c r="G18" t="s">
        <v>3467</v>
      </c>
      <c r="H18" t="s">
        <v>5567</v>
      </c>
      <c r="I18" t="s">
        <v>5568</v>
      </c>
    </row>
    <row r="19" spans="1:12" ht="15" customHeight="1" x14ac:dyDescent="0.25">
      <c r="A19" t="s">
        <v>5486</v>
      </c>
      <c r="B19" t="s">
        <v>5487</v>
      </c>
      <c r="C19" t="s">
        <v>5569</v>
      </c>
      <c r="D19" t="s">
        <v>5487</v>
      </c>
      <c r="E19" t="s">
        <v>4031</v>
      </c>
      <c r="F19" t="s">
        <v>5458</v>
      </c>
      <c r="G19" t="s">
        <v>3467</v>
      </c>
      <c r="H19" t="s">
        <v>5570</v>
      </c>
      <c r="I19" t="s">
        <v>5518</v>
      </c>
    </row>
    <row r="20" spans="1:12" ht="15" customHeight="1" x14ac:dyDescent="0.25">
      <c r="A20" t="s">
        <v>5495</v>
      </c>
      <c r="B20" t="s">
        <v>5571</v>
      </c>
      <c r="C20" t="s">
        <v>5572</v>
      </c>
      <c r="D20" t="s">
        <v>5571</v>
      </c>
      <c r="E20" t="s">
        <v>4031</v>
      </c>
      <c r="F20" t="s">
        <v>5458</v>
      </c>
      <c r="G20" t="s">
        <v>3467</v>
      </c>
      <c r="H20" t="s">
        <v>5573</v>
      </c>
      <c r="I20" t="s">
        <v>5518</v>
      </c>
    </row>
    <row r="21" spans="1:12" ht="15" customHeight="1" x14ac:dyDescent="0.25">
      <c r="A21" t="s">
        <v>5497</v>
      </c>
      <c r="B21" t="s">
        <v>5574</v>
      </c>
      <c r="C21" t="s">
        <v>5526</v>
      </c>
      <c r="D21" t="s">
        <v>5574</v>
      </c>
      <c r="E21" t="s">
        <v>4031</v>
      </c>
      <c r="F21" t="s">
        <v>5458</v>
      </c>
      <c r="G21" t="s">
        <v>3467</v>
      </c>
      <c r="H21" t="s">
        <v>5575</v>
      </c>
      <c r="I21" t="s">
        <v>5518</v>
      </c>
      <c r="K21" t="s">
        <v>5576</v>
      </c>
      <c r="L21" t="s">
        <v>5529</v>
      </c>
    </row>
    <row r="22" spans="1:12" ht="15" customHeight="1" x14ac:dyDescent="0.25">
      <c r="A22" t="s">
        <v>5499</v>
      </c>
      <c r="B22" t="s">
        <v>5577</v>
      </c>
      <c r="C22" t="s">
        <v>5577</v>
      </c>
      <c r="D22" t="s">
        <v>5577</v>
      </c>
      <c r="E22" t="s">
        <v>4031</v>
      </c>
      <c r="F22" t="s">
        <v>4462</v>
      </c>
      <c r="G22" t="s">
        <v>3467</v>
      </c>
      <c r="H22" t="s">
        <v>5578</v>
      </c>
      <c r="I22" t="s">
        <v>5579</v>
      </c>
    </row>
    <row r="23" spans="1:12" ht="15" customHeight="1" x14ac:dyDescent="0.25">
      <c r="A23" t="s">
        <v>5502</v>
      </c>
      <c r="B23" t="s">
        <v>5503</v>
      </c>
      <c r="C23" t="s">
        <v>5503</v>
      </c>
      <c r="D23" t="s">
        <v>5503</v>
      </c>
      <c r="E23" t="s">
        <v>4031</v>
      </c>
      <c r="F23" t="s">
        <v>39</v>
      </c>
      <c r="G23" t="s">
        <v>3467</v>
      </c>
      <c r="H23" t="s">
        <v>5580</v>
      </c>
      <c r="I23" t="s">
        <v>5541</v>
      </c>
      <c r="J23" t="s">
        <v>5581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5582</v>
      </c>
      <c r="D1" t="s">
        <v>5583</v>
      </c>
      <c r="E1" t="s">
        <v>5584</v>
      </c>
      <c r="F1" t="s">
        <v>5585</v>
      </c>
      <c r="G1" t="s">
        <v>5586</v>
      </c>
      <c r="H1" t="s">
        <v>5587</v>
      </c>
      <c r="I1" t="s">
        <v>5588</v>
      </c>
      <c r="J1" t="s">
        <v>5589</v>
      </c>
      <c r="K1" t="s">
        <v>3513</v>
      </c>
      <c r="L1" t="s">
        <v>4043</v>
      </c>
      <c r="M1" t="s">
        <v>171</v>
      </c>
    </row>
    <row r="2" spans="1:13" ht="15" customHeight="1" x14ac:dyDescent="0.25">
      <c r="A2" t="s">
        <v>5590</v>
      </c>
      <c r="B2" t="s">
        <v>3530</v>
      </c>
      <c r="C2" t="s">
        <v>5591</v>
      </c>
      <c r="D2" t="s">
        <v>101</v>
      </c>
      <c r="E2" t="s">
        <v>5591</v>
      </c>
      <c r="F2" t="s">
        <v>101</v>
      </c>
      <c r="G2" t="s">
        <v>5591</v>
      </c>
      <c r="H2" t="s">
        <v>101</v>
      </c>
      <c r="I2" t="s">
        <v>5591</v>
      </c>
      <c r="J2" t="s">
        <v>101</v>
      </c>
      <c r="K2" t="s">
        <v>2155</v>
      </c>
      <c r="L2" t="s">
        <v>4076</v>
      </c>
    </row>
    <row r="3" spans="1:13" ht="15" customHeight="1" x14ac:dyDescent="0.25">
      <c r="A3" t="s">
        <v>4047</v>
      </c>
      <c r="B3" t="s">
        <v>3530</v>
      </c>
      <c r="C3" t="s">
        <v>5592</v>
      </c>
      <c r="D3" t="s">
        <v>5593</v>
      </c>
      <c r="E3" t="s">
        <v>5594</v>
      </c>
      <c r="F3" t="s">
        <v>5595</v>
      </c>
      <c r="G3" t="s">
        <v>5596</v>
      </c>
      <c r="H3" t="s">
        <v>5597</v>
      </c>
      <c r="I3" t="s">
        <v>5598</v>
      </c>
      <c r="J3" t="s">
        <v>5599</v>
      </c>
      <c r="K3" t="s">
        <v>2155</v>
      </c>
      <c r="L3" t="s">
        <v>4048</v>
      </c>
    </row>
    <row r="4" spans="1:13" ht="15" customHeight="1" x14ac:dyDescent="0.25">
      <c r="A4" t="s">
        <v>4053</v>
      </c>
      <c r="B4" t="s">
        <v>3530</v>
      </c>
      <c r="C4" t="s">
        <v>5600</v>
      </c>
      <c r="D4" t="s">
        <v>5601</v>
      </c>
      <c r="E4" t="s">
        <v>5602</v>
      </c>
      <c r="F4" t="s">
        <v>5603</v>
      </c>
      <c r="G4" t="s">
        <v>5604</v>
      </c>
      <c r="H4" t="s">
        <v>5605</v>
      </c>
      <c r="I4" t="s">
        <v>5606</v>
      </c>
      <c r="J4" t="s">
        <v>5607</v>
      </c>
      <c r="K4" t="s">
        <v>1285</v>
      </c>
      <c r="L4" t="s">
        <v>4048</v>
      </c>
      <c r="M4" t="s">
        <v>4056</v>
      </c>
    </row>
    <row r="5" spans="1:13" ht="15" customHeight="1" x14ac:dyDescent="0.25">
      <c r="A5" t="s">
        <v>5608</v>
      </c>
      <c r="B5" t="s">
        <v>3530</v>
      </c>
      <c r="C5" t="s">
        <v>5609</v>
      </c>
      <c r="D5" t="s">
        <v>5610</v>
      </c>
      <c r="E5" t="s">
        <v>5611</v>
      </c>
      <c r="F5" t="s">
        <v>5612</v>
      </c>
      <c r="G5" t="s">
        <v>5613</v>
      </c>
      <c r="H5" t="s">
        <v>5614</v>
      </c>
      <c r="I5" t="s">
        <v>5615</v>
      </c>
      <c r="J5" t="s">
        <v>5616</v>
      </c>
      <c r="K5" t="s">
        <v>1726</v>
      </c>
      <c r="L5" t="s">
        <v>4065</v>
      </c>
    </row>
    <row r="6" spans="1:13" ht="15" customHeight="1" x14ac:dyDescent="0.25">
      <c r="A6" t="s">
        <v>4059</v>
      </c>
      <c r="B6" t="s">
        <v>41</v>
      </c>
      <c r="C6" t="s">
        <v>5617</v>
      </c>
      <c r="D6" t="s">
        <v>5618</v>
      </c>
      <c r="E6" t="s">
        <v>5619</v>
      </c>
      <c r="F6" t="s">
        <v>5620</v>
      </c>
      <c r="G6" t="s">
        <v>5621</v>
      </c>
      <c r="H6" t="s">
        <v>5622</v>
      </c>
      <c r="I6" t="s">
        <v>5623</v>
      </c>
      <c r="J6" t="s">
        <v>5624</v>
      </c>
      <c r="K6" t="s">
        <v>2155</v>
      </c>
      <c r="L6" t="s">
        <v>4048</v>
      </c>
    </row>
    <row r="7" spans="1:13" ht="15" customHeight="1" x14ac:dyDescent="0.25">
      <c r="A7" t="s">
        <v>5625</v>
      </c>
      <c r="B7" t="s">
        <v>41</v>
      </c>
      <c r="C7" t="s">
        <v>5626</v>
      </c>
      <c r="D7" t="s">
        <v>5627</v>
      </c>
      <c r="E7" t="s">
        <v>5628</v>
      </c>
      <c r="F7" t="s">
        <v>5629</v>
      </c>
      <c r="G7" t="s">
        <v>5630</v>
      </c>
      <c r="H7" t="s">
        <v>5631</v>
      </c>
      <c r="I7" t="s">
        <v>5632</v>
      </c>
      <c r="J7" t="s">
        <v>5633</v>
      </c>
      <c r="K7" t="s">
        <v>2155</v>
      </c>
      <c r="L7" t="s">
        <v>4065</v>
      </c>
      <c r="M7" t="s">
        <v>5634</v>
      </c>
    </row>
    <row r="8" spans="1:13" ht="15" customHeight="1" x14ac:dyDescent="0.25">
      <c r="A8" t="s">
        <v>4082</v>
      </c>
      <c r="B8" t="s">
        <v>3530</v>
      </c>
      <c r="C8" t="s">
        <v>5635</v>
      </c>
      <c r="D8" t="s">
        <v>5636</v>
      </c>
      <c r="E8" t="s">
        <v>5637</v>
      </c>
      <c r="F8" t="s">
        <v>5638</v>
      </c>
      <c r="G8" t="s">
        <v>5639</v>
      </c>
      <c r="H8" t="s">
        <v>5640</v>
      </c>
      <c r="I8" t="s">
        <v>5641</v>
      </c>
      <c r="J8" t="s">
        <v>5642</v>
      </c>
      <c r="K8" t="s">
        <v>1285</v>
      </c>
      <c r="L8" t="s">
        <v>4048</v>
      </c>
    </row>
    <row r="9" spans="1:13" ht="15" customHeight="1" x14ac:dyDescent="0.25">
      <c r="A9" t="s">
        <v>4064</v>
      </c>
      <c r="B9" t="s">
        <v>41</v>
      </c>
      <c r="C9" t="s">
        <v>5643</v>
      </c>
      <c r="D9" t="s">
        <v>5644</v>
      </c>
      <c r="E9" t="s">
        <v>5645</v>
      </c>
      <c r="F9" t="s">
        <v>5646</v>
      </c>
      <c r="G9" t="s">
        <v>5647</v>
      </c>
      <c r="H9" t="s">
        <v>5648</v>
      </c>
      <c r="I9" t="s">
        <v>5649</v>
      </c>
      <c r="J9" t="s">
        <v>5650</v>
      </c>
      <c r="K9" t="s">
        <v>2155</v>
      </c>
      <c r="L9" t="s">
        <v>4065</v>
      </c>
      <c r="M9" t="s">
        <v>4068</v>
      </c>
    </row>
    <row r="10" spans="1:13" ht="15" customHeight="1" x14ac:dyDescent="0.25">
      <c r="A10" t="s">
        <v>4071</v>
      </c>
      <c r="B10" t="s">
        <v>3530</v>
      </c>
      <c r="C10" t="s">
        <v>5651</v>
      </c>
      <c r="D10" t="s">
        <v>5652</v>
      </c>
      <c r="E10" t="s">
        <v>5653</v>
      </c>
      <c r="F10" t="s">
        <v>5654</v>
      </c>
      <c r="G10" t="s">
        <v>5655</v>
      </c>
      <c r="H10" t="s">
        <v>4072</v>
      </c>
      <c r="I10" t="s">
        <v>5656</v>
      </c>
      <c r="J10" t="s">
        <v>5657</v>
      </c>
      <c r="K10" t="s">
        <v>2155</v>
      </c>
      <c r="L10" t="s">
        <v>4065</v>
      </c>
    </row>
    <row r="11" spans="1:13" ht="15" customHeight="1" x14ac:dyDescent="0.25">
      <c r="A11" t="s">
        <v>5658</v>
      </c>
      <c r="B11" t="s">
        <v>3530</v>
      </c>
      <c r="C11" t="s">
        <v>5659</v>
      </c>
      <c r="D11" t="s">
        <v>5660</v>
      </c>
      <c r="E11" t="s">
        <v>5661</v>
      </c>
      <c r="F11" t="s">
        <v>5662</v>
      </c>
      <c r="G11" t="s">
        <v>5663</v>
      </c>
      <c r="H11" t="s">
        <v>5664</v>
      </c>
      <c r="I11" t="s">
        <v>5665</v>
      </c>
      <c r="J11" t="s">
        <v>5666</v>
      </c>
      <c r="K11" t="s">
        <v>2155</v>
      </c>
      <c r="L11" t="s">
        <v>4048</v>
      </c>
    </row>
    <row r="12" spans="1:13" ht="15" customHeight="1" x14ac:dyDescent="0.25">
      <c r="A12" t="s">
        <v>5667</v>
      </c>
      <c r="B12" t="s">
        <v>41</v>
      </c>
      <c r="C12" t="s">
        <v>5668</v>
      </c>
      <c r="D12" t="s">
        <v>5669</v>
      </c>
      <c r="E12" t="s">
        <v>5670</v>
      </c>
      <c r="F12" t="s">
        <v>5671</v>
      </c>
      <c r="G12" t="s">
        <v>5672</v>
      </c>
      <c r="H12" t="s">
        <v>5673</v>
      </c>
      <c r="I12" t="s">
        <v>5674</v>
      </c>
      <c r="J12" t="s">
        <v>5675</v>
      </c>
      <c r="K12" t="s">
        <v>2155</v>
      </c>
      <c r="L12" t="s">
        <v>4076</v>
      </c>
      <c r="M12" t="s">
        <v>4079</v>
      </c>
    </row>
    <row r="13" spans="1:13" ht="15" customHeight="1" x14ac:dyDescent="0.25">
      <c r="A13" t="s">
        <v>5676</v>
      </c>
      <c r="B13" t="s">
        <v>3518</v>
      </c>
      <c r="C13" t="s">
        <v>5677</v>
      </c>
      <c r="D13" t="s">
        <v>5678</v>
      </c>
      <c r="E13" t="s">
        <v>5679</v>
      </c>
      <c r="F13" t="s">
        <v>5680</v>
      </c>
      <c r="G13" t="s">
        <v>5681</v>
      </c>
      <c r="H13" t="s">
        <v>5682</v>
      </c>
      <c r="I13" t="s">
        <v>5683</v>
      </c>
      <c r="J13" t="s">
        <v>5684</v>
      </c>
      <c r="K13" t="s">
        <v>2155</v>
      </c>
      <c r="L13" t="s">
        <v>4065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4195</v>
      </c>
      <c r="B2" t="s">
        <v>41</v>
      </c>
      <c r="C2" t="s">
        <v>5685</v>
      </c>
      <c r="D2" t="s">
        <v>90</v>
      </c>
      <c r="E2" t="s">
        <v>4196</v>
      </c>
    </row>
    <row r="3" spans="1:5" ht="15" customHeight="1" x14ac:dyDescent="0.25">
      <c r="A3" t="s">
        <v>4197</v>
      </c>
      <c r="B3" t="s">
        <v>41</v>
      </c>
      <c r="C3" t="s">
        <v>5686</v>
      </c>
      <c r="D3" t="s">
        <v>90</v>
      </c>
      <c r="E3" t="s">
        <v>4200</v>
      </c>
    </row>
    <row r="4" spans="1:5" ht="15" customHeight="1" x14ac:dyDescent="0.25">
      <c r="A4" t="s">
        <v>5687</v>
      </c>
      <c r="B4" t="s">
        <v>41</v>
      </c>
      <c r="C4" t="s">
        <v>5688</v>
      </c>
      <c r="D4" t="s">
        <v>90</v>
      </c>
      <c r="E4" t="s">
        <v>5689</v>
      </c>
    </row>
    <row r="5" spans="1:5" ht="15" customHeight="1" x14ac:dyDescent="0.25">
      <c r="A5" t="s">
        <v>5690</v>
      </c>
      <c r="B5" t="s">
        <v>41</v>
      </c>
      <c r="C5" t="s">
        <v>5691</v>
      </c>
      <c r="D5" t="s">
        <v>90</v>
      </c>
      <c r="E5" t="s">
        <v>5692</v>
      </c>
    </row>
    <row r="6" spans="1:5" ht="15" customHeight="1" x14ac:dyDescent="0.25">
      <c r="A6" t="s">
        <v>5693</v>
      </c>
      <c r="B6" t="s">
        <v>41</v>
      </c>
      <c r="C6" t="s">
        <v>5694</v>
      </c>
      <c r="D6" t="s">
        <v>90</v>
      </c>
      <c r="E6" t="s">
        <v>5695</v>
      </c>
    </row>
    <row r="7" spans="1:5" ht="15" customHeight="1" x14ac:dyDescent="0.25">
      <c r="A7" t="s">
        <v>4201</v>
      </c>
      <c r="B7" t="s">
        <v>41</v>
      </c>
      <c r="C7" t="s">
        <v>5696</v>
      </c>
      <c r="D7" t="s">
        <v>90</v>
      </c>
      <c r="E7" t="s">
        <v>4206</v>
      </c>
    </row>
    <row r="8" spans="1:5" ht="15" customHeight="1" x14ac:dyDescent="0.25">
      <c r="A8" t="s">
        <v>4207</v>
      </c>
      <c r="B8" t="s">
        <v>41</v>
      </c>
      <c r="C8" t="s">
        <v>5697</v>
      </c>
      <c r="D8" t="s">
        <v>90</v>
      </c>
      <c r="E8" t="s">
        <v>4212</v>
      </c>
    </row>
    <row r="9" spans="1:5" ht="15" customHeight="1" x14ac:dyDescent="0.25">
      <c r="A9" t="s">
        <v>4213</v>
      </c>
      <c r="B9" t="s">
        <v>3518</v>
      </c>
      <c r="C9" t="s">
        <v>5698</v>
      </c>
      <c r="D9" t="s">
        <v>90</v>
      </c>
      <c r="E9" t="s">
        <v>4216</v>
      </c>
    </row>
    <row r="10" spans="1:5" ht="15" customHeight="1" x14ac:dyDescent="0.25">
      <c r="A10" t="s">
        <v>4217</v>
      </c>
      <c r="B10" t="s">
        <v>41</v>
      </c>
      <c r="C10" t="s">
        <v>5699</v>
      </c>
      <c r="D10" t="s">
        <v>90</v>
      </c>
      <c r="E10" t="s">
        <v>4222</v>
      </c>
    </row>
    <row r="11" spans="1:5" ht="15" customHeight="1" x14ac:dyDescent="0.25">
      <c r="A11" t="s">
        <v>4223</v>
      </c>
      <c r="B11" t="s">
        <v>41</v>
      </c>
      <c r="C11" t="s">
        <v>5700</v>
      </c>
      <c r="D11" t="s">
        <v>90</v>
      </c>
      <c r="E11" t="s">
        <v>4228</v>
      </c>
    </row>
    <row r="12" spans="1:5" ht="15" customHeight="1" x14ac:dyDescent="0.25">
      <c r="A12" t="s">
        <v>4229</v>
      </c>
      <c r="B12" t="s">
        <v>41</v>
      </c>
      <c r="C12" t="s">
        <v>5701</v>
      </c>
      <c r="D12" t="s">
        <v>90</v>
      </c>
      <c r="E12" t="s">
        <v>4234</v>
      </c>
    </row>
    <row r="13" spans="1:5" ht="15" customHeight="1" x14ac:dyDescent="0.25">
      <c r="A13" t="s">
        <v>5702</v>
      </c>
      <c r="B13" t="s">
        <v>3530</v>
      </c>
      <c r="C13" t="s">
        <v>5703</v>
      </c>
      <c r="D13" t="s">
        <v>90</v>
      </c>
      <c r="E13" t="s">
        <v>5704</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4567</v>
      </c>
      <c r="E1" t="s">
        <v>5705</v>
      </c>
      <c r="F1" t="s">
        <v>5706</v>
      </c>
      <c r="G1" t="s">
        <v>5707</v>
      </c>
      <c r="H1" t="s">
        <v>5708</v>
      </c>
      <c r="I1" t="s">
        <v>3458</v>
      </c>
      <c r="J1" t="s">
        <v>5709</v>
      </c>
      <c r="K1" t="s">
        <v>3452</v>
      </c>
      <c r="L1" t="s">
        <v>5710</v>
      </c>
      <c r="M1" t="s">
        <v>3861</v>
      </c>
      <c r="N1" t="s">
        <v>5711</v>
      </c>
      <c r="O1" t="s">
        <v>5712</v>
      </c>
      <c r="P1" t="s">
        <v>3459</v>
      </c>
      <c r="Q1" t="s">
        <v>3460</v>
      </c>
      <c r="R1" t="s">
        <v>3461</v>
      </c>
      <c r="S1" t="s">
        <v>5713</v>
      </c>
      <c r="T1" t="s">
        <v>5714</v>
      </c>
      <c r="U1" t="s">
        <v>5715</v>
      </c>
      <c r="V1" t="s">
        <v>5716</v>
      </c>
      <c r="W1" t="s">
        <v>5717</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5718</v>
      </c>
      <c r="R2" t="s">
        <v>3502</v>
      </c>
      <c r="S2" t="s">
        <v>5458</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5719</v>
      </c>
      <c r="Q3" t="s">
        <v>5720</v>
      </c>
      <c r="R3" t="s">
        <v>3482</v>
      </c>
      <c r="S3" t="s">
        <v>5475</v>
      </c>
      <c r="T3">
        <v>5</v>
      </c>
      <c r="U3">
        <v>4</v>
      </c>
      <c r="V3" t="s">
        <v>5721</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5722</v>
      </c>
      <c r="R4" t="s">
        <v>3510</v>
      </c>
      <c r="S4" t="s">
        <v>4584</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5723</v>
      </c>
      <c r="R5" t="s">
        <v>3491</v>
      </c>
      <c r="S5" t="s">
        <v>5724</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5725</v>
      </c>
      <c r="Q6" t="s">
        <v>5726</v>
      </c>
      <c r="R6" t="s">
        <v>3477</v>
      </c>
      <c r="S6" t="s">
        <v>5458</v>
      </c>
      <c r="T6">
        <v>5</v>
      </c>
      <c r="U6">
        <v>4</v>
      </c>
      <c r="V6" t="s">
        <v>3451</v>
      </c>
      <c r="X6" t="s">
        <v>3478</v>
      </c>
    </row>
    <row r="7" spans="1:24" ht="15" customHeight="1" x14ac:dyDescent="0.25">
      <c r="A7" t="s">
        <v>5727</v>
      </c>
      <c r="B7" t="s">
        <v>90</v>
      </c>
      <c r="C7">
        <v>70</v>
      </c>
      <c r="D7">
        <v>3</v>
      </c>
      <c r="E7">
        <v>0</v>
      </c>
      <c r="F7">
        <v>2</v>
      </c>
      <c r="G7">
        <v>0</v>
      </c>
      <c r="H7">
        <v>0</v>
      </c>
      <c r="I7">
        <v>0</v>
      </c>
      <c r="J7">
        <v>0</v>
      </c>
      <c r="K7">
        <v>0</v>
      </c>
      <c r="L7">
        <v>0</v>
      </c>
      <c r="M7">
        <v>0</v>
      </c>
      <c r="N7">
        <v>0</v>
      </c>
      <c r="O7">
        <v>0</v>
      </c>
      <c r="P7" t="s">
        <v>5725</v>
      </c>
      <c r="Q7" t="s">
        <v>5728</v>
      </c>
      <c r="R7" t="s">
        <v>5729</v>
      </c>
      <c r="S7" t="s">
        <v>5458</v>
      </c>
      <c r="T7">
        <v>5</v>
      </c>
      <c r="U7">
        <v>5</v>
      </c>
      <c r="V7" t="s">
        <v>5730</v>
      </c>
      <c r="W7" t="s">
        <v>5731</v>
      </c>
      <c r="X7" t="s">
        <v>4836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5732</v>
      </c>
      <c r="E1" t="s">
        <v>3461</v>
      </c>
      <c r="F1" t="s">
        <v>5733</v>
      </c>
      <c r="G1" t="s">
        <v>5734</v>
      </c>
      <c r="H1" t="s">
        <v>4294</v>
      </c>
      <c r="I1" t="s">
        <v>1</v>
      </c>
      <c r="J1" t="s">
        <v>170</v>
      </c>
    </row>
    <row r="2" spans="1:10" ht="15" customHeight="1" x14ac:dyDescent="0.25">
      <c r="A2" t="s">
        <v>5735</v>
      </c>
      <c r="B2" t="s">
        <v>3530</v>
      </c>
      <c r="C2" t="s">
        <v>4631</v>
      </c>
      <c r="D2">
        <v>1</v>
      </c>
      <c r="E2" t="s">
        <v>5736</v>
      </c>
      <c r="F2" t="s">
        <v>5737</v>
      </c>
      <c r="G2">
        <v>1</v>
      </c>
      <c r="H2" t="s">
        <v>5735</v>
      </c>
      <c r="I2" t="s">
        <v>90</v>
      </c>
      <c r="J2" t="s">
        <v>5738</v>
      </c>
    </row>
    <row r="3" spans="1:10" ht="15" customHeight="1" x14ac:dyDescent="0.25">
      <c r="A3" t="s">
        <v>5739</v>
      </c>
      <c r="B3" t="s">
        <v>41</v>
      </c>
      <c r="C3" t="s">
        <v>5394</v>
      </c>
      <c r="D3">
        <v>1</v>
      </c>
      <c r="E3" t="s">
        <v>5740</v>
      </c>
      <c r="F3" t="s">
        <v>5741</v>
      </c>
      <c r="G3">
        <v>1</v>
      </c>
      <c r="H3" t="s">
        <v>5739</v>
      </c>
      <c r="I3" t="s">
        <v>90</v>
      </c>
      <c r="J3" t="s">
        <v>5742</v>
      </c>
    </row>
    <row r="4" spans="1:10" ht="15" customHeight="1" x14ac:dyDescent="0.25">
      <c r="A4" t="s">
        <v>5743</v>
      </c>
      <c r="B4" t="s">
        <v>3518</v>
      </c>
      <c r="C4" t="s">
        <v>5394</v>
      </c>
      <c r="D4">
        <v>0</v>
      </c>
      <c r="E4" t="s">
        <v>5744</v>
      </c>
      <c r="F4" t="s">
        <v>5745</v>
      </c>
      <c r="G4">
        <v>0</v>
      </c>
      <c r="H4" t="s">
        <v>5743</v>
      </c>
      <c r="I4" t="s">
        <v>90</v>
      </c>
      <c r="J4" t="s">
        <v>5746</v>
      </c>
    </row>
    <row r="5" spans="1:10" ht="15" customHeight="1" x14ac:dyDescent="0.25">
      <c r="A5" t="s">
        <v>5747</v>
      </c>
      <c r="B5" t="s">
        <v>3518</v>
      </c>
      <c r="C5" t="s">
        <v>4631</v>
      </c>
      <c r="D5">
        <v>1</v>
      </c>
      <c r="E5" t="s">
        <v>5748</v>
      </c>
      <c r="F5" t="s">
        <v>5749</v>
      </c>
      <c r="G5">
        <v>1</v>
      </c>
      <c r="H5" t="s">
        <v>5750</v>
      </c>
      <c r="I5" t="s">
        <v>90</v>
      </c>
      <c r="J5" t="s">
        <v>5751</v>
      </c>
    </row>
    <row r="6" spans="1:10" ht="15" customHeight="1" x14ac:dyDescent="0.25">
      <c r="A6" t="s">
        <v>5752</v>
      </c>
      <c r="B6" t="s">
        <v>3518</v>
      </c>
      <c r="C6" t="s">
        <v>5394</v>
      </c>
      <c r="D6">
        <v>1</v>
      </c>
      <c r="E6" t="s">
        <v>5753</v>
      </c>
      <c r="F6" t="s">
        <v>5753</v>
      </c>
      <c r="G6">
        <v>0</v>
      </c>
      <c r="H6" t="s">
        <v>5752</v>
      </c>
      <c r="I6" t="s">
        <v>90</v>
      </c>
      <c r="J6" t="s">
        <v>5754</v>
      </c>
    </row>
    <row r="7" spans="1:10" ht="15" customHeight="1" x14ac:dyDescent="0.25">
      <c r="A7" t="s">
        <v>5755</v>
      </c>
      <c r="B7" t="s">
        <v>3518</v>
      </c>
      <c r="C7" t="s">
        <v>5756</v>
      </c>
      <c r="D7">
        <v>2</v>
      </c>
      <c r="E7" t="s">
        <v>5757</v>
      </c>
      <c r="F7" t="s">
        <v>5758</v>
      </c>
      <c r="G7">
        <v>2</v>
      </c>
      <c r="H7" t="s">
        <v>5759</v>
      </c>
      <c r="I7" t="s">
        <v>90</v>
      </c>
      <c r="J7" t="s">
        <v>5760</v>
      </c>
    </row>
    <row r="8" spans="1:10" ht="15" customHeight="1" x14ac:dyDescent="0.25">
      <c r="A8" t="s">
        <v>5761</v>
      </c>
      <c r="B8" t="s">
        <v>3530</v>
      </c>
      <c r="C8" t="s">
        <v>5756</v>
      </c>
      <c r="D8">
        <v>1</v>
      </c>
      <c r="E8" t="s">
        <v>5762</v>
      </c>
      <c r="F8" t="s">
        <v>5763</v>
      </c>
      <c r="G8">
        <v>1</v>
      </c>
      <c r="H8" t="s">
        <v>5764</v>
      </c>
      <c r="I8" t="s">
        <v>90</v>
      </c>
      <c r="J8" t="s">
        <v>5765</v>
      </c>
    </row>
    <row r="9" spans="1:10" ht="15" customHeight="1" x14ac:dyDescent="0.25">
      <c r="A9" t="s">
        <v>5766</v>
      </c>
      <c r="B9" t="s">
        <v>41</v>
      </c>
      <c r="C9" t="s">
        <v>5756</v>
      </c>
      <c r="D9">
        <v>0</v>
      </c>
      <c r="E9" t="s">
        <v>5767</v>
      </c>
      <c r="F9" t="s">
        <v>5768</v>
      </c>
      <c r="G9">
        <v>0</v>
      </c>
      <c r="H9" t="s">
        <v>5766</v>
      </c>
      <c r="I9" t="s">
        <v>90</v>
      </c>
      <c r="J9" t="s">
        <v>5769</v>
      </c>
    </row>
    <row r="10" spans="1:10" ht="15" customHeight="1" x14ac:dyDescent="0.25">
      <c r="A10" t="s">
        <v>5770</v>
      </c>
      <c r="B10" t="s">
        <v>41</v>
      </c>
      <c r="C10" t="s">
        <v>5394</v>
      </c>
      <c r="D10">
        <v>1</v>
      </c>
      <c r="E10" t="s">
        <v>5771</v>
      </c>
      <c r="F10" t="s">
        <v>5772</v>
      </c>
      <c r="G10">
        <v>1</v>
      </c>
      <c r="H10" t="s">
        <v>5770</v>
      </c>
      <c r="I10" t="s">
        <v>90</v>
      </c>
      <c r="J10" t="s">
        <v>5773</v>
      </c>
    </row>
    <row r="11" spans="1:10" ht="15" customHeight="1" x14ac:dyDescent="0.25">
      <c r="A11" t="s">
        <v>5774</v>
      </c>
      <c r="B11" t="s">
        <v>41</v>
      </c>
      <c r="C11" t="s">
        <v>5394</v>
      </c>
      <c r="D11">
        <v>1</v>
      </c>
      <c r="E11" t="s">
        <v>5775</v>
      </c>
      <c r="F11" t="s">
        <v>5776</v>
      </c>
      <c r="G11">
        <v>1</v>
      </c>
      <c r="H11" t="s">
        <v>5774</v>
      </c>
      <c r="I11" t="s">
        <v>90</v>
      </c>
      <c r="J11" t="s">
        <v>5777</v>
      </c>
    </row>
    <row r="12" spans="1:10" ht="15" customHeight="1" x14ac:dyDescent="0.25">
      <c r="A12" t="s">
        <v>5778</v>
      </c>
      <c r="B12" t="s">
        <v>3530</v>
      </c>
      <c r="C12" t="s">
        <v>5756</v>
      </c>
      <c r="D12">
        <v>0</v>
      </c>
      <c r="E12" t="s">
        <v>5779</v>
      </c>
      <c r="F12" t="s">
        <v>5780</v>
      </c>
      <c r="G12">
        <v>0</v>
      </c>
      <c r="H12" t="s">
        <v>5778</v>
      </c>
      <c r="I12" t="s">
        <v>90</v>
      </c>
      <c r="J12" t="s">
        <v>5781</v>
      </c>
    </row>
    <row r="13" spans="1:10" ht="15" customHeight="1" x14ac:dyDescent="0.25">
      <c r="A13" t="s">
        <v>4461</v>
      </c>
      <c r="B13" t="s">
        <v>3530</v>
      </c>
      <c r="C13" t="s">
        <v>5394</v>
      </c>
      <c r="D13">
        <v>1</v>
      </c>
      <c r="E13" t="s">
        <v>5782</v>
      </c>
      <c r="F13" t="s">
        <v>5782</v>
      </c>
      <c r="G13">
        <v>1</v>
      </c>
      <c r="H13" t="s">
        <v>4466</v>
      </c>
      <c r="I13" t="s">
        <v>1650</v>
      </c>
      <c r="J13" t="s">
        <v>5783</v>
      </c>
    </row>
    <row r="14" spans="1:10" ht="15" customHeight="1" x14ac:dyDescent="0.25">
      <c r="A14" t="s">
        <v>5784</v>
      </c>
      <c r="B14" t="s">
        <v>41</v>
      </c>
      <c r="C14" t="s">
        <v>5756</v>
      </c>
      <c r="D14">
        <v>1</v>
      </c>
      <c r="E14" t="s">
        <v>5785</v>
      </c>
      <c r="F14" t="s">
        <v>5786</v>
      </c>
      <c r="G14">
        <v>1</v>
      </c>
      <c r="H14" t="s">
        <v>5784</v>
      </c>
      <c r="I14" t="s">
        <v>90</v>
      </c>
      <c r="J14" t="s">
        <v>5787</v>
      </c>
    </row>
    <row r="15" spans="1:10" ht="15" customHeight="1" x14ac:dyDescent="0.25">
      <c r="A15" t="s">
        <v>4472</v>
      </c>
      <c r="B15" t="s">
        <v>3530</v>
      </c>
      <c r="C15" t="s">
        <v>5756</v>
      </c>
      <c r="D15">
        <v>1</v>
      </c>
      <c r="E15" t="s">
        <v>5788</v>
      </c>
      <c r="F15" t="s">
        <v>5788</v>
      </c>
      <c r="G15">
        <v>1</v>
      </c>
      <c r="H15" t="s">
        <v>4472</v>
      </c>
      <c r="I15" t="s">
        <v>1047</v>
      </c>
      <c r="J15" t="s">
        <v>5789</v>
      </c>
    </row>
    <row r="16" spans="1:10" ht="15" customHeight="1" x14ac:dyDescent="0.25">
      <c r="A16" t="s">
        <v>3537</v>
      </c>
      <c r="B16" t="s">
        <v>3518</v>
      </c>
      <c r="C16" t="s">
        <v>4631</v>
      </c>
      <c r="D16">
        <v>3</v>
      </c>
      <c r="E16" t="s">
        <v>5790</v>
      </c>
      <c r="F16" t="s">
        <v>5790</v>
      </c>
      <c r="G16">
        <v>2</v>
      </c>
      <c r="H16" t="s">
        <v>3537</v>
      </c>
      <c r="I16" t="s">
        <v>90</v>
      </c>
      <c r="J16" t="s">
        <v>5773</v>
      </c>
    </row>
    <row r="17" spans="1:10" ht="15" customHeight="1" x14ac:dyDescent="0.25">
      <c r="A17" t="s">
        <v>3451</v>
      </c>
      <c r="B17" t="s">
        <v>3563</v>
      </c>
      <c r="C17" t="s">
        <v>5756</v>
      </c>
      <c r="D17">
        <v>2</v>
      </c>
      <c r="E17" t="s">
        <v>5791</v>
      </c>
      <c r="F17" t="s">
        <v>5792</v>
      </c>
      <c r="G17">
        <v>2</v>
      </c>
      <c r="H17" t="s">
        <v>3451</v>
      </c>
      <c r="I17" t="s">
        <v>90</v>
      </c>
      <c r="J17" t="s">
        <v>5769</v>
      </c>
    </row>
    <row r="18" spans="1:10" ht="15" customHeight="1" x14ac:dyDescent="0.25">
      <c r="A18" t="s">
        <v>5793</v>
      </c>
      <c r="B18" t="s">
        <v>3530</v>
      </c>
      <c r="C18" t="s">
        <v>5394</v>
      </c>
      <c r="D18">
        <v>0</v>
      </c>
      <c r="E18" t="s">
        <v>5794</v>
      </c>
      <c r="F18" t="s">
        <v>5795</v>
      </c>
      <c r="G18">
        <v>0</v>
      </c>
      <c r="H18" t="s">
        <v>5796</v>
      </c>
      <c r="I18" t="s">
        <v>90</v>
      </c>
      <c r="J18" t="s">
        <v>5797</v>
      </c>
    </row>
    <row r="19" spans="1:10" ht="15" customHeight="1" x14ac:dyDescent="0.25">
      <c r="A19" t="s">
        <v>5798</v>
      </c>
      <c r="B19" t="s">
        <v>41</v>
      </c>
      <c r="C19" t="s">
        <v>5756</v>
      </c>
      <c r="D19">
        <v>0</v>
      </c>
      <c r="E19" t="s">
        <v>5799</v>
      </c>
      <c r="F19" t="s">
        <v>5800</v>
      </c>
      <c r="G19">
        <v>0</v>
      </c>
      <c r="H19" t="s">
        <v>5801</v>
      </c>
      <c r="I19" t="s">
        <v>90</v>
      </c>
      <c r="J19" t="s">
        <v>5802</v>
      </c>
    </row>
    <row r="20" spans="1:10" ht="15" customHeight="1" x14ac:dyDescent="0.25">
      <c r="A20" t="s">
        <v>5803</v>
      </c>
      <c r="B20" t="s">
        <v>3518</v>
      </c>
      <c r="C20" t="s">
        <v>4631</v>
      </c>
      <c r="D20">
        <v>0</v>
      </c>
      <c r="E20" t="s">
        <v>5804</v>
      </c>
      <c r="F20" t="s">
        <v>5805</v>
      </c>
      <c r="G20">
        <v>0</v>
      </c>
      <c r="H20" t="s">
        <v>5803</v>
      </c>
      <c r="I20" t="s">
        <v>90</v>
      </c>
      <c r="J20" t="s">
        <v>5806</v>
      </c>
    </row>
    <row r="21" spans="1:10" ht="15" customHeight="1" x14ac:dyDescent="0.25">
      <c r="A21" t="s">
        <v>5807</v>
      </c>
      <c r="B21" t="s">
        <v>41</v>
      </c>
      <c r="C21" t="s">
        <v>5394</v>
      </c>
      <c r="D21">
        <v>1</v>
      </c>
      <c r="E21" t="s">
        <v>5808</v>
      </c>
      <c r="F21" t="s">
        <v>5809</v>
      </c>
      <c r="G21">
        <v>1</v>
      </c>
      <c r="H21" t="s">
        <v>5810</v>
      </c>
      <c r="I21" t="s">
        <v>90</v>
      </c>
      <c r="J21" t="s">
        <v>5811</v>
      </c>
    </row>
    <row r="22" spans="1:10" ht="15" customHeight="1" x14ac:dyDescent="0.25">
      <c r="A22" t="s">
        <v>4499</v>
      </c>
      <c r="B22" t="s">
        <v>41</v>
      </c>
      <c r="C22" t="s">
        <v>5756</v>
      </c>
      <c r="D22">
        <v>1</v>
      </c>
      <c r="E22" t="s">
        <v>5812</v>
      </c>
      <c r="F22" t="s">
        <v>5812</v>
      </c>
      <c r="G22">
        <v>1</v>
      </c>
      <c r="H22" t="s">
        <v>4502</v>
      </c>
      <c r="I22" t="s">
        <v>1105</v>
      </c>
      <c r="J22" t="s">
        <v>5789</v>
      </c>
    </row>
    <row r="23" spans="1:10" ht="15" customHeight="1" x14ac:dyDescent="0.25">
      <c r="A23" t="s">
        <v>5813</v>
      </c>
      <c r="B23" t="s">
        <v>3530</v>
      </c>
      <c r="C23" t="s">
        <v>5756</v>
      </c>
      <c r="D23">
        <v>4</v>
      </c>
      <c r="E23" t="s">
        <v>5814</v>
      </c>
      <c r="F23" t="s">
        <v>5815</v>
      </c>
      <c r="G23">
        <v>3</v>
      </c>
      <c r="H23" t="s">
        <v>5816</v>
      </c>
      <c r="I23" t="s">
        <v>90</v>
      </c>
      <c r="J23" t="s">
        <v>5797</v>
      </c>
    </row>
    <row r="24" spans="1:10" ht="15" customHeight="1" x14ac:dyDescent="0.25">
      <c r="A24" t="s">
        <v>4503</v>
      </c>
      <c r="B24" t="s">
        <v>3518</v>
      </c>
      <c r="C24" t="s">
        <v>5756</v>
      </c>
      <c r="D24">
        <v>1</v>
      </c>
      <c r="E24" t="s">
        <v>5817</v>
      </c>
      <c r="F24" t="s">
        <v>5817</v>
      </c>
      <c r="G24">
        <v>1</v>
      </c>
      <c r="H24" t="s">
        <v>4506</v>
      </c>
      <c r="I24" t="s">
        <v>1622</v>
      </c>
      <c r="J24" t="s">
        <v>5789</v>
      </c>
    </row>
    <row r="25" spans="1:10" ht="15" customHeight="1" x14ac:dyDescent="0.25">
      <c r="A25" t="s">
        <v>5818</v>
      </c>
      <c r="B25" t="s">
        <v>3530</v>
      </c>
      <c r="C25" t="s">
        <v>5394</v>
      </c>
      <c r="D25">
        <v>0</v>
      </c>
      <c r="E25" t="s">
        <v>5819</v>
      </c>
      <c r="F25" t="s">
        <v>5820</v>
      </c>
      <c r="G25">
        <v>0</v>
      </c>
      <c r="H25" t="s">
        <v>5818</v>
      </c>
      <c r="I25" t="s">
        <v>90</v>
      </c>
      <c r="J25" t="s">
        <v>5806</v>
      </c>
    </row>
    <row r="26" spans="1:10" ht="15" customHeight="1" x14ac:dyDescent="0.25">
      <c r="A26" t="s">
        <v>5821</v>
      </c>
      <c r="B26" t="s">
        <v>3518</v>
      </c>
      <c r="C26" t="s">
        <v>5756</v>
      </c>
      <c r="D26">
        <v>3</v>
      </c>
      <c r="E26" t="s">
        <v>5822</v>
      </c>
      <c r="F26" t="s">
        <v>5823</v>
      </c>
      <c r="G26">
        <v>3</v>
      </c>
      <c r="H26" t="s">
        <v>5821</v>
      </c>
      <c r="I26" t="s">
        <v>90</v>
      </c>
      <c r="J26" t="s">
        <v>5769</v>
      </c>
    </row>
    <row r="27" spans="1:10" ht="15" customHeight="1" x14ac:dyDescent="0.25">
      <c r="A27" t="s">
        <v>5824</v>
      </c>
      <c r="B27" t="s">
        <v>4331</v>
      </c>
      <c r="C27" t="s">
        <v>3673</v>
      </c>
      <c r="D27">
        <v>1</v>
      </c>
      <c r="E27" t="s">
        <v>5825</v>
      </c>
      <c r="F27" t="s">
        <v>3467</v>
      </c>
      <c r="G27" t="s">
        <v>3467</v>
      </c>
      <c r="H27" t="s">
        <v>5826</v>
      </c>
      <c r="I27" t="s">
        <v>501</v>
      </c>
      <c r="J27" t="s">
        <v>5827</v>
      </c>
    </row>
    <row r="28" spans="1:10" ht="15" customHeight="1" x14ac:dyDescent="0.25">
      <c r="A28" t="s">
        <v>5194</v>
      </c>
      <c r="B28" t="s">
        <v>3530</v>
      </c>
      <c r="C28" t="s">
        <v>5394</v>
      </c>
      <c r="D28">
        <v>1</v>
      </c>
      <c r="E28" t="s">
        <v>5828</v>
      </c>
      <c r="F28" t="s">
        <v>5829</v>
      </c>
      <c r="G28">
        <v>1</v>
      </c>
      <c r="H28" t="s">
        <v>5194</v>
      </c>
      <c r="I28" t="s">
        <v>90</v>
      </c>
      <c r="J28" t="s">
        <v>5751</v>
      </c>
    </row>
    <row r="29" spans="1:10" ht="15" customHeight="1" x14ac:dyDescent="0.25">
      <c r="A29" t="s">
        <v>5830</v>
      </c>
      <c r="B29" t="s">
        <v>41</v>
      </c>
      <c r="C29" t="s">
        <v>5756</v>
      </c>
      <c r="D29">
        <v>1</v>
      </c>
      <c r="E29" t="s">
        <v>5831</v>
      </c>
      <c r="F29" t="s">
        <v>5831</v>
      </c>
      <c r="G29">
        <v>0</v>
      </c>
      <c r="H29" t="s">
        <v>5832</v>
      </c>
      <c r="I29" t="s">
        <v>90</v>
      </c>
      <c r="J29" t="s">
        <v>5769</v>
      </c>
    </row>
    <row r="30" spans="1:10" ht="15" customHeight="1" x14ac:dyDescent="0.25">
      <c r="A30" t="s">
        <v>5833</v>
      </c>
      <c r="B30" t="s">
        <v>3530</v>
      </c>
      <c r="C30" t="s">
        <v>5394</v>
      </c>
      <c r="D30">
        <v>0</v>
      </c>
      <c r="E30" t="s">
        <v>5834</v>
      </c>
      <c r="F30" t="s">
        <v>5835</v>
      </c>
      <c r="G30">
        <v>0</v>
      </c>
      <c r="H30" t="s">
        <v>5836</v>
      </c>
      <c r="I30" t="s">
        <v>90</v>
      </c>
      <c r="J30" t="s">
        <v>5837</v>
      </c>
    </row>
    <row r="31" spans="1:10" ht="15" customHeight="1" x14ac:dyDescent="0.25">
      <c r="A31" t="s">
        <v>5838</v>
      </c>
      <c r="B31" t="s">
        <v>3530</v>
      </c>
      <c r="C31" t="s">
        <v>5839</v>
      </c>
      <c r="D31">
        <v>3</v>
      </c>
      <c r="E31" t="s">
        <v>5840</v>
      </c>
      <c r="F31" t="s">
        <v>5841</v>
      </c>
      <c r="G31">
        <v>3</v>
      </c>
      <c r="H31" t="s">
        <v>5842</v>
      </c>
      <c r="I31" t="s">
        <v>1673</v>
      </c>
    </row>
    <row r="32" spans="1:10" ht="15" customHeight="1" x14ac:dyDescent="0.25">
      <c r="A32" t="s">
        <v>5843</v>
      </c>
      <c r="B32" t="s">
        <v>3530</v>
      </c>
      <c r="C32" t="s">
        <v>5394</v>
      </c>
      <c r="D32">
        <v>2</v>
      </c>
      <c r="E32" t="s">
        <v>5844</v>
      </c>
      <c r="F32" t="s">
        <v>5845</v>
      </c>
      <c r="G32">
        <v>2</v>
      </c>
      <c r="H32" t="s">
        <v>5846</v>
      </c>
      <c r="I32" t="s">
        <v>90</v>
      </c>
      <c r="J32" t="s">
        <v>5847</v>
      </c>
    </row>
    <row r="33" spans="1:10" ht="15" customHeight="1" x14ac:dyDescent="0.25">
      <c r="A33" t="s">
        <v>5848</v>
      </c>
      <c r="B33" t="s">
        <v>3518</v>
      </c>
      <c r="C33" t="s">
        <v>4631</v>
      </c>
      <c r="D33">
        <v>0</v>
      </c>
      <c r="E33" t="s">
        <v>5849</v>
      </c>
      <c r="F33" t="s">
        <v>5850</v>
      </c>
      <c r="G33">
        <v>0</v>
      </c>
      <c r="H33" t="s">
        <v>5848</v>
      </c>
      <c r="I33" t="s">
        <v>90</v>
      </c>
      <c r="J33" t="s">
        <v>5797</v>
      </c>
    </row>
    <row r="34" spans="1:10" ht="15" customHeight="1" x14ac:dyDescent="0.25">
      <c r="A34" t="s">
        <v>5200</v>
      </c>
      <c r="B34" t="s">
        <v>3518</v>
      </c>
      <c r="C34" t="s">
        <v>4631</v>
      </c>
      <c r="D34">
        <v>2</v>
      </c>
      <c r="E34" t="s">
        <v>5851</v>
      </c>
      <c r="F34" t="s">
        <v>5852</v>
      </c>
      <c r="G34">
        <v>2</v>
      </c>
      <c r="H34" t="s">
        <v>5200</v>
      </c>
      <c r="I34" t="s">
        <v>90</v>
      </c>
      <c r="J34" t="s">
        <v>5853</v>
      </c>
    </row>
    <row r="35" spans="1:10" ht="15" customHeight="1" x14ac:dyDescent="0.25">
      <c r="A35" t="s">
        <v>5854</v>
      </c>
      <c r="B35" t="s">
        <v>3518</v>
      </c>
      <c r="C35" t="s">
        <v>5394</v>
      </c>
      <c r="D35">
        <v>3</v>
      </c>
      <c r="E35" t="s">
        <v>5855</v>
      </c>
      <c r="F35" t="s">
        <v>5855</v>
      </c>
      <c r="G35">
        <v>2</v>
      </c>
      <c r="H35" t="s">
        <v>5856</v>
      </c>
      <c r="I35" t="s">
        <v>90</v>
      </c>
      <c r="J35" t="s">
        <v>5857</v>
      </c>
    </row>
    <row r="36" spans="1:10" ht="15" customHeight="1" x14ac:dyDescent="0.25">
      <c r="A36" t="s">
        <v>4036</v>
      </c>
      <c r="B36" t="s">
        <v>4331</v>
      </c>
      <c r="C36" t="s">
        <v>3673</v>
      </c>
      <c r="D36" t="s">
        <v>4031</v>
      </c>
      <c r="E36" t="s">
        <v>5858</v>
      </c>
      <c r="F36" t="s">
        <v>5859</v>
      </c>
      <c r="G36" t="s">
        <v>4031</v>
      </c>
      <c r="H36" t="s">
        <v>4036</v>
      </c>
      <c r="I36" t="s">
        <v>90</v>
      </c>
    </row>
    <row r="37" spans="1:10" ht="15" customHeight="1" x14ac:dyDescent="0.25">
      <c r="A37" t="s">
        <v>5860</v>
      </c>
      <c r="B37" t="s">
        <v>3530</v>
      </c>
      <c r="C37" t="s">
        <v>5394</v>
      </c>
      <c r="D37">
        <v>1</v>
      </c>
      <c r="E37" t="s">
        <v>5861</v>
      </c>
      <c r="F37" t="s">
        <v>5862</v>
      </c>
      <c r="G37">
        <v>1</v>
      </c>
      <c r="H37" t="s">
        <v>5863</v>
      </c>
      <c r="I37" t="s">
        <v>90</v>
      </c>
      <c r="J37" t="s">
        <v>5864</v>
      </c>
    </row>
    <row r="38" spans="1:10" ht="15" customHeight="1" x14ac:dyDescent="0.25">
      <c r="A38" t="s">
        <v>5204</v>
      </c>
      <c r="B38" t="s">
        <v>3518</v>
      </c>
      <c r="C38" t="s">
        <v>5394</v>
      </c>
      <c r="D38">
        <v>1</v>
      </c>
      <c r="E38" t="s">
        <v>5865</v>
      </c>
      <c r="F38" t="s">
        <v>5866</v>
      </c>
      <c r="G38">
        <v>1</v>
      </c>
      <c r="H38" t="s">
        <v>5204</v>
      </c>
      <c r="I38" t="s">
        <v>90</v>
      </c>
      <c r="J38" t="s">
        <v>5857</v>
      </c>
    </row>
    <row r="39" spans="1:10" ht="15" customHeight="1" x14ac:dyDescent="0.25">
      <c r="A39" t="s">
        <v>5867</v>
      </c>
      <c r="B39" t="s">
        <v>3530</v>
      </c>
      <c r="C39" t="s">
        <v>5394</v>
      </c>
      <c r="D39">
        <v>0</v>
      </c>
      <c r="E39" t="s">
        <v>5868</v>
      </c>
      <c r="F39" t="s">
        <v>5869</v>
      </c>
      <c r="G39">
        <v>0</v>
      </c>
      <c r="H39" t="s">
        <v>5870</v>
      </c>
      <c r="I39" t="s">
        <v>90</v>
      </c>
      <c r="J39" t="s">
        <v>5871</v>
      </c>
    </row>
    <row r="40" spans="1:10" ht="15" customHeight="1" x14ac:dyDescent="0.25">
      <c r="A40" t="s">
        <v>5872</v>
      </c>
      <c r="B40" t="s">
        <v>3530</v>
      </c>
      <c r="C40" t="s">
        <v>4631</v>
      </c>
      <c r="D40">
        <v>1</v>
      </c>
      <c r="E40" t="s">
        <v>5703</v>
      </c>
      <c r="F40" t="s">
        <v>5873</v>
      </c>
      <c r="G40">
        <v>1</v>
      </c>
      <c r="H40" t="s">
        <v>5872</v>
      </c>
      <c r="I40" t="s">
        <v>90</v>
      </c>
      <c r="J40" t="s">
        <v>5751</v>
      </c>
    </row>
    <row r="41" spans="1:10" ht="15" customHeight="1" x14ac:dyDescent="0.25">
      <c r="A41" t="s">
        <v>5874</v>
      </c>
      <c r="B41" t="s">
        <v>3530</v>
      </c>
      <c r="C41" t="s">
        <v>5756</v>
      </c>
      <c r="D41">
        <v>2</v>
      </c>
      <c r="E41" t="s">
        <v>5875</v>
      </c>
      <c r="F41" t="s">
        <v>5876</v>
      </c>
      <c r="G41">
        <v>2</v>
      </c>
      <c r="H41" t="s">
        <v>5874</v>
      </c>
      <c r="I41" t="s">
        <v>90</v>
      </c>
      <c r="J41" t="s">
        <v>5769</v>
      </c>
    </row>
    <row r="42" spans="1:10" ht="15" customHeight="1" x14ac:dyDescent="0.25">
      <c r="A42" t="s">
        <v>5877</v>
      </c>
      <c r="B42" t="s">
        <v>3530</v>
      </c>
      <c r="C42" t="s">
        <v>5394</v>
      </c>
      <c r="D42">
        <v>1</v>
      </c>
      <c r="E42" t="s">
        <v>5878</v>
      </c>
      <c r="F42" t="s">
        <v>5879</v>
      </c>
      <c r="G42">
        <v>1</v>
      </c>
      <c r="H42" t="s">
        <v>5877</v>
      </c>
      <c r="I42" t="s">
        <v>90</v>
      </c>
      <c r="J42" t="s">
        <v>5847</v>
      </c>
    </row>
    <row r="43" spans="1:10" ht="15" customHeight="1" x14ac:dyDescent="0.25">
      <c r="A43" t="s">
        <v>5880</v>
      </c>
      <c r="B43" t="s">
        <v>3530</v>
      </c>
      <c r="C43" t="s">
        <v>5756</v>
      </c>
      <c r="D43">
        <v>2</v>
      </c>
      <c r="E43" t="s">
        <v>5881</v>
      </c>
      <c r="F43" t="s">
        <v>5882</v>
      </c>
      <c r="G43">
        <v>2</v>
      </c>
      <c r="H43" t="s">
        <v>5880</v>
      </c>
      <c r="I43" t="s">
        <v>90</v>
      </c>
      <c r="J43" t="s">
        <v>5883</v>
      </c>
    </row>
    <row r="44" spans="1:10" ht="15" customHeight="1" x14ac:dyDescent="0.25">
      <c r="A44" t="s">
        <v>5884</v>
      </c>
      <c r="B44" t="s">
        <v>41</v>
      </c>
      <c r="C44" t="s">
        <v>5756</v>
      </c>
      <c r="D44">
        <v>0</v>
      </c>
      <c r="E44" t="s">
        <v>5885</v>
      </c>
      <c r="F44" t="s">
        <v>5886</v>
      </c>
      <c r="G44">
        <v>0</v>
      </c>
      <c r="H44" t="s">
        <v>5884</v>
      </c>
      <c r="I44" t="s">
        <v>90</v>
      </c>
      <c r="J44" t="s">
        <v>5769</v>
      </c>
    </row>
    <row r="45" spans="1:10" ht="15" customHeight="1" x14ac:dyDescent="0.25">
      <c r="A45" t="s">
        <v>5887</v>
      </c>
      <c r="B45" t="s">
        <v>41</v>
      </c>
      <c r="C45" t="s">
        <v>5756</v>
      </c>
      <c r="D45">
        <v>0</v>
      </c>
      <c r="E45" t="s">
        <v>5888</v>
      </c>
      <c r="F45" t="s">
        <v>5889</v>
      </c>
      <c r="G45">
        <v>0</v>
      </c>
      <c r="H45" t="s">
        <v>5887</v>
      </c>
      <c r="I45" t="s">
        <v>90</v>
      </c>
      <c r="J45" t="s">
        <v>5890</v>
      </c>
    </row>
    <row r="46" spans="1:10" ht="15" customHeight="1" x14ac:dyDescent="0.25">
      <c r="A46" t="s">
        <v>5444</v>
      </c>
      <c r="B46" t="s">
        <v>41</v>
      </c>
      <c r="C46" t="s">
        <v>5756</v>
      </c>
      <c r="D46">
        <v>1</v>
      </c>
      <c r="E46" t="s">
        <v>5891</v>
      </c>
      <c r="F46" t="s">
        <v>5892</v>
      </c>
      <c r="G46">
        <v>1</v>
      </c>
      <c r="H46" t="s">
        <v>5444</v>
      </c>
      <c r="I46" t="s">
        <v>90</v>
      </c>
      <c r="J46" t="s">
        <v>5893</v>
      </c>
    </row>
    <row r="47" spans="1:10" ht="15" customHeight="1" x14ac:dyDescent="0.25">
      <c r="A47" t="s">
        <v>5894</v>
      </c>
      <c r="B47" t="s">
        <v>41</v>
      </c>
      <c r="C47" t="s">
        <v>5394</v>
      </c>
      <c r="D47">
        <v>1</v>
      </c>
      <c r="E47" t="s">
        <v>5895</v>
      </c>
      <c r="F47" t="s">
        <v>5896</v>
      </c>
      <c r="G47">
        <v>1</v>
      </c>
      <c r="H47" t="s">
        <v>5897</v>
      </c>
      <c r="I47" t="s">
        <v>90</v>
      </c>
      <c r="J47" t="s">
        <v>5751</v>
      </c>
    </row>
    <row r="48" spans="1:10" ht="15" customHeight="1" x14ac:dyDescent="0.25">
      <c r="A48" t="s">
        <v>5898</v>
      </c>
      <c r="B48" t="s">
        <v>41</v>
      </c>
      <c r="C48" t="s">
        <v>5756</v>
      </c>
      <c r="D48">
        <v>2</v>
      </c>
      <c r="E48" t="s">
        <v>5899</v>
      </c>
      <c r="F48" t="s">
        <v>5900</v>
      </c>
      <c r="G48">
        <v>2</v>
      </c>
      <c r="H48" t="s">
        <v>5898</v>
      </c>
      <c r="I48" t="s">
        <v>90</v>
      </c>
      <c r="J48" t="s">
        <v>5901</v>
      </c>
    </row>
    <row r="49" spans="1:10" ht="15" customHeight="1" x14ac:dyDescent="0.25">
      <c r="A49" t="s">
        <v>5902</v>
      </c>
      <c r="B49" t="s">
        <v>4331</v>
      </c>
      <c r="C49" t="s">
        <v>4279</v>
      </c>
      <c r="D49" t="s">
        <v>4031</v>
      </c>
      <c r="E49" t="s">
        <v>5903</v>
      </c>
      <c r="F49" t="s">
        <v>3467</v>
      </c>
      <c r="G49" t="s">
        <v>3467</v>
      </c>
      <c r="H49" t="s">
        <v>5902</v>
      </c>
      <c r="I49" t="s">
        <v>90</v>
      </c>
      <c r="J49" t="s">
        <v>5904</v>
      </c>
    </row>
    <row r="50" spans="1:10" ht="15" customHeight="1" x14ac:dyDescent="0.25">
      <c r="A50" t="s">
        <v>5902</v>
      </c>
      <c r="B50" t="s">
        <v>41</v>
      </c>
      <c r="C50" t="s">
        <v>5475</v>
      </c>
      <c r="D50">
        <v>1</v>
      </c>
      <c r="E50" t="s">
        <v>5905</v>
      </c>
      <c r="F50" t="s">
        <v>5906</v>
      </c>
      <c r="G50">
        <v>1</v>
      </c>
      <c r="H50" t="s">
        <v>5902</v>
      </c>
      <c r="I50" t="s">
        <v>5907</v>
      </c>
      <c r="J50" t="s">
        <v>5908</v>
      </c>
    </row>
    <row r="51" spans="1:10" ht="15" customHeight="1" x14ac:dyDescent="0.25">
      <c r="A51" t="s">
        <v>5909</v>
      </c>
      <c r="B51" t="s">
        <v>3530</v>
      </c>
      <c r="C51" t="s">
        <v>4631</v>
      </c>
      <c r="D51">
        <v>1</v>
      </c>
      <c r="E51" t="s">
        <v>5910</v>
      </c>
      <c r="F51" t="s">
        <v>5911</v>
      </c>
      <c r="G51">
        <v>1</v>
      </c>
      <c r="H51" t="s">
        <v>5909</v>
      </c>
      <c r="I51" t="s">
        <v>90</v>
      </c>
      <c r="J51" t="s">
        <v>5769</v>
      </c>
    </row>
    <row r="52" spans="1:10" ht="15" customHeight="1" x14ac:dyDescent="0.25">
      <c r="A52" t="s">
        <v>5912</v>
      </c>
      <c r="B52" t="s">
        <v>3530</v>
      </c>
      <c r="C52" t="s">
        <v>5394</v>
      </c>
      <c r="D52">
        <v>0</v>
      </c>
      <c r="E52" t="s">
        <v>5913</v>
      </c>
      <c r="F52" t="s">
        <v>5914</v>
      </c>
      <c r="G52">
        <v>0</v>
      </c>
      <c r="H52" t="s">
        <v>5912</v>
      </c>
      <c r="I52" t="s">
        <v>90</v>
      </c>
      <c r="J52" t="s">
        <v>5915</v>
      </c>
    </row>
    <row r="53" spans="1:10" ht="15" customHeight="1" x14ac:dyDescent="0.25">
      <c r="A53" t="s">
        <v>5213</v>
      </c>
      <c r="B53" t="s">
        <v>3518</v>
      </c>
      <c r="C53" t="s">
        <v>5394</v>
      </c>
      <c r="D53">
        <v>2</v>
      </c>
      <c r="E53" t="s">
        <v>5916</v>
      </c>
      <c r="F53" t="s">
        <v>5917</v>
      </c>
      <c r="G53">
        <v>2</v>
      </c>
      <c r="H53" t="s">
        <v>5215</v>
      </c>
      <c r="I53" t="s">
        <v>90</v>
      </c>
      <c r="J53" t="s">
        <v>5918</v>
      </c>
    </row>
    <row r="54" spans="1:10" ht="15" customHeight="1" x14ac:dyDescent="0.25">
      <c r="A54" t="s">
        <v>5919</v>
      </c>
      <c r="B54" t="s">
        <v>3518</v>
      </c>
      <c r="C54" t="s">
        <v>4631</v>
      </c>
      <c r="D54">
        <v>3</v>
      </c>
      <c r="E54" t="s">
        <v>5920</v>
      </c>
      <c r="F54" t="s">
        <v>5920</v>
      </c>
      <c r="G54">
        <v>2</v>
      </c>
      <c r="H54" t="s">
        <v>5919</v>
      </c>
      <c r="I54" t="s">
        <v>90</v>
      </c>
      <c r="J54" t="s">
        <v>5806</v>
      </c>
    </row>
    <row r="55" spans="1:10" ht="15" customHeight="1" x14ac:dyDescent="0.25">
      <c r="A55" t="s">
        <v>5921</v>
      </c>
      <c r="B55" t="s">
        <v>3530</v>
      </c>
      <c r="C55" t="s">
        <v>5394</v>
      </c>
      <c r="D55">
        <v>2</v>
      </c>
      <c r="E55" t="s">
        <v>5922</v>
      </c>
      <c r="F55" t="s">
        <v>5923</v>
      </c>
      <c r="G55">
        <v>2</v>
      </c>
      <c r="H55" t="s">
        <v>5924</v>
      </c>
      <c r="I55" t="s">
        <v>90</v>
      </c>
      <c r="J55" t="s">
        <v>5918</v>
      </c>
    </row>
    <row r="56" spans="1:10" ht="15" customHeight="1" x14ac:dyDescent="0.25">
      <c r="A56" t="s">
        <v>5925</v>
      </c>
      <c r="B56" t="s">
        <v>3518</v>
      </c>
      <c r="C56" t="s">
        <v>5475</v>
      </c>
      <c r="D56">
        <v>1</v>
      </c>
      <c r="E56" t="s">
        <v>5905</v>
      </c>
      <c r="F56" t="s">
        <v>5906</v>
      </c>
      <c r="G56">
        <v>1</v>
      </c>
      <c r="H56" t="s">
        <v>5925</v>
      </c>
      <c r="I56" t="s">
        <v>5907</v>
      </c>
      <c r="J56" t="s">
        <v>5908</v>
      </c>
    </row>
    <row r="57" spans="1:10" ht="15" customHeight="1" x14ac:dyDescent="0.25">
      <c r="A57" t="s">
        <v>5926</v>
      </c>
      <c r="B57" t="s">
        <v>41</v>
      </c>
      <c r="C57" t="s">
        <v>5756</v>
      </c>
      <c r="D57">
        <v>1</v>
      </c>
      <c r="E57" t="s">
        <v>5927</v>
      </c>
      <c r="F57" t="s">
        <v>5928</v>
      </c>
      <c r="G57">
        <v>1</v>
      </c>
      <c r="H57" t="s">
        <v>5929</v>
      </c>
      <c r="I57" t="s">
        <v>90</v>
      </c>
      <c r="J57" t="s">
        <v>5930</v>
      </c>
    </row>
    <row r="58" spans="1:10" ht="15" customHeight="1" x14ac:dyDescent="0.25">
      <c r="A58" t="s">
        <v>5931</v>
      </c>
      <c r="B58" t="s">
        <v>41</v>
      </c>
      <c r="C58" t="s">
        <v>5756</v>
      </c>
      <c r="D58">
        <v>1</v>
      </c>
      <c r="E58" t="s">
        <v>5932</v>
      </c>
      <c r="F58" t="s">
        <v>5933</v>
      </c>
      <c r="G58">
        <v>1</v>
      </c>
      <c r="H58" t="s">
        <v>5934</v>
      </c>
      <c r="I58" t="s">
        <v>90</v>
      </c>
      <c r="J58" t="s">
        <v>5935</v>
      </c>
    </row>
    <row r="59" spans="1:10" ht="15" customHeight="1" x14ac:dyDescent="0.25">
      <c r="A59" t="s">
        <v>5936</v>
      </c>
      <c r="B59" t="s">
        <v>3530</v>
      </c>
      <c r="C59" t="s">
        <v>4631</v>
      </c>
      <c r="D59">
        <v>2</v>
      </c>
      <c r="E59" t="s">
        <v>5937</v>
      </c>
      <c r="F59" t="s">
        <v>5937</v>
      </c>
      <c r="G59">
        <v>1</v>
      </c>
      <c r="H59" t="s">
        <v>5938</v>
      </c>
      <c r="I59" t="s">
        <v>90</v>
      </c>
      <c r="J59" t="s">
        <v>5864</v>
      </c>
    </row>
    <row r="60" spans="1:10" ht="15" customHeight="1" x14ac:dyDescent="0.25">
      <c r="A60" t="s">
        <v>3452</v>
      </c>
      <c r="B60" t="s">
        <v>3530</v>
      </c>
      <c r="C60" t="s">
        <v>5756</v>
      </c>
      <c r="D60">
        <v>2</v>
      </c>
      <c r="E60" t="s">
        <v>5939</v>
      </c>
      <c r="F60" t="s">
        <v>5940</v>
      </c>
      <c r="G60">
        <v>2</v>
      </c>
      <c r="H60" t="s">
        <v>3452</v>
      </c>
      <c r="I60" t="s">
        <v>90</v>
      </c>
      <c r="J60" t="s">
        <v>5941</v>
      </c>
    </row>
    <row r="61" spans="1:10" ht="15" customHeight="1" x14ac:dyDescent="0.25">
      <c r="A61" t="s">
        <v>5942</v>
      </c>
      <c r="B61" t="s">
        <v>4331</v>
      </c>
      <c r="C61" t="s">
        <v>3673</v>
      </c>
      <c r="D61" t="s">
        <v>4031</v>
      </c>
      <c r="E61" t="s">
        <v>5943</v>
      </c>
      <c r="F61" t="s">
        <v>3467</v>
      </c>
      <c r="G61" t="s">
        <v>4031</v>
      </c>
      <c r="H61" t="s">
        <v>5942</v>
      </c>
      <c r="I61" t="s">
        <v>90</v>
      </c>
    </row>
    <row r="62" spans="1:10" ht="15" customHeight="1" x14ac:dyDescent="0.25">
      <c r="A62" t="s">
        <v>5944</v>
      </c>
      <c r="B62" t="s">
        <v>41</v>
      </c>
      <c r="C62" t="s">
        <v>5394</v>
      </c>
      <c r="D62">
        <v>1</v>
      </c>
      <c r="E62" t="s">
        <v>5945</v>
      </c>
      <c r="F62" t="s">
        <v>5946</v>
      </c>
      <c r="G62">
        <v>1</v>
      </c>
      <c r="H62" t="s">
        <v>5947</v>
      </c>
      <c r="I62" t="s">
        <v>90</v>
      </c>
      <c r="J62" t="s">
        <v>5847</v>
      </c>
    </row>
    <row r="63" spans="1:10" ht="15" customHeight="1" x14ac:dyDescent="0.25">
      <c r="A63" t="s">
        <v>4293</v>
      </c>
      <c r="B63" t="s">
        <v>4331</v>
      </c>
      <c r="C63" t="s">
        <v>4279</v>
      </c>
      <c r="D63" t="s">
        <v>4031</v>
      </c>
      <c r="E63" t="s">
        <v>5948</v>
      </c>
      <c r="F63" t="s">
        <v>3467</v>
      </c>
      <c r="G63" t="s">
        <v>3467</v>
      </c>
      <c r="H63" t="s">
        <v>4293</v>
      </c>
      <c r="I63" t="s">
        <v>90</v>
      </c>
      <c r="J63" t="s">
        <v>5904</v>
      </c>
    </row>
    <row r="64" spans="1:10" ht="15" customHeight="1" x14ac:dyDescent="0.25">
      <c r="A64" t="s">
        <v>5949</v>
      </c>
      <c r="B64" t="s">
        <v>3563</v>
      </c>
      <c r="C64" t="s">
        <v>5394</v>
      </c>
      <c r="D64">
        <v>1</v>
      </c>
      <c r="E64" t="s">
        <v>5950</v>
      </c>
      <c r="F64" t="s">
        <v>5951</v>
      </c>
      <c r="G64">
        <v>1</v>
      </c>
      <c r="H64" t="s">
        <v>3467</v>
      </c>
      <c r="I64" t="s">
        <v>3467</v>
      </c>
    </row>
    <row r="65" spans="1:10" ht="15" customHeight="1" x14ac:dyDescent="0.25">
      <c r="A65" t="s">
        <v>5952</v>
      </c>
      <c r="B65" t="s">
        <v>41</v>
      </c>
      <c r="C65" t="s">
        <v>5475</v>
      </c>
      <c r="D65">
        <v>1</v>
      </c>
      <c r="E65" t="s">
        <v>5905</v>
      </c>
      <c r="F65" t="s">
        <v>5906</v>
      </c>
      <c r="G65">
        <v>1</v>
      </c>
      <c r="H65" t="s">
        <v>5952</v>
      </c>
      <c r="I65" t="s">
        <v>5907</v>
      </c>
      <c r="J65" t="s">
        <v>5953</v>
      </c>
    </row>
    <row r="66" spans="1:10" ht="15" customHeight="1" x14ac:dyDescent="0.25">
      <c r="A66" t="s">
        <v>5954</v>
      </c>
      <c r="B66" t="s">
        <v>41</v>
      </c>
      <c r="C66" t="s">
        <v>5394</v>
      </c>
      <c r="D66">
        <v>0</v>
      </c>
      <c r="E66" t="s">
        <v>5955</v>
      </c>
      <c r="F66" t="s">
        <v>5956</v>
      </c>
      <c r="G66">
        <v>0</v>
      </c>
      <c r="H66" t="s">
        <v>5954</v>
      </c>
      <c r="I66" t="s">
        <v>90</v>
      </c>
      <c r="J66" t="s">
        <v>5751</v>
      </c>
    </row>
    <row r="67" spans="1:10" ht="15" customHeight="1" x14ac:dyDescent="0.25">
      <c r="A67" t="s">
        <v>5957</v>
      </c>
      <c r="B67" t="s">
        <v>3518</v>
      </c>
      <c r="C67" t="s">
        <v>4631</v>
      </c>
      <c r="D67">
        <v>3</v>
      </c>
      <c r="E67" t="s">
        <v>5958</v>
      </c>
      <c r="F67" t="s">
        <v>5959</v>
      </c>
      <c r="G67">
        <v>3</v>
      </c>
      <c r="H67" t="s">
        <v>5960</v>
      </c>
      <c r="I67" t="s">
        <v>90</v>
      </c>
      <c r="J67" t="s">
        <v>5961</v>
      </c>
    </row>
    <row r="68" spans="1:10" ht="15" customHeight="1" x14ac:dyDescent="0.25">
      <c r="A68" t="s">
        <v>4616</v>
      </c>
      <c r="B68" t="s">
        <v>3530</v>
      </c>
      <c r="C68" t="s">
        <v>5756</v>
      </c>
      <c r="D68">
        <v>0</v>
      </c>
      <c r="E68" t="s">
        <v>5962</v>
      </c>
      <c r="F68" t="s">
        <v>5962</v>
      </c>
      <c r="G68">
        <v>1</v>
      </c>
      <c r="H68" t="s">
        <v>4616</v>
      </c>
      <c r="I68" t="s">
        <v>1622</v>
      </c>
      <c r="J68" t="s">
        <v>5789</v>
      </c>
    </row>
    <row r="69" spans="1:10" ht="15" customHeight="1" x14ac:dyDescent="0.25">
      <c r="A69" t="s">
        <v>5963</v>
      </c>
      <c r="B69" t="s">
        <v>3518</v>
      </c>
      <c r="C69" t="s">
        <v>5756</v>
      </c>
      <c r="D69">
        <v>1</v>
      </c>
      <c r="E69" t="s">
        <v>5964</v>
      </c>
      <c r="F69" t="s">
        <v>5965</v>
      </c>
      <c r="G69">
        <v>1</v>
      </c>
      <c r="H69" t="s">
        <v>5966</v>
      </c>
      <c r="I69" t="s">
        <v>90</v>
      </c>
      <c r="J69" t="s">
        <v>5967</v>
      </c>
    </row>
    <row r="70" spans="1:10" ht="15" customHeight="1" x14ac:dyDescent="0.25">
      <c r="A70" t="s">
        <v>5968</v>
      </c>
      <c r="B70" t="s">
        <v>3530</v>
      </c>
      <c r="C70" t="s">
        <v>5394</v>
      </c>
      <c r="D70">
        <v>1</v>
      </c>
      <c r="E70" t="s">
        <v>5969</v>
      </c>
      <c r="F70" t="s">
        <v>5970</v>
      </c>
      <c r="G70">
        <v>1</v>
      </c>
      <c r="H70" t="s">
        <v>5968</v>
      </c>
      <c r="I70" t="s">
        <v>90</v>
      </c>
      <c r="J70" t="s">
        <v>5971</v>
      </c>
    </row>
    <row r="71" spans="1:10" ht="15" customHeight="1" x14ac:dyDescent="0.25">
      <c r="A71" t="s">
        <v>5972</v>
      </c>
      <c r="B71" t="s">
        <v>3530</v>
      </c>
      <c r="C71" t="s">
        <v>5394</v>
      </c>
      <c r="D71">
        <v>1</v>
      </c>
      <c r="E71" t="s">
        <v>5973</v>
      </c>
      <c r="F71" t="s">
        <v>5973</v>
      </c>
      <c r="G71">
        <v>0</v>
      </c>
      <c r="H71" t="s">
        <v>5972</v>
      </c>
      <c r="I71" t="s">
        <v>90</v>
      </c>
      <c r="J71" t="s">
        <v>5974</v>
      </c>
    </row>
    <row r="72" spans="1:10" ht="15" customHeight="1" x14ac:dyDescent="0.25">
      <c r="A72" t="s">
        <v>5975</v>
      </c>
      <c r="B72" t="s">
        <v>41</v>
      </c>
      <c r="C72" t="s">
        <v>5394</v>
      </c>
      <c r="D72">
        <v>1</v>
      </c>
      <c r="E72" t="s">
        <v>5976</v>
      </c>
      <c r="F72" t="s">
        <v>5977</v>
      </c>
      <c r="G72">
        <v>1</v>
      </c>
      <c r="H72" t="s">
        <v>5978</v>
      </c>
      <c r="I72" t="s">
        <v>90</v>
      </c>
      <c r="J72" t="s">
        <v>5751</v>
      </c>
    </row>
    <row r="73" spans="1:10" ht="15" customHeight="1" x14ac:dyDescent="0.25">
      <c r="A73" t="s">
        <v>5979</v>
      </c>
      <c r="B73" t="s">
        <v>3518</v>
      </c>
      <c r="C73" t="s">
        <v>5394</v>
      </c>
      <c r="D73" t="s">
        <v>5980</v>
      </c>
      <c r="E73" t="s">
        <v>5981</v>
      </c>
      <c r="F73" t="s">
        <v>5982</v>
      </c>
      <c r="G73" t="s">
        <v>5980</v>
      </c>
      <c r="H73" t="s">
        <v>5979</v>
      </c>
      <c r="I73" t="s">
        <v>90</v>
      </c>
      <c r="J73" t="s">
        <v>5983</v>
      </c>
    </row>
    <row r="74" spans="1:10" ht="15" customHeight="1" x14ac:dyDescent="0.25">
      <c r="A74" t="s">
        <v>5398</v>
      </c>
      <c r="B74" t="s">
        <v>3518</v>
      </c>
      <c r="C74" t="s">
        <v>5394</v>
      </c>
      <c r="D74">
        <v>1</v>
      </c>
      <c r="E74" t="s">
        <v>5984</v>
      </c>
      <c r="F74" t="s">
        <v>5985</v>
      </c>
      <c r="G74">
        <v>1</v>
      </c>
      <c r="H74" t="s">
        <v>5400</v>
      </c>
      <c r="I74" t="s">
        <v>90</v>
      </c>
      <c r="J74" t="s">
        <v>5986</v>
      </c>
    </row>
    <row r="75" spans="1:10" ht="15" customHeight="1" x14ac:dyDescent="0.25">
      <c r="A75" t="s">
        <v>5987</v>
      </c>
      <c r="B75" t="s">
        <v>4331</v>
      </c>
      <c r="C75" t="s">
        <v>4279</v>
      </c>
      <c r="D75" t="s">
        <v>4031</v>
      </c>
      <c r="E75" t="s">
        <v>5988</v>
      </c>
      <c r="F75" t="s">
        <v>3467</v>
      </c>
      <c r="G75" t="s">
        <v>3467</v>
      </c>
      <c r="H75" t="s">
        <v>5987</v>
      </c>
      <c r="I75" t="s">
        <v>90</v>
      </c>
      <c r="J75" t="s">
        <v>5904</v>
      </c>
    </row>
    <row r="76" spans="1:10" ht="15" customHeight="1" x14ac:dyDescent="0.25">
      <c r="A76" t="s">
        <v>5989</v>
      </c>
      <c r="B76" t="s">
        <v>3530</v>
      </c>
      <c r="C76" t="s">
        <v>5756</v>
      </c>
      <c r="D76">
        <v>1</v>
      </c>
      <c r="E76" t="s">
        <v>5990</v>
      </c>
      <c r="F76" t="s">
        <v>5991</v>
      </c>
      <c r="G76">
        <v>1</v>
      </c>
      <c r="H76" t="s">
        <v>5989</v>
      </c>
      <c r="I76" t="s">
        <v>90</v>
      </c>
      <c r="J76" t="s">
        <v>5992</v>
      </c>
    </row>
    <row r="77" spans="1:10" ht="15" customHeight="1" x14ac:dyDescent="0.25">
      <c r="A77" t="s">
        <v>5993</v>
      </c>
      <c r="B77" t="s">
        <v>3530</v>
      </c>
      <c r="C77" t="s">
        <v>5475</v>
      </c>
      <c r="D77">
        <v>1</v>
      </c>
      <c r="E77" t="s">
        <v>5994</v>
      </c>
      <c r="F77" t="s">
        <v>5995</v>
      </c>
      <c r="G77">
        <v>1</v>
      </c>
      <c r="H77" t="s">
        <v>5993</v>
      </c>
      <c r="I77" t="s">
        <v>5907</v>
      </c>
      <c r="J77" t="s">
        <v>5996</v>
      </c>
    </row>
    <row r="78" spans="1:10" ht="15" customHeight="1" x14ac:dyDescent="0.25">
      <c r="A78" t="s">
        <v>5997</v>
      </c>
      <c r="B78" t="s">
        <v>3530</v>
      </c>
      <c r="C78" t="s">
        <v>5394</v>
      </c>
      <c r="D78">
        <v>1</v>
      </c>
      <c r="E78" t="s">
        <v>5998</v>
      </c>
      <c r="F78" t="s">
        <v>5999</v>
      </c>
      <c r="G78">
        <v>1</v>
      </c>
      <c r="H78" t="s">
        <v>6000</v>
      </c>
      <c r="I78" t="s">
        <v>90</v>
      </c>
      <c r="J78" t="s">
        <v>5797</v>
      </c>
    </row>
    <row r="79" spans="1:10" ht="15" customHeight="1" x14ac:dyDescent="0.25">
      <c r="A79" t="s">
        <v>6001</v>
      </c>
      <c r="B79" t="s">
        <v>3530</v>
      </c>
      <c r="C79" t="s">
        <v>5756</v>
      </c>
      <c r="D79">
        <v>0</v>
      </c>
      <c r="E79" t="s">
        <v>6002</v>
      </c>
      <c r="F79" t="s">
        <v>6003</v>
      </c>
      <c r="G79">
        <v>0</v>
      </c>
      <c r="H79" t="s">
        <v>6004</v>
      </c>
      <c r="I79" t="s">
        <v>90</v>
      </c>
      <c r="J79" t="s">
        <v>5811</v>
      </c>
    </row>
    <row r="80" spans="1:10" ht="15" customHeight="1" x14ac:dyDescent="0.25">
      <c r="A80" t="s">
        <v>6005</v>
      </c>
      <c r="B80" t="s">
        <v>3530</v>
      </c>
      <c r="C80" t="s">
        <v>5394</v>
      </c>
      <c r="D80">
        <v>2</v>
      </c>
      <c r="E80" t="s">
        <v>6006</v>
      </c>
      <c r="F80" t="s">
        <v>6006</v>
      </c>
      <c r="G80">
        <v>1</v>
      </c>
      <c r="H80" t="s">
        <v>6005</v>
      </c>
      <c r="I80" t="s">
        <v>90</v>
      </c>
      <c r="J80" t="s">
        <v>5773</v>
      </c>
    </row>
    <row r="81" spans="1:10" ht="15" customHeight="1" x14ac:dyDescent="0.25">
      <c r="A81" t="s">
        <v>5230</v>
      </c>
      <c r="B81" t="s">
        <v>3518</v>
      </c>
      <c r="C81" t="s">
        <v>4631</v>
      </c>
      <c r="D81">
        <v>2</v>
      </c>
      <c r="E81" t="s">
        <v>6007</v>
      </c>
      <c r="F81" t="s">
        <v>6007</v>
      </c>
      <c r="G81">
        <v>1</v>
      </c>
      <c r="H81" t="s">
        <v>5230</v>
      </c>
      <c r="I81" t="s">
        <v>90</v>
      </c>
      <c r="J81" t="s">
        <v>5883</v>
      </c>
    </row>
    <row r="82" spans="1:10" ht="15" customHeight="1" x14ac:dyDescent="0.25">
      <c r="A82" t="s">
        <v>6008</v>
      </c>
      <c r="B82" t="s">
        <v>3530</v>
      </c>
      <c r="C82" t="s">
        <v>5394</v>
      </c>
      <c r="D82">
        <v>0</v>
      </c>
      <c r="E82" t="s">
        <v>6009</v>
      </c>
      <c r="F82" t="s">
        <v>6010</v>
      </c>
      <c r="G82">
        <v>0</v>
      </c>
      <c r="H82" t="s">
        <v>6011</v>
      </c>
      <c r="I82" t="s">
        <v>90</v>
      </c>
      <c r="J82" t="s">
        <v>6012</v>
      </c>
    </row>
    <row r="83" spans="1:10" ht="15" customHeight="1" x14ac:dyDescent="0.25">
      <c r="A83" t="s">
        <v>6013</v>
      </c>
      <c r="B83" t="s">
        <v>3530</v>
      </c>
      <c r="C83" t="s">
        <v>5756</v>
      </c>
      <c r="D83">
        <v>3</v>
      </c>
      <c r="E83" t="s">
        <v>6014</v>
      </c>
      <c r="F83" t="s">
        <v>6015</v>
      </c>
      <c r="G83">
        <v>3</v>
      </c>
      <c r="H83" t="s">
        <v>6013</v>
      </c>
      <c r="I83" t="s">
        <v>90</v>
      </c>
      <c r="J83" t="s">
        <v>6016</v>
      </c>
    </row>
    <row r="84" spans="1:10" ht="15" customHeight="1" x14ac:dyDescent="0.25">
      <c r="A84" t="s">
        <v>5232</v>
      </c>
      <c r="B84" t="s">
        <v>3530</v>
      </c>
      <c r="C84" t="s">
        <v>4631</v>
      </c>
      <c r="D84">
        <v>1</v>
      </c>
      <c r="E84" t="s">
        <v>6017</v>
      </c>
      <c r="F84" t="s">
        <v>6018</v>
      </c>
      <c r="G84">
        <v>1</v>
      </c>
      <c r="H84" t="s">
        <v>5232</v>
      </c>
      <c r="I84" t="s">
        <v>90</v>
      </c>
      <c r="J84" t="s">
        <v>6019</v>
      </c>
    </row>
    <row r="85" spans="1:10" ht="15" customHeight="1" x14ac:dyDescent="0.25">
      <c r="A85" t="s">
        <v>6020</v>
      </c>
      <c r="B85" t="s">
        <v>3518</v>
      </c>
      <c r="C85" t="s">
        <v>5394</v>
      </c>
      <c r="D85">
        <v>1</v>
      </c>
      <c r="E85" t="s">
        <v>6021</v>
      </c>
      <c r="F85" t="s">
        <v>6021</v>
      </c>
      <c r="G85">
        <v>0</v>
      </c>
      <c r="H85" t="s">
        <v>6020</v>
      </c>
      <c r="I85" t="s">
        <v>90</v>
      </c>
      <c r="J85" t="s">
        <v>6022</v>
      </c>
    </row>
    <row r="86" spans="1:10" ht="15" customHeight="1" x14ac:dyDescent="0.25">
      <c r="A86" t="s">
        <v>6023</v>
      </c>
      <c r="B86" t="s">
        <v>3530</v>
      </c>
      <c r="C86" t="s">
        <v>5394</v>
      </c>
      <c r="D86">
        <v>1</v>
      </c>
      <c r="E86" t="s">
        <v>6024</v>
      </c>
      <c r="F86" t="s">
        <v>6025</v>
      </c>
      <c r="G86">
        <v>1</v>
      </c>
      <c r="H86" t="s">
        <v>6023</v>
      </c>
      <c r="I86" t="s">
        <v>90</v>
      </c>
      <c r="J86" t="s">
        <v>6026</v>
      </c>
    </row>
    <row r="87" spans="1:10" ht="15" customHeight="1" x14ac:dyDescent="0.25">
      <c r="A87" t="s">
        <v>6027</v>
      </c>
      <c r="B87" t="s">
        <v>3518</v>
      </c>
      <c r="C87" t="s">
        <v>5756</v>
      </c>
      <c r="D87">
        <v>1</v>
      </c>
      <c r="E87" t="s">
        <v>6028</v>
      </c>
      <c r="F87" t="s">
        <v>6029</v>
      </c>
      <c r="G87">
        <v>1</v>
      </c>
      <c r="H87" t="s">
        <v>6027</v>
      </c>
      <c r="I87" t="s">
        <v>90</v>
      </c>
      <c r="J87" t="s">
        <v>6030</v>
      </c>
    </row>
    <row r="88" spans="1:10" ht="15" customHeight="1" x14ac:dyDescent="0.25">
      <c r="A88" t="s">
        <v>5240</v>
      </c>
      <c r="B88" t="s">
        <v>3530</v>
      </c>
      <c r="C88" t="s">
        <v>4631</v>
      </c>
      <c r="D88">
        <v>1</v>
      </c>
      <c r="E88" t="s">
        <v>6031</v>
      </c>
      <c r="F88" t="s">
        <v>6032</v>
      </c>
      <c r="G88">
        <v>1</v>
      </c>
      <c r="H88" t="s">
        <v>5242</v>
      </c>
      <c r="I88" t="s">
        <v>90</v>
      </c>
      <c r="J88" t="s">
        <v>6033</v>
      </c>
    </row>
    <row r="89" spans="1:10" ht="15" customHeight="1" x14ac:dyDescent="0.25">
      <c r="A89" t="s">
        <v>6034</v>
      </c>
      <c r="B89" t="s">
        <v>3518</v>
      </c>
      <c r="C89" t="s">
        <v>5756</v>
      </c>
      <c r="D89">
        <v>2</v>
      </c>
      <c r="E89" t="s">
        <v>6035</v>
      </c>
      <c r="F89" t="s">
        <v>6036</v>
      </c>
      <c r="G89">
        <v>2</v>
      </c>
      <c r="H89" t="s">
        <v>6037</v>
      </c>
      <c r="I89" t="s">
        <v>90</v>
      </c>
      <c r="J89" t="s">
        <v>6038</v>
      </c>
    </row>
    <row r="90" spans="1:10" ht="15" customHeight="1" x14ac:dyDescent="0.25">
      <c r="A90" t="s">
        <v>6039</v>
      </c>
      <c r="B90" t="s">
        <v>41</v>
      </c>
      <c r="C90" t="s">
        <v>5475</v>
      </c>
      <c r="D90">
        <v>1</v>
      </c>
      <c r="E90" t="s">
        <v>5905</v>
      </c>
      <c r="F90" t="s">
        <v>5906</v>
      </c>
      <c r="G90">
        <v>1</v>
      </c>
      <c r="H90" t="s">
        <v>6039</v>
      </c>
      <c r="I90" t="s">
        <v>2362</v>
      </c>
      <c r="J90" t="s">
        <v>6040</v>
      </c>
    </row>
    <row r="91" spans="1:10" ht="15" customHeight="1" x14ac:dyDescent="0.25">
      <c r="A91" t="s">
        <v>6041</v>
      </c>
      <c r="B91" t="s">
        <v>3530</v>
      </c>
      <c r="C91" t="s">
        <v>5756</v>
      </c>
      <c r="D91">
        <v>1</v>
      </c>
      <c r="E91" t="s">
        <v>6042</v>
      </c>
      <c r="F91" t="s">
        <v>6043</v>
      </c>
      <c r="G91">
        <v>1</v>
      </c>
      <c r="H91" t="s">
        <v>6041</v>
      </c>
      <c r="I91" t="s">
        <v>90</v>
      </c>
      <c r="J91" t="s">
        <v>5811</v>
      </c>
    </row>
    <row r="92" spans="1:10" ht="15" customHeight="1" x14ac:dyDescent="0.25">
      <c r="A92" t="s">
        <v>5243</v>
      </c>
      <c r="B92" t="s">
        <v>3530</v>
      </c>
      <c r="C92" t="s">
        <v>4631</v>
      </c>
      <c r="D92">
        <v>1</v>
      </c>
      <c r="E92" t="s">
        <v>6044</v>
      </c>
      <c r="F92" t="s">
        <v>6045</v>
      </c>
      <c r="G92">
        <v>1</v>
      </c>
      <c r="H92" t="s">
        <v>5245</v>
      </c>
      <c r="I92" t="s">
        <v>90</v>
      </c>
      <c r="J92" t="s">
        <v>6046</v>
      </c>
    </row>
    <row r="93" spans="1:10" ht="15" customHeight="1" x14ac:dyDescent="0.25">
      <c r="A93" t="s">
        <v>5246</v>
      </c>
      <c r="B93" t="s">
        <v>3530</v>
      </c>
      <c r="C93" t="s">
        <v>5394</v>
      </c>
      <c r="D93">
        <v>2</v>
      </c>
      <c r="E93" t="s">
        <v>6047</v>
      </c>
      <c r="F93" t="s">
        <v>6048</v>
      </c>
      <c r="G93">
        <v>2</v>
      </c>
      <c r="H93" t="s">
        <v>5248</v>
      </c>
      <c r="I93" t="s">
        <v>90</v>
      </c>
      <c r="J93" t="s">
        <v>5773</v>
      </c>
    </row>
    <row r="94" spans="1:10" ht="15" customHeight="1" x14ac:dyDescent="0.25">
      <c r="A94" t="s">
        <v>6049</v>
      </c>
      <c r="B94" t="s">
        <v>3530</v>
      </c>
      <c r="C94" t="s">
        <v>5756</v>
      </c>
      <c r="D94">
        <v>1</v>
      </c>
      <c r="E94" t="s">
        <v>6050</v>
      </c>
      <c r="F94" t="s">
        <v>6051</v>
      </c>
      <c r="G94">
        <v>1</v>
      </c>
      <c r="H94" t="s">
        <v>6049</v>
      </c>
      <c r="I94" t="s">
        <v>90</v>
      </c>
      <c r="J94" t="s">
        <v>5811</v>
      </c>
    </row>
    <row r="95" spans="1:10" ht="15" customHeight="1" x14ac:dyDescent="0.25">
      <c r="A95" t="s">
        <v>6052</v>
      </c>
      <c r="B95" t="s">
        <v>41</v>
      </c>
      <c r="C95" t="s">
        <v>5394</v>
      </c>
      <c r="D95">
        <v>0</v>
      </c>
      <c r="E95" t="s">
        <v>6053</v>
      </c>
      <c r="F95" t="s">
        <v>6054</v>
      </c>
      <c r="G95">
        <v>0</v>
      </c>
      <c r="H95" t="s">
        <v>6052</v>
      </c>
      <c r="I95" t="s">
        <v>90</v>
      </c>
      <c r="J95" t="s">
        <v>5769</v>
      </c>
    </row>
    <row r="96" spans="1:10" ht="15" customHeight="1" x14ac:dyDescent="0.25">
      <c r="A96" t="s">
        <v>6055</v>
      </c>
      <c r="B96" t="s">
        <v>41</v>
      </c>
      <c r="C96" t="s">
        <v>5756</v>
      </c>
      <c r="D96">
        <v>1</v>
      </c>
      <c r="E96" t="s">
        <v>6056</v>
      </c>
      <c r="F96" t="s">
        <v>6057</v>
      </c>
      <c r="G96">
        <v>1</v>
      </c>
      <c r="H96" t="s">
        <v>6058</v>
      </c>
      <c r="I96" t="s">
        <v>90</v>
      </c>
      <c r="J96" t="s">
        <v>6059</v>
      </c>
    </row>
    <row r="97" spans="1:10" ht="15" customHeight="1" x14ac:dyDescent="0.25">
      <c r="A97" t="s">
        <v>6060</v>
      </c>
      <c r="B97" t="s">
        <v>3530</v>
      </c>
      <c r="C97" t="s">
        <v>4631</v>
      </c>
      <c r="D97">
        <v>1</v>
      </c>
      <c r="E97" t="s">
        <v>5699</v>
      </c>
      <c r="F97" t="s">
        <v>6061</v>
      </c>
      <c r="G97">
        <v>1</v>
      </c>
      <c r="H97" t="s">
        <v>6060</v>
      </c>
      <c r="I97" t="s">
        <v>90</v>
      </c>
      <c r="J97" t="s">
        <v>5751</v>
      </c>
    </row>
    <row r="98" spans="1:10" ht="15" customHeight="1" x14ac:dyDescent="0.25">
      <c r="A98" t="s">
        <v>6062</v>
      </c>
      <c r="B98" t="s">
        <v>3530</v>
      </c>
      <c r="C98" t="s">
        <v>5475</v>
      </c>
      <c r="D98">
        <v>1</v>
      </c>
      <c r="E98" t="s">
        <v>5905</v>
      </c>
      <c r="F98" t="s">
        <v>5906</v>
      </c>
      <c r="G98">
        <v>1</v>
      </c>
      <c r="H98" t="s">
        <v>6062</v>
      </c>
      <c r="I98" t="s">
        <v>2362</v>
      </c>
      <c r="J98" t="s">
        <v>5908</v>
      </c>
    </row>
    <row r="99" spans="1:10" ht="15" customHeight="1" x14ac:dyDescent="0.25">
      <c r="A99" t="s">
        <v>6063</v>
      </c>
      <c r="B99" t="s">
        <v>3530</v>
      </c>
      <c r="C99" t="s">
        <v>5394</v>
      </c>
      <c r="D99">
        <v>1</v>
      </c>
      <c r="E99" t="s">
        <v>6064</v>
      </c>
      <c r="F99" t="s">
        <v>6065</v>
      </c>
      <c r="G99">
        <v>1</v>
      </c>
      <c r="H99" t="s">
        <v>6066</v>
      </c>
      <c r="I99" t="s">
        <v>90</v>
      </c>
      <c r="J99" t="s">
        <v>5773</v>
      </c>
    </row>
    <row r="100" spans="1:10" ht="15" customHeight="1" x14ac:dyDescent="0.25">
      <c r="A100" t="s">
        <v>6067</v>
      </c>
      <c r="B100" t="s">
        <v>3530</v>
      </c>
      <c r="C100" t="s">
        <v>5475</v>
      </c>
      <c r="D100">
        <v>1</v>
      </c>
      <c r="E100" t="s">
        <v>5905</v>
      </c>
      <c r="F100" t="s">
        <v>5906</v>
      </c>
      <c r="G100">
        <v>1</v>
      </c>
      <c r="H100" t="s">
        <v>6067</v>
      </c>
      <c r="I100" t="s">
        <v>2362</v>
      </c>
      <c r="J100" t="s">
        <v>6040</v>
      </c>
    </row>
    <row r="101" spans="1:10" ht="15" customHeight="1" x14ac:dyDescent="0.25">
      <c r="A101" t="s">
        <v>6068</v>
      </c>
      <c r="B101" t="s">
        <v>3518</v>
      </c>
      <c r="C101" t="s">
        <v>5756</v>
      </c>
      <c r="D101">
        <v>1</v>
      </c>
      <c r="E101" t="s">
        <v>6069</v>
      </c>
      <c r="F101" t="s">
        <v>6070</v>
      </c>
      <c r="G101">
        <v>1</v>
      </c>
      <c r="H101" t="s">
        <v>6071</v>
      </c>
      <c r="I101" t="s">
        <v>90</v>
      </c>
      <c r="J101" t="s">
        <v>5811</v>
      </c>
    </row>
    <row r="102" spans="1:10" ht="15" customHeight="1" x14ac:dyDescent="0.25">
      <c r="A102" t="s">
        <v>6072</v>
      </c>
      <c r="B102" t="s">
        <v>41</v>
      </c>
      <c r="C102" t="s">
        <v>5756</v>
      </c>
      <c r="D102">
        <v>0</v>
      </c>
      <c r="E102" t="s">
        <v>6073</v>
      </c>
      <c r="F102" t="s">
        <v>6074</v>
      </c>
      <c r="G102">
        <v>0</v>
      </c>
      <c r="H102" t="s">
        <v>6075</v>
      </c>
      <c r="I102" t="s">
        <v>90</v>
      </c>
      <c r="J102" t="s">
        <v>5802</v>
      </c>
    </row>
    <row r="103" spans="1:10" ht="15" customHeight="1" x14ac:dyDescent="0.25">
      <c r="A103" t="s">
        <v>6076</v>
      </c>
      <c r="B103" t="s">
        <v>3518</v>
      </c>
      <c r="C103" t="s">
        <v>5756</v>
      </c>
      <c r="D103">
        <v>0</v>
      </c>
      <c r="E103" t="s">
        <v>6077</v>
      </c>
      <c r="F103" t="s">
        <v>6078</v>
      </c>
      <c r="G103">
        <v>0</v>
      </c>
      <c r="H103" t="s">
        <v>6079</v>
      </c>
      <c r="I103" t="s">
        <v>90</v>
      </c>
      <c r="J103" t="s">
        <v>5811</v>
      </c>
    </row>
    <row r="104" spans="1:10" ht="15" customHeight="1" x14ac:dyDescent="0.25">
      <c r="A104" t="s">
        <v>5166</v>
      </c>
      <c r="B104" t="s">
        <v>4331</v>
      </c>
      <c r="C104" t="s">
        <v>4279</v>
      </c>
      <c r="D104" t="s">
        <v>4031</v>
      </c>
      <c r="E104" t="s">
        <v>6080</v>
      </c>
      <c r="F104" t="s">
        <v>3467</v>
      </c>
      <c r="G104" t="s">
        <v>3467</v>
      </c>
      <c r="H104" t="s">
        <v>5166</v>
      </c>
      <c r="I104" t="s">
        <v>38</v>
      </c>
      <c r="J104" t="s">
        <v>5904</v>
      </c>
    </row>
    <row r="105" spans="1:10" ht="15" customHeight="1" x14ac:dyDescent="0.25">
      <c r="A105" t="s">
        <v>6081</v>
      </c>
      <c r="B105" t="s">
        <v>41</v>
      </c>
      <c r="C105" t="s">
        <v>5394</v>
      </c>
      <c r="D105">
        <v>1</v>
      </c>
      <c r="E105" t="s">
        <v>6082</v>
      </c>
      <c r="F105" t="s">
        <v>6082</v>
      </c>
      <c r="G105">
        <v>0</v>
      </c>
      <c r="H105" t="s">
        <v>6081</v>
      </c>
      <c r="I105" t="s">
        <v>90</v>
      </c>
      <c r="J105" t="s">
        <v>6038</v>
      </c>
    </row>
    <row r="106" spans="1:10" ht="15" customHeight="1" x14ac:dyDescent="0.25">
      <c r="A106" t="s">
        <v>6083</v>
      </c>
      <c r="B106" t="s">
        <v>41</v>
      </c>
      <c r="C106" t="s">
        <v>5756</v>
      </c>
      <c r="D106">
        <v>1</v>
      </c>
      <c r="E106" t="s">
        <v>6084</v>
      </c>
      <c r="F106" t="s">
        <v>6085</v>
      </c>
      <c r="G106">
        <v>1</v>
      </c>
      <c r="H106" t="s">
        <v>6083</v>
      </c>
      <c r="I106" t="s">
        <v>90</v>
      </c>
      <c r="J106" t="s">
        <v>5769</v>
      </c>
    </row>
    <row r="107" spans="1:10" ht="15" customHeight="1" x14ac:dyDescent="0.25">
      <c r="A107" t="s">
        <v>6086</v>
      </c>
      <c r="B107" t="s">
        <v>41</v>
      </c>
      <c r="C107" t="s">
        <v>5475</v>
      </c>
      <c r="D107">
        <v>1</v>
      </c>
      <c r="E107" t="s">
        <v>6087</v>
      </c>
      <c r="F107" t="s">
        <v>6088</v>
      </c>
      <c r="G107">
        <v>1</v>
      </c>
      <c r="H107" t="s">
        <v>6086</v>
      </c>
      <c r="I107" t="s">
        <v>2362</v>
      </c>
      <c r="J107" t="s">
        <v>5996</v>
      </c>
    </row>
    <row r="108" spans="1:10" ht="15" customHeight="1" x14ac:dyDescent="0.25">
      <c r="A108" t="s">
        <v>6089</v>
      </c>
      <c r="B108" t="s">
        <v>41</v>
      </c>
      <c r="C108" t="s">
        <v>5756</v>
      </c>
      <c r="D108">
        <v>2</v>
      </c>
      <c r="E108" t="s">
        <v>6090</v>
      </c>
      <c r="F108" t="s">
        <v>6091</v>
      </c>
      <c r="G108">
        <v>2</v>
      </c>
      <c r="H108" t="s">
        <v>6092</v>
      </c>
      <c r="I108" t="s">
        <v>90</v>
      </c>
      <c r="J108" t="s">
        <v>6093</v>
      </c>
    </row>
    <row r="109" spans="1:10" ht="15" customHeight="1" x14ac:dyDescent="0.25">
      <c r="A109" t="s">
        <v>6094</v>
      </c>
      <c r="B109" t="s">
        <v>3530</v>
      </c>
      <c r="C109" t="s">
        <v>5756</v>
      </c>
      <c r="D109">
        <v>1</v>
      </c>
      <c r="E109" t="s">
        <v>6095</v>
      </c>
      <c r="F109" t="s">
        <v>6096</v>
      </c>
      <c r="G109">
        <v>1</v>
      </c>
      <c r="H109" t="s">
        <v>6097</v>
      </c>
      <c r="I109" t="s">
        <v>90</v>
      </c>
      <c r="J109" t="s">
        <v>5883</v>
      </c>
    </row>
    <row r="110" spans="1:10" ht="15" customHeight="1" x14ac:dyDescent="0.25">
      <c r="A110" t="s">
        <v>6098</v>
      </c>
      <c r="B110" t="s">
        <v>3530</v>
      </c>
      <c r="C110" t="s">
        <v>5756</v>
      </c>
      <c r="D110">
        <v>1</v>
      </c>
      <c r="E110" t="s">
        <v>6099</v>
      </c>
      <c r="F110" t="s">
        <v>6100</v>
      </c>
      <c r="G110">
        <v>1</v>
      </c>
      <c r="H110" t="s">
        <v>6098</v>
      </c>
      <c r="I110" t="s">
        <v>90</v>
      </c>
      <c r="J110" t="s">
        <v>5769</v>
      </c>
    </row>
    <row r="111" spans="1:10" ht="15" customHeight="1" x14ac:dyDescent="0.25">
      <c r="A111" t="s">
        <v>6101</v>
      </c>
      <c r="B111" t="s">
        <v>41</v>
      </c>
      <c r="C111" t="s">
        <v>5394</v>
      </c>
      <c r="D111">
        <v>1</v>
      </c>
      <c r="E111" t="s">
        <v>6102</v>
      </c>
      <c r="F111" t="s">
        <v>6103</v>
      </c>
      <c r="G111">
        <v>1</v>
      </c>
      <c r="H111" t="s">
        <v>6101</v>
      </c>
      <c r="I111" t="s">
        <v>90</v>
      </c>
      <c r="J111" t="s">
        <v>6104</v>
      </c>
    </row>
    <row r="112" spans="1:10" ht="15" customHeight="1" x14ac:dyDescent="0.25">
      <c r="A112" t="s">
        <v>6105</v>
      </c>
      <c r="B112" t="s">
        <v>3518</v>
      </c>
      <c r="C112" t="s">
        <v>5756</v>
      </c>
      <c r="D112">
        <v>2</v>
      </c>
      <c r="E112" t="s">
        <v>6106</v>
      </c>
      <c r="F112" t="s">
        <v>6107</v>
      </c>
      <c r="G112">
        <v>2</v>
      </c>
      <c r="H112" t="s">
        <v>6105</v>
      </c>
      <c r="I112" t="s">
        <v>90</v>
      </c>
      <c r="J112" t="s">
        <v>5769</v>
      </c>
    </row>
    <row r="113" spans="1:10" ht="15" customHeight="1" x14ac:dyDescent="0.25">
      <c r="A113" t="s">
        <v>6108</v>
      </c>
      <c r="B113" t="s">
        <v>3518</v>
      </c>
      <c r="C113" t="s">
        <v>5394</v>
      </c>
      <c r="D113">
        <v>2</v>
      </c>
      <c r="E113" t="s">
        <v>6109</v>
      </c>
      <c r="F113" t="s">
        <v>6110</v>
      </c>
      <c r="G113">
        <v>2</v>
      </c>
      <c r="H113" t="s">
        <v>6108</v>
      </c>
      <c r="I113" t="s">
        <v>90</v>
      </c>
      <c r="J113" t="s">
        <v>6033</v>
      </c>
    </row>
    <row r="114" spans="1:10" ht="15" customHeight="1" x14ac:dyDescent="0.25">
      <c r="A114" t="s">
        <v>6111</v>
      </c>
      <c r="B114" t="s">
        <v>3530</v>
      </c>
      <c r="C114" t="s">
        <v>5394</v>
      </c>
      <c r="D114">
        <v>1</v>
      </c>
      <c r="E114" t="s">
        <v>6112</v>
      </c>
      <c r="F114" t="s">
        <v>6112</v>
      </c>
      <c r="G114">
        <v>0</v>
      </c>
      <c r="H114" t="s">
        <v>6113</v>
      </c>
      <c r="I114" t="s">
        <v>90</v>
      </c>
      <c r="J114" t="s">
        <v>6114</v>
      </c>
    </row>
    <row r="115" spans="1:10" ht="15" customHeight="1" x14ac:dyDescent="0.25">
      <c r="A115" t="s">
        <v>6115</v>
      </c>
      <c r="B115" t="s">
        <v>3530</v>
      </c>
      <c r="C115" t="s">
        <v>4631</v>
      </c>
      <c r="D115">
        <v>1</v>
      </c>
      <c r="E115" t="s">
        <v>6116</v>
      </c>
      <c r="F115" t="s">
        <v>6117</v>
      </c>
      <c r="G115">
        <v>1</v>
      </c>
      <c r="H115" t="s">
        <v>6118</v>
      </c>
      <c r="I115" t="s">
        <v>90</v>
      </c>
      <c r="J115" t="s">
        <v>5811</v>
      </c>
    </row>
    <row r="116" spans="1:10" ht="15" customHeight="1" x14ac:dyDescent="0.25">
      <c r="A116" t="s">
        <v>6119</v>
      </c>
      <c r="B116" t="s">
        <v>3530</v>
      </c>
      <c r="C116" t="s">
        <v>4631</v>
      </c>
      <c r="D116">
        <v>1</v>
      </c>
      <c r="E116" t="s">
        <v>6120</v>
      </c>
      <c r="F116" t="s">
        <v>6121</v>
      </c>
      <c r="G116">
        <v>1</v>
      </c>
      <c r="H116" t="s">
        <v>6119</v>
      </c>
      <c r="I116" t="s">
        <v>90</v>
      </c>
      <c r="J116" t="s">
        <v>5961</v>
      </c>
    </row>
    <row r="117" spans="1:10" ht="15" customHeight="1" x14ac:dyDescent="0.25">
      <c r="A117" t="s">
        <v>4287</v>
      </c>
      <c r="B117" t="s">
        <v>4331</v>
      </c>
      <c r="C117" t="s">
        <v>4279</v>
      </c>
      <c r="D117" t="s">
        <v>4031</v>
      </c>
      <c r="E117" t="s">
        <v>6122</v>
      </c>
      <c r="F117" t="s">
        <v>3467</v>
      </c>
      <c r="G117" t="s">
        <v>3467</v>
      </c>
      <c r="H117" t="s">
        <v>4287</v>
      </c>
      <c r="I117" t="s">
        <v>90</v>
      </c>
      <c r="J117" t="s">
        <v>5904</v>
      </c>
    </row>
    <row r="118" spans="1:10" ht="15" customHeight="1" x14ac:dyDescent="0.25">
      <c r="A118" t="s">
        <v>6123</v>
      </c>
      <c r="B118" t="s">
        <v>3530</v>
      </c>
      <c r="C118" t="s">
        <v>5394</v>
      </c>
      <c r="D118">
        <v>0</v>
      </c>
      <c r="E118" t="s">
        <v>6124</v>
      </c>
      <c r="F118" t="s">
        <v>6125</v>
      </c>
      <c r="G118">
        <v>0</v>
      </c>
      <c r="H118" t="s">
        <v>6123</v>
      </c>
      <c r="I118" t="s">
        <v>90</v>
      </c>
      <c r="J118" t="s">
        <v>5971</v>
      </c>
    </row>
    <row r="119" spans="1:10" ht="15" customHeight="1" x14ac:dyDescent="0.25">
      <c r="A119" t="s">
        <v>6126</v>
      </c>
      <c r="B119" t="s">
        <v>41</v>
      </c>
      <c r="C119" t="s">
        <v>5756</v>
      </c>
      <c r="D119">
        <v>1</v>
      </c>
      <c r="E119" t="s">
        <v>6127</v>
      </c>
      <c r="F119" t="s">
        <v>6128</v>
      </c>
      <c r="G119">
        <v>1</v>
      </c>
      <c r="H119" t="s">
        <v>6129</v>
      </c>
      <c r="I119" t="s">
        <v>90</v>
      </c>
      <c r="J119" t="s">
        <v>6130</v>
      </c>
    </row>
    <row r="120" spans="1:10" ht="15" customHeight="1" x14ac:dyDescent="0.25">
      <c r="A120" t="s">
        <v>5721</v>
      </c>
      <c r="B120" t="s">
        <v>3563</v>
      </c>
      <c r="C120" t="s">
        <v>5475</v>
      </c>
      <c r="D120">
        <v>1</v>
      </c>
      <c r="E120" s="3" t="s">
        <v>6131</v>
      </c>
      <c r="F120" s="3" t="s">
        <v>6131</v>
      </c>
      <c r="G120" s="3">
        <v>0</v>
      </c>
      <c r="H120" t="s">
        <v>3467</v>
      </c>
      <c r="I120" t="s">
        <v>160</v>
      </c>
    </row>
    <row r="121" spans="1:10" ht="15" customHeight="1" x14ac:dyDescent="0.25">
      <c r="A121" t="s">
        <v>6132</v>
      </c>
      <c r="B121" t="s">
        <v>3530</v>
      </c>
      <c r="C121" t="s">
        <v>5475</v>
      </c>
      <c r="D121">
        <v>1</v>
      </c>
      <c r="E121" t="s">
        <v>6133</v>
      </c>
      <c r="F121" t="s">
        <v>6134</v>
      </c>
      <c r="G121">
        <v>1</v>
      </c>
      <c r="H121" t="s">
        <v>6132</v>
      </c>
      <c r="I121" t="s">
        <v>2362</v>
      </c>
      <c r="J121" t="s">
        <v>6135</v>
      </c>
    </row>
    <row r="122" spans="1:10" ht="15" customHeight="1" x14ac:dyDescent="0.25">
      <c r="A122" t="s">
        <v>6136</v>
      </c>
      <c r="B122" t="s">
        <v>3518</v>
      </c>
      <c r="C122" t="s">
        <v>4631</v>
      </c>
      <c r="D122">
        <v>2</v>
      </c>
      <c r="E122" t="s">
        <v>6137</v>
      </c>
      <c r="F122" t="s">
        <v>6138</v>
      </c>
      <c r="G122">
        <v>2</v>
      </c>
      <c r="H122" t="s">
        <v>6136</v>
      </c>
      <c r="I122" t="s">
        <v>90</v>
      </c>
      <c r="J122" t="s">
        <v>6130</v>
      </c>
    </row>
    <row r="123" spans="1:10" ht="15" customHeight="1" x14ac:dyDescent="0.25">
      <c r="A123" t="s">
        <v>6139</v>
      </c>
      <c r="B123" t="s">
        <v>3530</v>
      </c>
      <c r="C123" t="s">
        <v>5475</v>
      </c>
      <c r="D123">
        <v>1</v>
      </c>
      <c r="E123" t="s">
        <v>5905</v>
      </c>
      <c r="F123" t="s">
        <v>5906</v>
      </c>
      <c r="G123">
        <v>1</v>
      </c>
      <c r="H123" t="s">
        <v>6139</v>
      </c>
      <c r="I123" t="s">
        <v>2362</v>
      </c>
      <c r="J123" t="s">
        <v>5908</v>
      </c>
    </row>
    <row r="124" spans="1:10" ht="15" customHeight="1" x14ac:dyDescent="0.25">
      <c r="A124" t="s">
        <v>6140</v>
      </c>
      <c r="B124" t="s">
        <v>41</v>
      </c>
      <c r="C124" t="s">
        <v>5475</v>
      </c>
      <c r="D124">
        <v>1</v>
      </c>
      <c r="E124" t="s">
        <v>5905</v>
      </c>
      <c r="F124" t="s">
        <v>5906</v>
      </c>
      <c r="G124">
        <v>1</v>
      </c>
      <c r="H124" t="s">
        <v>6140</v>
      </c>
      <c r="I124" t="s">
        <v>2362</v>
      </c>
      <c r="J124" t="s">
        <v>6040</v>
      </c>
    </row>
    <row r="125" spans="1:10" ht="15" customHeight="1" x14ac:dyDescent="0.25">
      <c r="A125" t="s">
        <v>6141</v>
      </c>
      <c r="B125" t="s">
        <v>41</v>
      </c>
      <c r="C125" t="s">
        <v>5394</v>
      </c>
      <c r="D125">
        <v>1</v>
      </c>
      <c r="E125" t="s">
        <v>6142</v>
      </c>
      <c r="F125" t="s">
        <v>6143</v>
      </c>
      <c r="G125">
        <v>1</v>
      </c>
      <c r="H125" t="s">
        <v>6141</v>
      </c>
      <c r="I125" t="s">
        <v>90</v>
      </c>
      <c r="J125" t="s">
        <v>5853</v>
      </c>
    </row>
    <row r="126" spans="1:10" ht="15" customHeight="1" x14ac:dyDescent="0.25">
      <c r="A126" t="s">
        <v>6144</v>
      </c>
      <c r="B126" t="s">
        <v>3530</v>
      </c>
      <c r="C126" t="s">
        <v>5394</v>
      </c>
      <c r="D126">
        <v>2</v>
      </c>
      <c r="E126" t="s">
        <v>6145</v>
      </c>
      <c r="F126" t="s">
        <v>6146</v>
      </c>
      <c r="G126">
        <v>2</v>
      </c>
      <c r="H126" t="s">
        <v>6147</v>
      </c>
      <c r="I126" t="s">
        <v>90</v>
      </c>
      <c r="J126" t="s">
        <v>6148</v>
      </c>
    </row>
    <row r="127" spans="1:10" ht="15" customHeight="1" x14ac:dyDescent="0.25">
      <c r="A127" t="s">
        <v>4727</v>
      </c>
      <c r="B127" t="s">
        <v>41</v>
      </c>
      <c r="C127" t="s">
        <v>5756</v>
      </c>
      <c r="D127">
        <v>1</v>
      </c>
      <c r="E127" t="s">
        <v>6149</v>
      </c>
      <c r="F127" t="s">
        <v>6149</v>
      </c>
      <c r="G127">
        <v>1</v>
      </c>
      <c r="H127" t="s">
        <v>4730</v>
      </c>
      <c r="I127" t="s">
        <v>1047</v>
      </c>
      <c r="J127" t="s">
        <v>5789</v>
      </c>
    </row>
    <row r="128" spans="1:10" ht="15" customHeight="1" x14ac:dyDescent="0.25">
      <c r="A128" t="s">
        <v>6150</v>
      </c>
      <c r="B128" t="s">
        <v>3518</v>
      </c>
      <c r="C128" t="s">
        <v>5394</v>
      </c>
      <c r="D128">
        <v>1</v>
      </c>
      <c r="E128" t="s">
        <v>6151</v>
      </c>
      <c r="F128" t="s">
        <v>6152</v>
      </c>
      <c r="G128">
        <v>1</v>
      </c>
      <c r="H128" t="s">
        <v>6153</v>
      </c>
      <c r="I128" t="s">
        <v>90</v>
      </c>
      <c r="J128" t="s">
        <v>5961</v>
      </c>
    </row>
    <row r="129" spans="1:10" ht="15" customHeight="1" x14ac:dyDescent="0.25">
      <c r="A129" t="s">
        <v>6154</v>
      </c>
      <c r="B129" t="s">
        <v>3518</v>
      </c>
      <c r="C129" t="s">
        <v>4631</v>
      </c>
      <c r="D129">
        <v>1</v>
      </c>
      <c r="E129" t="s">
        <v>6155</v>
      </c>
      <c r="F129" t="s">
        <v>6156</v>
      </c>
      <c r="G129">
        <v>1</v>
      </c>
      <c r="H129" t="s">
        <v>6157</v>
      </c>
      <c r="I129" t="s">
        <v>90</v>
      </c>
      <c r="J129" t="s">
        <v>6158</v>
      </c>
    </row>
    <row r="130" spans="1:10" ht="15" customHeight="1" x14ac:dyDescent="0.25">
      <c r="A130" t="s">
        <v>6159</v>
      </c>
      <c r="B130" t="s">
        <v>41</v>
      </c>
      <c r="C130" t="s">
        <v>5475</v>
      </c>
      <c r="D130">
        <v>1</v>
      </c>
      <c r="E130" t="s">
        <v>6160</v>
      </c>
      <c r="F130" t="s">
        <v>6161</v>
      </c>
      <c r="G130">
        <v>1</v>
      </c>
      <c r="H130" t="s">
        <v>6159</v>
      </c>
      <c r="I130" t="s">
        <v>2362</v>
      </c>
      <c r="J130" t="s">
        <v>6135</v>
      </c>
    </row>
    <row r="131" spans="1:10" ht="15" customHeight="1" x14ac:dyDescent="0.25">
      <c r="A131" t="s">
        <v>6162</v>
      </c>
      <c r="B131" t="s">
        <v>3518</v>
      </c>
      <c r="C131" t="s">
        <v>5394</v>
      </c>
      <c r="D131" t="s">
        <v>5980</v>
      </c>
      <c r="E131" t="s">
        <v>6163</v>
      </c>
      <c r="F131" t="s">
        <v>6164</v>
      </c>
      <c r="G131" t="s">
        <v>5980</v>
      </c>
      <c r="H131" t="s">
        <v>6162</v>
      </c>
      <c r="I131" t="s">
        <v>90</v>
      </c>
      <c r="J131" t="s">
        <v>6165</v>
      </c>
    </row>
    <row r="132" spans="1:10" ht="15" customHeight="1" x14ac:dyDescent="0.25">
      <c r="A132" t="s">
        <v>6166</v>
      </c>
      <c r="B132" t="s">
        <v>3530</v>
      </c>
      <c r="C132" t="s">
        <v>5756</v>
      </c>
      <c r="D132">
        <v>0</v>
      </c>
      <c r="E132" t="s">
        <v>6167</v>
      </c>
      <c r="F132" t="s">
        <v>6168</v>
      </c>
      <c r="G132">
        <v>0</v>
      </c>
      <c r="H132" t="s">
        <v>6169</v>
      </c>
      <c r="I132" t="s">
        <v>90</v>
      </c>
      <c r="J132" t="s">
        <v>5811</v>
      </c>
    </row>
    <row r="133" spans="1:10" ht="15" customHeight="1" x14ac:dyDescent="0.25">
      <c r="A133" t="s">
        <v>6170</v>
      </c>
      <c r="B133" t="s">
        <v>3530</v>
      </c>
      <c r="C133" t="s">
        <v>4631</v>
      </c>
      <c r="D133">
        <v>1</v>
      </c>
      <c r="E133" t="s">
        <v>6171</v>
      </c>
      <c r="F133" t="s">
        <v>6172</v>
      </c>
      <c r="G133">
        <v>1</v>
      </c>
      <c r="H133" t="s">
        <v>6170</v>
      </c>
      <c r="I133" t="s">
        <v>90</v>
      </c>
      <c r="J133" t="s">
        <v>5773</v>
      </c>
    </row>
    <row r="134" spans="1:10" ht="15" customHeight="1" x14ac:dyDescent="0.25">
      <c r="A134" t="s">
        <v>6173</v>
      </c>
      <c r="B134" t="s">
        <v>3518</v>
      </c>
      <c r="C134" t="s">
        <v>5839</v>
      </c>
      <c r="D134">
        <v>5</v>
      </c>
      <c r="E134" t="s">
        <v>6174</v>
      </c>
      <c r="F134" t="s">
        <v>6174</v>
      </c>
      <c r="G134">
        <v>4</v>
      </c>
      <c r="H134" t="s">
        <v>6175</v>
      </c>
      <c r="I134" t="s">
        <v>1673</v>
      </c>
    </row>
    <row r="135" spans="1:10" ht="15" customHeight="1" x14ac:dyDescent="0.25">
      <c r="A135" t="s">
        <v>6176</v>
      </c>
      <c r="B135" t="s">
        <v>41</v>
      </c>
      <c r="C135" t="s">
        <v>5475</v>
      </c>
      <c r="D135">
        <v>1</v>
      </c>
      <c r="E135" t="s">
        <v>6177</v>
      </c>
      <c r="F135" t="s">
        <v>6178</v>
      </c>
      <c r="G135">
        <v>1</v>
      </c>
      <c r="H135" t="s">
        <v>6176</v>
      </c>
      <c r="I135" t="s">
        <v>2362</v>
      </c>
      <c r="J135" t="s">
        <v>5996</v>
      </c>
    </row>
    <row r="136" spans="1:10" ht="15" customHeight="1" x14ac:dyDescent="0.25">
      <c r="A136" t="s">
        <v>5731</v>
      </c>
      <c r="B136" t="s">
        <v>3563</v>
      </c>
      <c r="C136" t="s">
        <v>5756</v>
      </c>
      <c r="D136">
        <v>0</v>
      </c>
      <c r="E136" t="s">
        <v>6179</v>
      </c>
      <c r="F136" t="s">
        <v>6180</v>
      </c>
      <c r="G136">
        <v>0</v>
      </c>
      <c r="H136" t="s">
        <v>5731</v>
      </c>
      <c r="I136" t="s">
        <v>90</v>
      </c>
      <c r="J136" t="s">
        <v>5787</v>
      </c>
    </row>
    <row r="137" spans="1:10" ht="15" customHeight="1" x14ac:dyDescent="0.25">
      <c r="A137" t="s">
        <v>6181</v>
      </c>
      <c r="B137" t="s">
        <v>3518</v>
      </c>
      <c r="C137" t="s">
        <v>5394</v>
      </c>
      <c r="D137">
        <v>3</v>
      </c>
      <c r="E137" t="s">
        <v>6182</v>
      </c>
      <c r="F137" t="s">
        <v>6182</v>
      </c>
      <c r="G137">
        <v>2</v>
      </c>
      <c r="H137" t="s">
        <v>6181</v>
      </c>
      <c r="I137" t="s">
        <v>90</v>
      </c>
      <c r="J137" t="s">
        <v>6026</v>
      </c>
    </row>
    <row r="138" spans="1:10" ht="15" customHeight="1" x14ac:dyDescent="0.25">
      <c r="A138" t="s">
        <v>6183</v>
      </c>
      <c r="B138" t="s">
        <v>3530</v>
      </c>
      <c r="C138" t="s">
        <v>4631</v>
      </c>
      <c r="D138">
        <v>1</v>
      </c>
      <c r="E138" t="s">
        <v>6184</v>
      </c>
      <c r="F138" t="s">
        <v>6185</v>
      </c>
      <c r="G138">
        <v>1</v>
      </c>
      <c r="H138" t="s">
        <v>6186</v>
      </c>
      <c r="I138" t="s">
        <v>90</v>
      </c>
      <c r="J138" t="s">
        <v>5918</v>
      </c>
    </row>
    <row r="139" spans="1:10" ht="15" customHeight="1" x14ac:dyDescent="0.25">
      <c r="A139" t="s">
        <v>6187</v>
      </c>
      <c r="B139" t="s">
        <v>3518</v>
      </c>
      <c r="C139" t="s">
        <v>5394</v>
      </c>
      <c r="D139">
        <v>0</v>
      </c>
      <c r="E139" t="s">
        <v>6188</v>
      </c>
      <c r="F139" t="s">
        <v>6189</v>
      </c>
      <c r="G139">
        <v>0</v>
      </c>
      <c r="H139" t="s">
        <v>6187</v>
      </c>
      <c r="I139" t="s">
        <v>90</v>
      </c>
      <c r="J139" t="s">
        <v>6190</v>
      </c>
    </row>
    <row r="140" spans="1:10" ht="15" customHeight="1" x14ac:dyDescent="0.25">
      <c r="A140" t="s">
        <v>6191</v>
      </c>
      <c r="B140" t="s">
        <v>41</v>
      </c>
      <c r="C140" t="s">
        <v>5394</v>
      </c>
      <c r="D140">
        <v>1</v>
      </c>
      <c r="E140" t="s">
        <v>6192</v>
      </c>
      <c r="F140" t="s">
        <v>6193</v>
      </c>
      <c r="G140">
        <v>1</v>
      </c>
      <c r="H140" t="s">
        <v>6191</v>
      </c>
      <c r="I140" t="s">
        <v>90</v>
      </c>
      <c r="J140" t="s">
        <v>5857</v>
      </c>
    </row>
    <row r="141" spans="1:10" ht="15" customHeight="1" x14ac:dyDescent="0.25">
      <c r="A141" t="s">
        <v>6194</v>
      </c>
      <c r="B141" t="s">
        <v>4331</v>
      </c>
      <c r="C141" t="s">
        <v>4279</v>
      </c>
      <c r="D141" t="s">
        <v>4031</v>
      </c>
      <c r="E141" t="s">
        <v>6195</v>
      </c>
      <c r="F141" t="s">
        <v>3467</v>
      </c>
      <c r="G141" t="s">
        <v>3467</v>
      </c>
      <c r="H141" t="s">
        <v>6194</v>
      </c>
      <c r="I141" t="s">
        <v>90</v>
      </c>
      <c r="J141" t="s">
        <v>5904</v>
      </c>
    </row>
    <row r="142" spans="1:10" ht="15" customHeight="1" x14ac:dyDescent="0.25">
      <c r="A142" t="s">
        <v>6196</v>
      </c>
      <c r="B142" t="s">
        <v>41</v>
      </c>
      <c r="C142" t="s">
        <v>5756</v>
      </c>
      <c r="D142">
        <v>2</v>
      </c>
      <c r="E142" t="s">
        <v>6197</v>
      </c>
      <c r="F142" t="s">
        <v>6198</v>
      </c>
      <c r="G142">
        <v>2</v>
      </c>
      <c r="H142" t="s">
        <v>6199</v>
      </c>
      <c r="I142" t="s">
        <v>90</v>
      </c>
      <c r="J142" t="s">
        <v>5769</v>
      </c>
    </row>
    <row r="143" spans="1:10" ht="15" customHeight="1" x14ac:dyDescent="0.25">
      <c r="A143" t="s">
        <v>6200</v>
      </c>
      <c r="B143" t="s">
        <v>3518</v>
      </c>
      <c r="C143" t="s">
        <v>5394</v>
      </c>
      <c r="D143">
        <v>1</v>
      </c>
      <c r="E143" t="s">
        <v>6201</v>
      </c>
      <c r="F143" t="s">
        <v>6201</v>
      </c>
      <c r="G143">
        <v>0</v>
      </c>
      <c r="H143" t="s">
        <v>6202</v>
      </c>
      <c r="I143" t="s">
        <v>90</v>
      </c>
      <c r="J143" t="s">
        <v>5811</v>
      </c>
    </row>
    <row r="144" spans="1:10" ht="15" customHeight="1" x14ac:dyDescent="0.25">
      <c r="A144" t="s">
        <v>6203</v>
      </c>
      <c r="B144" t="s">
        <v>41</v>
      </c>
      <c r="C144" t="s">
        <v>5394</v>
      </c>
      <c r="D144">
        <v>1</v>
      </c>
      <c r="E144" t="s">
        <v>6204</v>
      </c>
      <c r="F144" t="s">
        <v>6205</v>
      </c>
      <c r="G144">
        <v>1</v>
      </c>
      <c r="H144" t="s">
        <v>6206</v>
      </c>
      <c r="I144" t="s">
        <v>90</v>
      </c>
      <c r="J144" t="s">
        <v>6165</v>
      </c>
    </row>
    <row r="145" spans="1:10" ht="15" customHeight="1" x14ac:dyDescent="0.25">
      <c r="A145" t="s">
        <v>6207</v>
      </c>
      <c r="B145" t="s">
        <v>41</v>
      </c>
      <c r="C145" t="s">
        <v>5756</v>
      </c>
      <c r="D145">
        <v>1</v>
      </c>
      <c r="E145" t="s">
        <v>6208</v>
      </c>
      <c r="F145" t="s">
        <v>6209</v>
      </c>
      <c r="G145">
        <v>1</v>
      </c>
      <c r="H145" t="s">
        <v>6210</v>
      </c>
      <c r="I145" t="s">
        <v>90</v>
      </c>
      <c r="J145" t="s">
        <v>5787</v>
      </c>
    </row>
    <row r="146" spans="1:10" ht="15" customHeight="1" x14ac:dyDescent="0.25">
      <c r="A146" t="s">
        <v>6211</v>
      </c>
      <c r="B146" t="s">
        <v>41</v>
      </c>
      <c r="C146" t="s">
        <v>5756</v>
      </c>
      <c r="D146">
        <v>1</v>
      </c>
      <c r="E146" t="s">
        <v>6212</v>
      </c>
      <c r="F146" t="s">
        <v>6213</v>
      </c>
      <c r="G146">
        <v>1</v>
      </c>
      <c r="H146" t="s">
        <v>6214</v>
      </c>
      <c r="I146" t="s">
        <v>90</v>
      </c>
      <c r="J146" t="s">
        <v>6215</v>
      </c>
    </row>
    <row r="147" spans="1:10" ht="15" customHeight="1" x14ac:dyDescent="0.25">
      <c r="A147" t="s">
        <v>6216</v>
      </c>
      <c r="B147" t="s">
        <v>3530</v>
      </c>
      <c r="C147" t="s">
        <v>5394</v>
      </c>
      <c r="D147">
        <v>1</v>
      </c>
      <c r="E147" t="s">
        <v>6217</v>
      </c>
      <c r="F147" t="s">
        <v>6218</v>
      </c>
      <c r="G147">
        <v>1</v>
      </c>
      <c r="H147" t="s">
        <v>6219</v>
      </c>
      <c r="I147" t="s">
        <v>90</v>
      </c>
      <c r="J147" t="s">
        <v>6220</v>
      </c>
    </row>
    <row r="148" spans="1:10" ht="15" customHeight="1" x14ac:dyDescent="0.25">
      <c r="A148" t="s">
        <v>6221</v>
      </c>
      <c r="B148" t="s">
        <v>3530</v>
      </c>
      <c r="C148" t="s">
        <v>5756</v>
      </c>
      <c r="D148">
        <v>2</v>
      </c>
      <c r="E148" t="s">
        <v>6222</v>
      </c>
      <c r="F148" t="s">
        <v>6223</v>
      </c>
      <c r="G148">
        <v>2</v>
      </c>
      <c r="H148" t="s">
        <v>6221</v>
      </c>
      <c r="I148" t="s">
        <v>90</v>
      </c>
      <c r="J148" t="s">
        <v>6059</v>
      </c>
    </row>
    <row r="149" spans="1:10" ht="15" customHeight="1" x14ac:dyDescent="0.25">
      <c r="A149" t="s">
        <v>6224</v>
      </c>
      <c r="B149" t="s">
        <v>41</v>
      </c>
      <c r="C149" t="s">
        <v>5394</v>
      </c>
      <c r="D149">
        <v>0</v>
      </c>
      <c r="E149" t="s">
        <v>6225</v>
      </c>
      <c r="F149" t="s">
        <v>6226</v>
      </c>
      <c r="G149">
        <v>0</v>
      </c>
      <c r="H149" t="s">
        <v>6224</v>
      </c>
      <c r="I149" t="s">
        <v>90</v>
      </c>
      <c r="J149" t="s">
        <v>5742</v>
      </c>
    </row>
    <row r="150" spans="1:10" ht="15" customHeight="1" x14ac:dyDescent="0.25">
      <c r="A150" t="s">
        <v>6227</v>
      </c>
      <c r="B150" t="s">
        <v>3530</v>
      </c>
      <c r="C150" t="s">
        <v>5756</v>
      </c>
      <c r="D150">
        <v>1</v>
      </c>
      <c r="E150" t="s">
        <v>6228</v>
      </c>
      <c r="F150" t="s">
        <v>6229</v>
      </c>
      <c r="G150">
        <v>1</v>
      </c>
      <c r="H150" t="s">
        <v>6227</v>
      </c>
      <c r="I150" t="s">
        <v>90</v>
      </c>
      <c r="J150" t="s">
        <v>6038</v>
      </c>
    </row>
    <row r="151" spans="1:10" ht="15" customHeight="1" x14ac:dyDescent="0.25">
      <c r="A151" t="s">
        <v>5178</v>
      </c>
      <c r="B151" t="s">
        <v>4331</v>
      </c>
      <c r="C151" t="s">
        <v>4279</v>
      </c>
      <c r="D151" t="s">
        <v>4031</v>
      </c>
      <c r="E151" t="s">
        <v>6230</v>
      </c>
      <c r="F151" t="s">
        <v>3467</v>
      </c>
      <c r="G151" t="s">
        <v>4031</v>
      </c>
      <c r="H151" t="s">
        <v>6231</v>
      </c>
      <c r="I151" t="s">
        <v>1650</v>
      </c>
    </row>
    <row r="152" spans="1:10" ht="15" customHeight="1" x14ac:dyDescent="0.25">
      <c r="A152" t="s">
        <v>6232</v>
      </c>
      <c r="B152" t="s">
        <v>4331</v>
      </c>
      <c r="C152" t="s">
        <v>3673</v>
      </c>
      <c r="D152">
        <v>1</v>
      </c>
      <c r="E152" t="s">
        <v>6233</v>
      </c>
      <c r="F152" t="s">
        <v>3467</v>
      </c>
      <c r="G152" t="s">
        <v>3467</v>
      </c>
      <c r="H152" t="s">
        <v>6234</v>
      </c>
      <c r="I152" t="s">
        <v>501</v>
      </c>
      <c r="J152" t="s">
        <v>5827</v>
      </c>
    </row>
    <row r="153" spans="1:10" ht="15" customHeight="1" x14ac:dyDescent="0.25">
      <c r="A153" t="s">
        <v>6235</v>
      </c>
      <c r="B153" t="s">
        <v>41</v>
      </c>
      <c r="C153" t="s">
        <v>5756</v>
      </c>
      <c r="D153">
        <v>1</v>
      </c>
      <c r="E153" t="s">
        <v>6236</v>
      </c>
      <c r="F153" t="s">
        <v>6237</v>
      </c>
      <c r="G153">
        <v>1</v>
      </c>
      <c r="H153" t="s">
        <v>6238</v>
      </c>
      <c r="I153" t="s">
        <v>90</v>
      </c>
      <c r="J153" t="s">
        <v>6239</v>
      </c>
    </row>
    <row r="154" spans="1:10" ht="15" customHeight="1" x14ac:dyDescent="0.25">
      <c r="A154" t="s">
        <v>5396</v>
      </c>
      <c r="B154" t="s">
        <v>3530</v>
      </c>
      <c r="C154" t="s">
        <v>5394</v>
      </c>
      <c r="D154">
        <v>0</v>
      </c>
      <c r="E154" t="s">
        <v>6240</v>
      </c>
      <c r="F154" t="s">
        <v>6241</v>
      </c>
      <c r="G154">
        <v>0</v>
      </c>
      <c r="H154" t="s">
        <v>5396</v>
      </c>
      <c r="I154" t="s">
        <v>90</v>
      </c>
      <c r="J154" t="s">
        <v>5773</v>
      </c>
    </row>
    <row r="155" spans="1:10" ht="15" customHeight="1" x14ac:dyDescent="0.25">
      <c r="A155" t="s">
        <v>6242</v>
      </c>
      <c r="B155" t="s">
        <v>3530</v>
      </c>
      <c r="C155" t="s">
        <v>5756</v>
      </c>
      <c r="D155">
        <v>1</v>
      </c>
      <c r="E155" t="s">
        <v>6243</v>
      </c>
      <c r="F155" t="s">
        <v>6244</v>
      </c>
      <c r="G155">
        <v>1</v>
      </c>
      <c r="H155" t="s">
        <v>6242</v>
      </c>
      <c r="I155" t="s">
        <v>90</v>
      </c>
      <c r="J155" t="s">
        <v>6093</v>
      </c>
    </row>
    <row r="156" spans="1:10" ht="15" customHeight="1" x14ac:dyDescent="0.25">
      <c r="A156" t="s">
        <v>6245</v>
      </c>
      <c r="B156" t="s">
        <v>3530</v>
      </c>
      <c r="C156" t="s">
        <v>5475</v>
      </c>
      <c r="D156">
        <v>1</v>
      </c>
      <c r="E156" t="s">
        <v>5905</v>
      </c>
      <c r="F156" t="s">
        <v>5906</v>
      </c>
      <c r="G156">
        <v>1</v>
      </c>
      <c r="H156" t="s">
        <v>6245</v>
      </c>
      <c r="I156" t="s">
        <v>2362</v>
      </c>
      <c r="J156" t="s">
        <v>5908</v>
      </c>
    </row>
    <row r="157" spans="1:10" ht="15" customHeight="1" x14ac:dyDescent="0.25">
      <c r="A157" t="s">
        <v>6246</v>
      </c>
      <c r="B157" t="s">
        <v>3518</v>
      </c>
      <c r="C157" t="s">
        <v>5756</v>
      </c>
      <c r="D157">
        <v>2</v>
      </c>
      <c r="E157" t="s">
        <v>6247</v>
      </c>
      <c r="F157" t="s">
        <v>6248</v>
      </c>
      <c r="G157">
        <v>2</v>
      </c>
      <c r="H157" t="s">
        <v>6246</v>
      </c>
      <c r="I157" t="s">
        <v>90</v>
      </c>
      <c r="J157" t="s">
        <v>6030</v>
      </c>
    </row>
    <row r="158" spans="1:10" ht="15" customHeight="1" x14ac:dyDescent="0.25">
      <c r="A158" t="s">
        <v>6249</v>
      </c>
      <c r="B158" t="s">
        <v>3530</v>
      </c>
      <c r="C158" t="s">
        <v>5756</v>
      </c>
      <c r="D158">
        <v>0</v>
      </c>
      <c r="E158" t="s">
        <v>6250</v>
      </c>
      <c r="F158" t="s">
        <v>6251</v>
      </c>
      <c r="G158">
        <v>0</v>
      </c>
      <c r="H158" t="s">
        <v>6252</v>
      </c>
      <c r="I158" t="s">
        <v>90</v>
      </c>
      <c r="J158" t="s">
        <v>6253</v>
      </c>
    </row>
    <row r="159" spans="1:10" ht="15" customHeight="1" x14ac:dyDescent="0.25">
      <c r="A159" t="s">
        <v>6254</v>
      </c>
      <c r="B159" t="s">
        <v>4331</v>
      </c>
      <c r="C159" t="s">
        <v>3673</v>
      </c>
      <c r="D159">
        <v>1</v>
      </c>
      <c r="E159" t="s">
        <v>6255</v>
      </c>
      <c r="F159" t="s">
        <v>3467</v>
      </c>
      <c r="G159" t="s">
        <v>3467</v>
      </c>
      <c r="H159" t="s">
        <v>6256</v>
      </c>
      <c r="I159" t="s">
        <v>501</v>
      </c>
      <c r="J159" t="s">
        <v>5827</v>
      </c>
    </row>
    <row r="160" spans="1:10" ht="15" customHeight="1" x14ac:dyDescent="0.25">
      <c r="A160" t="s">
        <v>6257</v>
      </c>
      <c r="B160" t="s">
        <v>3530</v>
      </c>
      <c r="C160" t="s">
        <v>5394</v>
      </c>
      <c r="D160" t="s">
        <v>4031</v>
      </c>
      <c r="E160" t="s">
        <v>6258</v>
      </c>
      <c r="F160" t="s">
        <v>6259</v>
      </c>
      <c r="G160" t="s">
        <v>4031</v>
      </c>
      <c r="H160" t="s">
        <v>6257</v>
      </c>
      <c r="I160" t="s">
        <v>90</v>
      </c>
      <c r="J160" t="s">
        <v>5871</v>
      </c>
    </row>
    <row r="161" spans="1:10" ht="15" customHeight="1" x14ac:dyDescent="0.25">
      <c r="A161" t="s">
        <v>5143</v>
      </c>
      <c r="B161" t="s">
        <v>4331</v>
      </c>
      <c r="C161" t="s">
        <v>4279</v>
      </c>
      <c r="D161" t="s">
        <v>4031</v>
      </c>
      <c r="E161" t="s">
        <v>6260</v>
      </c>
      <c r="F161" t="s">
        <v>3467</v>
      </c>
      <c r="G161" t="s">
        <v>3467</v>
      </c>
      <c r="H161" t="s">
        <v>5143</v>
      </c>
      <c r="I161" t="s">
        <v>90</v>
      </c>
      <c r="J161" t="s">
        <v>5904</v>
      </c>
    </row>
    <row r="162" spans="1:10" ht="15" customHeight="1" x14ac:dyDescent="0.25">
      <c r="A162" t="s">
        <v>6261</v>
      </c>
      <c r="B162" t="s">
        <v>3530</v>
      </c>
      <c r="C162" t="s">
        <v>5756</v>
      </c>
      <c r="D162">
        <v>2</v>
      </c>
      <c r="E162" t="s">
        <v>6262</v>
      </c>
      <c r="F162" t="s">
        <v>6263</v>
      </c>
      <c r="G162">
        <v>2</v>
      </c>
      <c r="H162" t="s">
        <v>6264</v>
      </c>
      <c r="I162" t="s">
        <v>90</v>
      </c>
      <c r="J162" t="s">
        <v>5811</v>
      </c>
    </row>
    <row r="163" spans="1:10" ht="15" customHeight="1" x14ac:dyDescent="0.25">
      <c r="A163" t="s">
        <v>6265</v>
      </c>
      <c r="B163" t="s">
        <v>3530</v>
      </c>
      <c r="C163" t="s">
        <v>5839</v>
      </c>
      <c r="D163">
        <v>2</v>
      </c>
      <c r="E163" t="s">
        <v>6266</v>
      </c>
      <c r="F163" t="s">
        <v>6267</v>
      </c>
      <c r="G163">
        <v>2</v>
      </c>
      <c r="H163" t="s">
        <v>6268</v>
      </c>
      <c r="I163" t="s">
        <v>1673</v>
      </c>
    </row>
    <row r="164" spans="1:10" ht="15" customHeight="1" x14ac:dyDescent="0.25">
      <c r="A164" t="s">
        <v>6269</v>
      </c>
      <c r="B164" t="s">
        <v>3530</v>
      </c>
      <c r="C164" t="s">
        <v>4631</v>
      </c>
      <c r="D164">
        <v>1</v>
      </c>
      <c r="E164" t="s">
        <v>6270</v>
      </c>
      <c r="F164" t="s">
        <v>6271</v>
      </c>
      <c r="G164">
        <v>1</v>
      </c>
      <c r="H164" t="s">
        <v>6269</v>
      </c>
      <c r="I164" t="s">
        <v>90</v>
      </c>
      <c r="J164" t="s">
        <v>5961</v>
      </c>
    </row>
    <row r="165" spans="1:10" ht="15" customHeight="1" x14ac:dyDescent="0.25">
      <c r="A165" t="s">
        <v>4850</v>
      </c>
      <c r="B165" t="s">
        <v>3530</v>
      </c>
      <c r="C165" t="s">
        <v>5394</v>
      </c>
      <c r="D165">
        <v>1</v>
      </c>
      <c r="E165" t="s">
        <v>6272</v>
      </c>
      <c r="F165" t="s">
        <v>6272</v>
      </c>
      <c r="G165">
        <v>1</v>
      </c>
      <c r="H165" t="s">
        <v>4853</v>
      </c>
      <c r="I165" t="s">
        <v>1650</v>
      </c>
      <c r="J165" t="s">
        <v>5789</v>
      </c>
    </row>
    <row r="166" spans="1:10" ht="15" customHeight="1" x14ac:dyDescent="0.25">
      <c r="A166" t="s">
        <v>6273</v>
      </c>
      <c r="B166" t="s">
        <v>3530</v>
      </c>
      <c r="C166" t="s">
        <v>5756</v>
      </c>
      <c r="D166">
        <v>2</v>
      </c>
      <c r="E166" t="s">
        <v>6274</v>
      </c>
      <c r="F166" t="s">
        <v>3467</v>
      </c>
      <c r="G166">
        <v>2</v>
      </c>
      <c r="H166" t="s">
        <v>6275</v>
      </c>
      <c r="I166" t="s">
        <v>90</v>
      </c>
      <c r="J166" t="s">
        <v>6093</v>
      </c>
    </row>
    <row r="167" spans="1:10" ht="15" customHeight="1" x14ac:dyDescent="0.25">
      <c r="A167" t="s">
        <v>6276</v>
      </c>
      <c r="B167" t="s">
        <v>3530</v>
      </c>
      <c r="C167" t="s">
        <v>5394</v>
      </c>
      <c r="D167">
        <v>1</v>
      </c>
      <c r="E167" t="s">
        <v>6277</v>
      </c>
      <c r="F167" t="s">
        <v>6278</v>
      </c>
      <c r="G167">
        <v>1</v>
      </c>
      <c r="H167" t="s">
        <v>6279</v>
      </c>
      <c r="I167" t="s">
        <v>90</v>
      </c>
      <c r="J167" t="s">
        <v>6033</v>
      </c>
    </row>
    <row r="168" spans="1:10" ht="15" customHeight="1" x14ac:dyDescent="0.25">
      <c r="A168" t="s">
        <v>6280</v>
      </c>
      <c r="B168" t="s">
        <v>3530</v>
      </c>
      <c r="C168" t="s">
        <v>5394</v>
      </c>
      <c r="D168">
        <v>1</v>
      </c>
      <c r="E168" t="s">
        <v>6281</v>
      </c>
      <c r="F168" t="s">
        <v>6281</v>
      </c>
      <c r="G168">
        <v>0</v>
      </c>
      <c r="H168" t="s">
        <v>6282</v>
      </c>
      <c r="I168" t="s">
        <v>90</v>
      </c>
      <c r="J168" t="s">
        <v>6283</v>
      </c>
    </row>
    <row r="169" spans="1:10" ht="15" customHeight="1" x14ac:dyDescent="0.25">
      <c r="A169" t="s">
        <v>6284</v>
      </c>
      <c r="B169" t="s">
        <v>3518</v>
      </c>
      <c r="C169" t="s">
        <v>5394</v>
      </c>
      <c r="D169">
        <v>0</v>
      </c>
      <c r="E169" t="s">
        <v>6285</v>
      </c>
      <c r="F169" t="s">
        <v>6286</v>
      </c>
      <c r="G169">
        <v>0</v>
      </c>
      <c r="H169" t="s">
        <v>6284</v>
      </c>
      <c r="I169" t="s">
        <v>90</v>
      </c>
      <c r="J169" t="s">
        <v>6287</v>
      </c>
    </row>
    <row r="170" spans="1:10" ht="15" customHeight="1" x14ac:dyDescent="0.25">
      <c r="A170" t="s">
        <v>6288</v>
      </c>
      <c r="B170" t="s">
        <v>3530</v>
      </c>
      <c r="C170" t="s">
        <v>5394</v>
      </c>
      <c r="D170">
        <v>1</v>
      </c>
      <c r="E170" t="s">
        <v>6289</v>
      </c>
      <c r="F170" t="s">
        <v>6290</v>
      </c>
      <c r="G170">
        <v>1</v>
      </c>
      <c r="H170" t="s">
        <v>6288</v>
      </c>
      <c r="I170" t="s">
        <v>90</v>
      </c>
      <c r="J170" t="s">
        <v>6033</v>
      </c>
    </row>
    <row r="171" spans="1:10" ht="15" customHeight="1" x14ac:dyDescent="0.25">
      <c r="A171" t="s">
        <v>6291</v>
      </c>
      <c r="B171" t="s">
        <v>3530</v>
      </c>
      <c r="C171" t="s">
        <v>5394</v>
      </c>
      <c r="D171">
        <v>1</v>
      </c>
      <c r="E171" t="s">
        <v>6292</v>
      </c>
      <c r="F171" t="s">
        <v>6292</v>
      </c>
      <c r="G171">
        <v>0</v>
      </c>
      <c r="H171" t="s">
        <v>6291</v>
      </c>
      <c r="I171" t="s">
        <v>90</v>
      </c>
      <c r="J171" t="s">
        <v>5857</v>
      </c>
    </row>
    <row r="172" spans="1:10" ht="15" customHeight="1" x14ac:dyDescent="0.25">
      <c r="A172" t="s">
        <v>6293</v>
      </c>
      <c r="B172" t="s">
        <v>3530</v>
      </c>
      <c r="C172" t="s">
        <v>5756</v>
      </c>
      <c r="D172">
        <v>2</v>
      </c>
      <c r="E172" t="s">
        <v>6294</v>
      </c>
      <c r="F172" t="s">
        <v>6295</v>
      </c>
      <c r="G172">
        <v>2</v>
      </c>
      <c r="H172" t="s">
        <v>6296</v>
      </c>
      <c r="I172" t="s">
        <v>90</v>
      </c>
      <c r="J172" t="s">
        <v>6038</v>
      </c>
    </row>
    <row r="173" spans="1:10" ht="15" customHeight="1" x14ac:dyDescent="0.25">
      <c r="A173" t="s">
        <v>6297</v>
      </c>
      <c r="B173" t="s">
        <v>4331</v>
      </c>
      <c r="C173" t="s">
        <v>4279</v>
      </c>
      <c r="D173" t="s">
        <v>4031</v>
      </c>
      <c r="E173" t="s">
        <v>6298</v>
      </c>
      <c r="F173" t="s">
        <v>3467</v>
      </c>
      <c r="G173" t="s">
        <v>3467</v>
      </c>
      <c r="H173" t="s">
        <v>6297</v>
      </c>
      <c r="I173" t="s">
        <v>90</v>
      </c>
      <c r="J173" t="s">
        <v>5904</v>
      </c>
    </row>
    <row r="174" spans="1:10" ht="15" customHeight="1" x14ac:dyDescent="0.25">
      <c r="A174" t="s">
        <v>6299</v>
      </c>
      <c r="B174" t="s">
        <v>4331</v>
      </c>
      <c r="C174" t="s">
        <v>5756</v>
      </c>
      <c r="D174">
        <v>0</v>
      </c>
      <c r="E174" t="s">
        <v>6300</v>
      </c>
      <c r="F174" t="s">
        <v>6301</v>
      </c>
      <c r="G174">
        <v>0</v>
      </c>
      <c r="H174" t="s">
        <v>6299</v>
      </c>
      <c r="I174" t="s">
        <v>90</v>
      </c>
    </row>
    <row r="175" spans="1:10" ht="15" customHeight="1" x14ac:dyDescent="0.25">
      <c r="A175" t="s">
        <v>6302</v>
      </c>
      <c r="B175" t="s">
        <v>3530</v>
      </c>
      <c r="C175" t="s">
        <v>5394</v>
      </c>
      <c r="D175">
        <v>2</v>
      </c>
      <c r="E175" t="s">
        <v>6303</v>
      </c>
      <c r="F175" t="s">
        <v>6304</v>
      </c>
      <c r="G175">
        <v>2</v>
      </c>
      <c r="H175" t="s">
        <v>6302</v>
      </c>
      <c r="I175" t="s">
        <v>90</v>
      </c>
      <c r="J175" t="s">
        <v>5971</v>
      </c>
    </row>
    <row r="176" spans="1:10" ht="15" customHeight="1" x14ac:dyDescent="0.25">
      <c r="A176" t="s">
        <v>6305</v>
      </c>
      <c r="B176" t="s">
        <v>41</v>
      </c>
      <c r="C176" t="s">
        <v>5394</v>
      </c>
      <c r="D176">
        <v>1</v>
      </c>
      <c r="E176" t="s">
        <v>6306</v>
      </c>
      <c r="F176" t="s">
        <v>6307</v>
      </c>
      <c r="G176">
        <v>1</v>
      </c>
      <c r="H176" t="s">
        <v>6308</v>
      </c>
      <c r="I176" t="s">
        <v>90</v>
      </c>
      <c r="J176" t="s">
        <v>6309</v>
      </c>
    </row>
    <row r="177" spans="1:10" ht="15" customHeight="1" x14ac:dyDescent="0.25">
      <c r="A177" t="s">
        <v>6310</v>
      </c>
      <c r="B177" t="s">
        <v>3530</v>
      </c>
      <c r="C177" t="s">
        <v>5756</v>
      </c>
      <c r="D177" t="s">
        <v>5980</v>
      </c>
      <c r="E177" t="s">
        <v>6311</v>
      </c>
      <c r="F177" t="s">
        <v>6312</v>
      </c>
      <c r="G177" t="s">
        <v>5980</v>
      </c>
      <c r="H177" t="s">
        <v>6310</v>
      </c>
      <c r="I177" t="s">
        <v>90</v>
      </c>
      <c r="J177" t="s">
        <v>5811</v>
      </c>
    </row>
    <row r="178" spans="1:10" ht="15" customHeight="1" x14ac:dyDescent="0.25">
      <c r="A178" t="s">
        <v>6313</v>
      </c>
      <c r="B178" t="s">
        <v>41</v>
      </c>
      <c r="C178" t="s">
        <v>5756</v>
      </c>
      <c r="D178">
        <v>0</v>
      </c>
      <c r="E178" t="s">
        <v>6314</v>
      </c>
      <c r="F178" t="s">
        <v>6315</v>
      </c>
      <c r="G178">
        <v>0</v>
      </c>
      <c r="H178" t="s">
        <v>6313</v>
      </c>
      <c r="I178" t="s">
        <v>90</v>
      </c>
      <c r="J178" t="s">
        <v>5811</v>
      </c>
    </row>
    <row r="179" spans="1:10" ht="15" customHeight="1" x14ac:dyDescent="0.25">
      <c r="A179" t="s">
        <v>6316</v>
      </c>
      <c r="B179" t="s">
        <v>4331</v>
      </c>
      <c r="C179" t="s">
        <v>3673</v>
      </c>
      <c r="D179">
        <v>1</v>
      </c>
      <c r="E179" t="s">
        <v>6317</v>
      </c>
      <c r="F179" t="s">
        <v>3467</v>
      </c>
      <c r="G179" t="s">
        <v>3467</v>
      </c>
      <c r="H179" t="s">
        <v>6316</v>
      </c>
      <c r="I179" t="s">
        <v>90</v>
      </c>
    </row>
    <row r="180" spans="1:10" ht="15" customHeight="1" x14ac:dyDescent="0.25">
      <c r="A180" t="s">
        <v>6318</v>
      </c>
      <c r="B180" t="s">
        <v>41</v>
      </c>
      <c r="C180" t="s">
        <v>5756</v>
      </c>
      <c r="D180">
        <v>2</v>
      </c>
      <c r="E180" t="s">
        <v>6319</v>
      </c>
      <c r="F180" t="s">
        <v>6320</v>
      </c>
      <c r="G180">
        <v>2</v>
      </c>
      <c r="H180" t="s">
        <v>6321</v>
      </c>
      <c r="I180" t="s">
        <v>90</v>
      </c>
      <c r="J180" t="s">
        <v>6059</v>
      </c>
    </row>
    <row r="181" spans="1:10" ht="15" customHeight="1" x14ac:dyDescent="0.25">
      <c r="A181" t="s">
        <v>6322</v>
      </c>
      <c r="B181" t="s">
        <v>3530</v>
      </c>
      <c r="C181" t="s">
        <v>5475</v>
      </c>
      <c r="D181">
        <v>1</v>
      </c>
      <c r="E181" t="s">
        <v>5905</v>
      </c>
      <c r="F181" t="s">
        <v>5906</v>
      </c>
      <c r="G181">
        <v>1</v>
      </c>
      <c r="H181" t="s">
        <v>6322</v>
      </c>
      <c r="I181" t="s">
        <v>2362</v>
      </c>
      <c r="J181" t="s">
        <v>6040</v>
      </c>
    </row>
    <row r="182" spans="1:10" ht="15" customHeight="1" x14ac:dyDescent="0.25">
      <c r="A182" t="s">
        <v>6323</v>
      </c>
      <c r="B182" t="s">
        <v>3530</v>
      </c>
      <c r="C182" t="s">
        <v>5394</v>
      </c>
      <c r="D182">
        <v>1</v>
      </c>
      <c r="E182" t="s">
        <v>6324</v>
      </c>
      <c r="F182" t="s">
        <v>6325</v>
      </c>
      <c r="G182">
        <v>1</v>
      </c>
      <c r="H182" t="s">
        <v>6326</v>
      </c>
      <c r="I182" t="s">
        <v>90</v>
      </c>
      <c r="J182" t="s">
        <v>5961</v>
      </c>
    </row>
    <row r="183" spans="1:10" ht="15" customHeight="1" x14ac:dyDescent="0.25">
      <c r="A183" t="s">
        <v>6327</v>
      </c>
      <c r="B183" t="s">
        <v>3518</v>
      </c>
      <c r="C183" t="s">
        <v>5394</v>
      </c>
      <c r="D183">
        <v>1</v>
      </c>
      <c r="E183" t="s">
        <v>6328</v>
      </c>
      <c r="F183" t="s">
        <v>6329</v>
      </c>
      <c r="G183">
        <v>1</v>
      </c>
      <c r="H183" t="s">
        <v>6330</v>
      </c>
      <c r="I183" t="s">
        <v>90</v>
      </c>
      <c r="J183" t="s">
        <v>6331</v>
      </c>
    </row>
    <row r="184" spans="1:10" ht="15" customHeight="1" x14ac:dyDescent="0.25">
      <c r="A184" t="s">
        <v>6332</v>
      </c>
      <c r="B184" t="s">
        <v>3563</v>
      </c>
      <c r="C184" t="s">
        <v>5756</v>
      </c>
      <c r="D184">
        <v>1</v>
      </c>
      <c r="E184" t="s">
        <v>6314</v>
      </c>
      <c r="F184" t="s">
        <v>6315</v>
      </c>
      <c r="G184">
        <v>1</v>
      </c>
      <c r="H184" t="s">
        <v>3467</v>
      </c>
      <c r="I184" t="s">
        <v>3467</v>
      </c>
    </row>
    <row r="185" spans="1:10" ht="15" customHeight="1" x14ac:dyDescent="0.25">
      <c r="A185" t="s">
        <v>6333</v>
      </c>
      <c r="B185" t="s">
        <v>41</v>
      </c>
      <c r="C185" t="s">
        <v>5756</v>
      </c>
      <c r="D185">
        <v>1</v>
      </c>
      <c r="E185" t="s">
        <v>6334</v>
      </c>
      <c r="F185" t="s">
        <v>6335</v>
      </c>
      <c r="G185">
        <v>1</v>
      </c>
      <c r="H185" t="s">
        <v>6336</v>
      </c>
      <c r="I185" t="s">
        <v>90</v>
      </c>
      <c r="J185" t="s">
        <v>5787</v>
      </c>
    </row>
    <row r="186" spans="1:10" ht="15" customHeight="1" x14ac:dyDescent="0.25">
      <c r="A186" t="s">
        <v>5730</v>
      </c>
      <c r="B186" t="s">
        <v>3563</v>
      </c>
      <c r="C186" t="s">
        <v>5394</v>
      </c>
      <c r="D186">
        <v>1</v>
      </c>
      <c r="E186" t="s">
        <v>6337</v>
      </c>
      <c r="F186" t="s">
        <v>6338</v>
      </c>
      <c r="G186">
        <v>1</v>
      </c>
      <c r="H186" t="s">
        <v>5730</v>
      </c>
      <c r="I186" t="s">
        <v>90</v>
      </c>
      <c r="J186" t="s">
        <v>6339</v>
      </c>
    </row>
    <row r="187" spans="1:10" ht="15" customHeight="1" x14ac:dyDescent="0.25">
      <c r="A187" t="s">
        <v>6340</v>
      </c>
      <c r="B187" t="s">
        <v>41</v>
      </c>
      <c r="C187" t="s">
        <v>5756</v>
      </c>
      <c r="D187">
        <v>1</v>
      </c>
      <c r="E187" t="s">
        <v>6341</v>
      </c>
      <c r="F187" t="s">
        <v>6342</v>
      </c>
      <c r="G187">
        <v>1</v>
      </c>
      <c r="H187" t="s">
        <v>6343</v>
      </c>
      <c r="I187" t="s">
        <v>90</v>
      </c>
      <c r="J187" t="s">
        <v>6344</v>
      </c>
    </row>
    <row r="188" spans="1:10" ht="15" customHeight="1" x14ac:dyDescent="0.25">
      <c r="A188" t="s">
        <v>6345</v>
      </c>
      <c r="B188" t="s">
        <v>41</v>
      </c>
      <c r="C188" t="s">
        <v>5756</v>
      </c>
      <c r="D188">
        <v>1</v>
      </c>
      <c r="E188" t="s">
        <v>6346</v>
      </c>
      <c r="F188" t="s">
        <v>6347</v>
      </c>
      <c r="G188">
        <v>1</v>
      </c>
      <c r="H188" t="s">
        <v>6348</v>
      </c>
      <c r="I188" t="s">
        <v>90</v>
      </c>
      <c r="J188" t="s">
        <v>5769</v>
      </c>
    </row>
    <row r="189" spans="1:10" ht="15" customHeight="1" x14ac:dyDescent="0.25">
      <c r="A189" t="s">
        <v>6349</v>
      </c>
      <c r="B189" t="s">
        <v>3530</v>
      </c>
      <c r="C189" t="s">
        <v>5394</v>
      </c>
      <c r="D189" t="s">
        <v>4031</v>
      </c>
      <c r="E189" t="s">
        <v>6350</v>
      </c>
      <c r="F189" t="s">
        <v>6351</v>
      </c>
      <c r="G189" t="s">
        <v>4031</v>
      </c>
      <c r="H189" t="s">
        <v>6349</v>
      </c>
      <c r="I189" t="s">
        <v>90</v>
      </c>
      <c r="J189" t="s">
        <v>6352</v>
      </c>
    </row>
    <row r="190" spans="1:10" ht="15" customHeight="1" x14ac:dyDescent="0.25">
      <c r="A190" t="s">
        <v>6353</v>
      </c>
      <c r="B190" t="s">
        <v>3530</v>
      </c>
      <c r="C190" t="s">
        <v>5839</v>
      </c>
      <c r="D190">
        <v>3</v>
      </c>
      <c r="E190" t="s">
        <v>6354</v>
      </c>
      <c r="F190" t="s">
        <v>6355</v>
      </c>
      <c r="G190">
        <v>3</v>
      </c>
      <c r="H190" t="s">
        <v>6356</v>
      </c>
      <c r="I190" t="s">
        <v>1673</v>
      </c>
    </row>
    <row r="191" spans="1:10" ht="15" customHeight="1" x14ac:dyDescent="0.25">
      <c r="A191" t="s">
        <v>6357</v>
      </c>
      <c r="B191" t="s">
        <v>3530</v>
      </c>
      <c r="C191" t="s">
        <v>5394</v>
      </c>
      <c r="D191">
        <v>1</v>
      </c>
      <c r="E191" t="s">
        <v>6358</v>
      </c>
      <c r="F191" t="s">
        <v>6358</v>
      </c>
      <c r="G191">
        <v>0</v>
      </c>
      <c r="H191" t="s">
        <v>6357</v>
      </c>
      <c r="I191" t="s">
        <v>90</v>
      </c>
      <c r="J191" t="s">
        <v>6165</v>
      </c>
    </row>
    <row r="192" spans="1:10" ht="15" customHeight="1" x14ac:dyDescent="0.25">
      <c r="A192" t="s">
        <v>6359</v>
      </c>
      <c r="B192" t="s">
        <v>41</v>
      </c>
      <c r="C192" t="s">
        <v>5756</v>
      </c>
      <c r="D192">
        <v>1</v>
      </c>
      <c r="E192" t="s">
        <v>6360</v>
      </c>
      <c r="F192" t="s">
        <v>6361</v>
      </c>
      <c r="G192">
        <v>1</v>
      </c>
      <c r="H192" t="s">
        <v>6359</v>
      </c>
      <c r="I192" t="s">
        <v>90</v>
      </c>
      <c r="J192" t="s">
        <v>5901</v>
      </c>
    </row>
    <row r="193" spans="1:10" ht="15" customHeight="1" x14ac:dyDescent="0.25">
      <c r="A193" t="s">
        <v>6362</v>
      </c>
      <c r="B193" t="s">
        <v>3518</v>
      </c>
      <c r="C193" t="s">
        <v>4631</v>
      </c>
      <c r="D193">
        <v>1</v>
      </c>
      <c r="E193" t="s">
        <v>6363</v>
      </c>
      <c r="F193" t="s">
        <v>6363</v>
      </c>
      <c r="G193">
        <v>0</v>
      </c>
      <c r="H193" t="s">
        <v>6364</v>
      </c>
      <c r="I193" t="s">
        <v>90</v>
      </c>
      <c r="J193" t="s">
        <v>5742</v>
      </c>
    </row>
    <row r="194" spans="1:10" ht="15" customHeight="1" x14ac:dyDescent="0.25">
      <c r="A194" t="s">
        <v>6365</v>
      </c>
      <c r="B194" t="s">
        <v>41</v>
      </c>
      <c r="C194" t="s">
        <v>5394</v>
      </c>
      <c r="D194">
        <v>1</v>
      </c>
      <c r="E194" t="s">
        <v>6366</v>
      </c>
      <c r="F194" t="s">
        <v>6367</v>
      </c>
      <c r="G194">
        <v>1</v>
      </c>
      <c r="H194" t="s">
        <v>6368</v>
      </c>
      <c r="I194" t="s">
        <v>90</v>
      </c>
      <c r="J194" t="s">
        <v>6033</v>
      </c>
    </row>
    <row r="195" spans="1:10" ht="15" customHeight="1" x14ac:dyDescent="0.25">
      <c r="A195" t="s">
        <v>6369</v>
      </c>
      <c r="B195" t="s">
        <v>41</v>
      </c>
      <c r="C195" t="s">
        <v>5756</v>
      </c>
      <c r="D195">
        <v>1</v>
      </c>
      <c r="E195" t="s">
        <v>6370</v>
      </c>
      <c r="F195" t="s">
        <v>6371</v>
      </c>
      <c r="G195">
        <v>1</v>
      </c>
      <c r="H195" t="s">
        <v>6372</v>
      </c>
      <c r="I195" t="s">
        <v>90</v>
      </c>
      <c r="J195" t="s">
        <v>5769</v>
      </c>
    </row>
    <row r="196" spans="1:10" ht="15" customHeight="1" x14ac:dyDescent="0.25">
      <c r="A196" t="s">
        <v>6373</v>
      </c>
      <c r="B196" t="s">
        <v>3518</v>
      </c>
      <c r="C196" t="s">
        <v>5756</v>
      </c>
      <c r="D196">
        <v>1</v>
      </c>
      <c r="E196" t="s">
        <v>6374</v>
      </c>
      <c r="F196" t="s">
        <v>6375</v>
      </c>
      <c r="G196">
        <v>1</v>
      </c>
      <c r="H196" t="s">
        <v>6373</v>
      </c>
      <c r="I196" t="s">
        <v>90</v>
      </c>
      <c r="J196" t="s">
        <v>6016</v>
      </c>
    </row>
    <row r="197" spans="1:10" ht="15" customHeight="1" x14ac:dyDescent="0.25">
      <c r="A197" t="s">
        <v>6376</v>
      </c>
      <c r="B197" t="s">
        <v>3530</v>
      </c>
      <c r="C197" t="s">
        <v>5756</v>
      </c>
      <c r="D197">
        <v>2</v>
      </c>
      <c r="E197" t="s">
        <v>6377</v>
      </c>
      <c r="F197" t="s">
        <v>6378</v>
      </c>
      <c r="G197">
        <v>2</v>
      </c>
      <c r="H197" t="s">
        <v>6376</v>
      </c>
      <c r="I197" t="s">
        <v>90</v>
      </c>
      <c r="J197" t="s">
        <v>5901</v>
      </c>
    </row>
    <row r="198" spans="1:10" ht="15" customHeight="1" x14ac:dyDescent="0.25">
      <c r="A198" t="s">
        <v>6379</v>
      </c>
      <c r="B198" t="s">
        <v>3518</v>
      </c>
      <c r="C198" t="s">
        <v>5475</v>
      </c>
      <c r="D198">
        <v>1</v>
      </c>
      <c r="E198" t="s">
        <v>5905</v>
      </c>
      <c r="F198" t="s">
        <v>5906</v>
      </c>
      <c r="G198">
        <v>1</v>
      </c>
      <c r="H198" t="s">
        <v>6379</v>
      </c>
      <c r="I198" t="s">
        <v>2362</v>
      </c>
      <c r="J198" t="s">
        <v>6040</v>
      </c>
    </row>
    <row r="199" spans="1:10" ht="15" customHeight="1" x14ac:dyDescent="0.25">
      <c r="A199" t="s">
        <v>6380</v>
      </c>
      <c r="B199" t="s">
        <v>41</v>
      </c>
      <c r="C199" t="s">
        <v>5394</v>
      </c>
      <c r="D199">
        <v>0</v>
      </c>
      <c r="E199" t="s">
        <v>6381</v>
      </c>
      <c r="F199" t="s">
        <v>6382</v>
      </c>
      <c r="G199">
        <v>0</v>
      </c>
      <c r="H199" t="s">
        <v>6380</v>
      </c>
      <c r="I199" t="s">
        <v>90</v>
      </c>
      <c r="J199" t="s">
        <v>5797</v>
      </c>
    </row>
    <row r="200" spans="1:10" ht="15" customHeight="1" x14ac:dyDescent="0.25">
      <c r="A200" t="s">
        <v>6383</v>
      </c>
      <c r="B200" t="s">
        <v>3530</v>
      </c>
      <c r="C200" t="s">
        <v>5475</v>
      </c>
      <c r="D200">
        <v>1</v>
      </c>
      <c r="E200" t="s">
        <v>5905</v>
      </c>
      <c r="F200" t="s">
        <v>5906</v>
      </c>
      <c r="G200">
        <v>1</v>
      </c>
      <c r="H200" t="s">
        <v>6383</v>
      </c>
      <c r="I200" t="s">
        <v>2362</v>
      </c>
      <c r="J200" t="s">
        <v>5953</v>
      </c>
    </row>
    <row r="201" spans="1:10" ht="15" customHeight="1" x14ac:dyDescent="0.25">
      <c r="A201" t="s">
        <v>5325</v>
      </c>
      <c r="B201" t="s">
        <v>3530</v>
      </c>
      <c r="C201" t="s">
        <v>4631</v>
      </c>
      <c r="D201">
        <v>1</v>
      </c>
      <c r="E201" t="s">
        <v>6384</v>
      </c>
      <c r="F201" t="s">
        <v>6385</v>
      </c>
      <c r="G201">
        <v>1</v>
      </c>
      <c r="H201" t="s">
        <v>5327</v>
      </c>
      <c r="I201" t="s">
        <v>90</v>
      </c>
      <c r="J201" t="s">
        <v>6026</v>
      </c>
    </row>
    <row r="202" spans="1:10" ht="15" customHeight="1" x14ac:dyDescent="0.25">
      <c r="A202" t="s">
        <v>6386</v>
      </c>
      <c r="B202" t="s">
        <v>3530</v>
      </c>
      <c r="C202" t="s">
        <v>5756</v>
      </c>
      <c r="D202" t="s">
        <v>5980</v>
      </c>
      <c r="E202" t="s">
        <v>6387</v>
      </c>
      <c r="F202" t="s">
        <v>6388</v>
      </c>
      <c r="G202" t="s">
        <v>5980</v>
      </c>
      <c r="H202" t="s">
        <v>6386</v>
      </c>
      <c r="I202" t="s">
        <v>90</v>
      </c>
      <c r="J202" t="s">
        <v>5769</v>
      </c>
    </row>
    <row r="203" spans="1:10" ht="15" customHeight="1" x14ac:dyDescent="0.25">
      <c r="A203" t="s">
        <v>6389</v>
      </c>
      <c r="B203" t="s">
        <v>3530</v>
      </c>
      <c r="C203" t="s">
        <v>5394</v>
      </c>
      <c r="D203">
        <v>1</v>
      </c>
      <c r="E203" t="s">
        <v>6390</v>
      </c>
      <c r="F203" t="s">
        <v>6390</v>
      </c>
      <c r="G203">
        <v>0</v>
      </c>
      <c r="H203" t="s">
        <v>6391</v>
      </c>
      <c r="I203" t="s">
        <v>90</v>
      </c>
      <c r="J203" t="s">
        <v>6392</v>
      </c>
    </row>
    <row r="204" spans="1:10" ht="15" customHeight="1" x14ac:dyDescent="0.25">
      <c r="A204" t="s">
        <v>6393</v>
      </c>
      <c r="B204" t="s">
        <v>41</v>
      </c>
      <c r="C204" t="s">
        <v>5756</v>
      </c>
      <c r="D204">
        <v>1</v>
      </c>
      <c r="E204" t="s">
        <v>6394</v>
      </c>
      <c r="F204" t="s">
        <v>6395</v>
      </c>
      <c r="G204">
        <v>1</v>
      </c>
      <c r="H204" t="s">
        <v>6396</v>
      </c>
      <c r="I204" t="s">
        <v>90</v>
      </c>
      <c r="J204" t="s">
        <v>6019</v>
      </c>
    </row>
    <row r="205" spans="1:10" ht="15" customHeight="1" x14ac:dyDescent="0.25">
      <c r="A205" t="s">
        <v>6397</v>
      </c>
      <c r="B205" t="s">
        <v>4331</v>
      </c>
      <c r="C205" t="s">
        <v>3673</v>
      </c>
      <c r="D205" t="s">
        <v>4031</v>
      </c>
      <c r="E205" t="s">
        <v>6122</v>
      </c>
      <c r="F205" t="s">
        <v>3467</v>
      </c>
      <c r="G205" t="s">
        <v>4031</v>
      </c>
      <c r="H205" t="s">
        <v>6397</v>
      </c>
      <c r="I205" t="s">
        <v>90</v>
      </c>
    </row>
    <row r="206" spans="1:10" ht="15" customHeight="1" x14ac:dyDescent="0.25">
      <c r="A206" t="s">
        <v>6398</v>
      </c>
      <c r="B206" t="s">
        <v>3518</v>
      </c>
      <c r="C206" t="s">
        <v>4631</v>
      </c>
      <c r="D206">
        <v>3</v>
      </c>
      <c r="E206" t="s">
        <v>6399</v>
      </c>
      <c r="F206" t="s">
        <v>6400</v>
      </c>
      <c r="G206">
        <v>3</v>
      </c>
      <c r="H206" t="s">
        <v>6401</v>
      </c>
      <c r="I206" t="s">
        <v>90</v>
      </c>
      <c r="J206" t="s">
        <v>5751</v>
      </c>
    </row>
    <row r="207" spans="1:10" ht="15" customHeight="1" x14ac:dyDescent="0.25">
      <c r="A207" t="s">
        <v>6402</v>
      </c>
      <c r="B207" t="s">
        <v>4331</v>
      </c>
      <c r="C207" t="s">
        <v>4279</v>
      </c>
      <c r="D207" t="s">
        <v>4031</v>
      </c>
      <c r="E207" t="s">
        <v>6403</v>
      </c>
      <c r="F207" t="s">
        <v>3467</v>
      </c>
      <c r="G207" t="s">
        <v>3467</v>
      </c>
      <c r="H207" t="s">
        <v>6402</v>
      </c>
      <c r="I207" t="s">
        <v>90</v>
      </c>
      <c r="J207" t="s">
        <v>5904</v>
      </c>
    </row>
    <row r="208" spans="1:10" ht="15" customHeight="1" x14ac:dyDescent="0.25">
      <c r="A208" t="s">
        <v>6404</v>
      </c>
      <c r="B208" t="s">
        <v>4331</v>
      </c>
      <c r="C208" t="s">
        <v>3673</v>
      </c>
      <c r="D208">
        <v>1</v>
      </c>
      <c r="E208" t="s">
        <v>6405</v>
      </c>
      <c r="F208" t="s">
        <v>3467</v>
      </c>
      <c r="G208" t="s">
        <v>3467</v>
      </c>
      <c r="H208" t="s">
        <v>6406</v>
      </c>
      <c r="I208" t="s">
        <v>501</v>
      </c>
      <c r="J208" t="s">
        <v>5827</v>
      </c>
    </row>
    <row r="209" spans="1:10" ht="15" customHeight="1" x14ac:dyDescent="0.25">
      <c r="A209" t="s">
        <v>4736</v>
      </c>
      <c r="B209" t="s">
        <v>41</v>
      </c>
      <c r="C209" t="s">
        <v>5756</v>
      </c>
      <c r="D209">
        <v>1</v>
      </c>
      <c r="E209" t="s">
        <v>6149</v>
      </c>
      <c r="F209" t="s">
        <v>6149</v>
      </c>
      <c r="G209">
        <v>1</v>
      </c>
      <c r="H209" t="s">
        <v>4739</v>
      </c>
      <c r="I209" t="s">
        <v>1047</v>
      </c>
      <c r="J209" t="s">
        <v>5789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5732</v>
      </c>
      <c r="E1" t="s">
        <v>3461</v>
      </c>
      <c r="F1" t="s">
        <v>6407</v>
      </c>
      <c r="G1" t="s">
        <v>6408</v>
      </c>
      <c r="H1" t="s">
        <v>6409</v>
      </c>
      <c r="I1" t="s">
        <v>6410</v>
      </c>
      <c r="J1" t="s">
        <v>5756</v>
      </c>
      <c r="K1" t="s">
        <v>4294</v>
      </c>
      <c r="L1" t="s">
        <v>1</v>
      </c>
      <c r="M1" t="s">
        <v>6411</v>
      </c>
      <c r="N1" t="s">
        <v>6412</v>
      </c>
      <c r="O1" t="s">
        <v>170</v>
      </c>
    </row>
    <row r="2" spans="1:15" ht="15" customHeight="1" x14ac:dyDescent="0.25">
      <c r="A2" t="s">
        <v>5735</v>
      </c>
      <c r="B2" t="s">
        <v>3530</v>
      </c>
      <c r="C2" t="s">
        <v>4631</v>
      </c>
      <c r="D2">
        <v>1</v>
      </c>
      <c r="E2" t="s">
        <v>5736</v>
      </c>
      <c r="F2" t="s">
        <v>6413</v>
      </c>
      <c r="G2" t="s">
        <v>5737</v>
      </c>
      <c r="H2" t="s">
        <v>6414</v>
      </c>
      <c r="I2">
        <v>1</v>
      </c>
      <c r="J2" t="s">
        <v>3467</v>
      </c>
      <c r="K2" t="s">
        <v>5735</v>
      </c>
      <c r="L2" t="s">
        <v>90</v>
      </c>
      <c r="M2" t="s">
        <v>3467</v>
      </c>
      <c r="N2" t="s">
        <v>3467</v>
      </c>
      <c r="O2" t="s">
        <v>5738</v>
      </c>
    </row>
    <row r="3" spans="1:15" ht="15" customHeight="1" x14ac:dyDescent="0.25">
      <c r="A3" t="s">
        <v>5739</v>
      </c>
      <c r="B3" t="s">
        <v>41</v>
      </c>
      <c r="C3" t="s">
        <v>5394</v>
      </c>
      <c r="D3">
        <v>1</v>
      </c>
      <c r="E3" t="s">
        <v>5740</v>
      </c>
      <c r="F3" t="s">
        <v>6415</v>
      </c>
      <c r="G3" t="s">
        <v>5741</v>
      </c>
      <c r="H3" t="s">
        <v>6416</v>
      </c>
      <c r="I3">
        <v>1</v>
      </c>
      <c r="J3" t="s">
        <v>3467</v>
      </c>
      <c r="K3" t="s">
        <v>5739</v>
      </c>
      <c r="L3" t="s">
        <v>90</v>
      </c>
      <c r="M3" t="s">
        <v>3467</v>
      </c>
      <c r="N3" t="s">
        <v>3467</v>
      </c>
      <c r="O3" t="s">
        <v>5742</v>
      </c>
    </row>
    <row r="4" spans="1:15" ht="15" customHeight="1" x14ac:dyDescent="0.25">
      <c r="A4" t="s">
        <v>5743</v>
      </c>
      <c r="B4" t="s">
        <v>3518</v>
      </c>
      <c r="C4" t="s">
        <v>5394</v>
      </c>
      <c r="D4">
        <v>0</v>
      </c>
      <c r="E4" t="s">
        <v>5744</v>
      </c>
      <c r="F4" t="s">
        <v>6417</v>
      </c>
      <c r="G4" t="s">
        <v>5745</v>
      </c>
      <c r="H4" t="s">
        <v>6418</v>
      </c>
      <c r="I4">
        <v>0</v>
      </c>
      <c r="J4" t="s">
        <v>3467</v>
      </c>
      <c r="K4" t="s">
        <v>5743</v>
      </c>
      <c r="L4" t="s">
        <v>90</v>
      </c>
      <c r="M4" t="s">
        <v>5530</v>
      </c>
      <c r="N4" t="s">
        <v>3467</v>
      </c>
      <c r="O4" t="s">
        <v>5746</v>
      </c>
    </row>
    <row r="5" spans="1:15" ht="15" customHeight="1" x14ac:dyDescent="0.25">
      <c r="A5" t="s">
        <v>5747</v>
      </c>
      <c r="B5" t="s">
        <v>3518</v>
      </c>
      <c r="C5" t="s">
        <v>4631</v>
      </c>
      <c r="D5">
        <v>1</v>
      </c>
      <c r="E5" t="s">
        <v>5748</v>
      </c>
      <c r="F5" t="s">
        <v>6419</v>
      </c>
      <c r="G5" t="s">
        <v>5749</v>
      </c>
      <c r="H5" t="s">
        <v>6419</v>
      </c>
      <c r="I5">
        <v>1</v>
      </c>
      <c r="J5" t="s">
        <v>3467</v>
      </c>
      <c r="K5" t="s">
        <v>5750</v>
      </c>
      <c r="L5" t="s">
        <v>90</v>
      </c>
      <c r="M5" t="s">
        <v>5469</v>
      </c>
      <c r="N5" t="s">
        <v>3467</v>
      </c>
      <c r="O5" t="s">
        <v>5751</v>
      </c>
    </row>
    <row r="6" spans="1:15" ht="15" customHeight="1" x14ac:dyDescent="0.25">
      <c r="A6" t="s">
        <v>5752</v>
      </c>
      <c r="B6" t="s">
        <v>3518</v>
      </c>
      <c r="C6" t="s">
        <v>5394</v>
      </c>
      <c r="D6">
        <v>1</v>
      </c>
      <c r="E6" t="s">
        <v>5753</v>
      </c>
      <c r="F6" t="s">
        <v>6420</v>
      </c>
      <c r="G6" t="s">
        <v>5753</v>
      </c>
      <c r="H6" t="s">
        <v>6420</v>
      </c>
      <c r="I6">
        <v>0</v>
      </c>
      <c r="J6" t="s">
        <v>3467</v>
      </c>
      <c r="K6" t="s">
        <v>5752</v>
      </c>
      <c r="L6" t="s">
        <v>90</v>
      </c>
      <c r="M6" t="s">
        <v>5530</v>
      </c>
      <c r="N6" t="s">
        <v>3467</v>
      </c>
      <c r="O6" t="s">
        <v>6421</v>
      </c>
    </row>
    <row r="7" spans="1:15" ht="15" customHeight="1" x14ac:dyDescent="0.25">
      <c r="A7" t="s">
        <v>5755</v>
      </c>
      <c r="B7" t="s">
        <v>3518</v>
      </c>
      <c r="C7" t="s">
        <v>5756</v>
      </c>
      <c r="D7">
        <v>2</v>
      </c>
      <c r="E7" t="s">
        <v>6422</v>
      </c>
      <c r="F7" t="s">
        <v>6423</v>
      </c>
      <c r="G7" t="s">
        <v>6424</v>
      </c>
      <c r="H7" t="s">
        <v>6425</v>
      </c>
      <c r="I7">
        <v>2</v>
      </c>
      <c r="J7" t="s">
        <v>6426</v>
      </c>
      <c r="K7" t="s">
        <v>5759</v>
      </c>
      <c r="L7" t="s">
        <v>90</v>
      </c>
      <c r="M7" t="s">
        <v>3467</v>
      </c>
      <c r="N7" t="s">
        <v>3467</v>
      </c>
      <c r="O7" t="s">
        <v>5760</v>
      </c>
    </row>
    <row r="8" spans="1:15" ht="15" customHeight="1" x14ac:dyDescent="0.25">
      <c r="A8" t="s">
        <v>5761</v>
      </c>
      <c r="B8" t="s">
        <v>3530</v>
      </c>
      <c r="C8" t="s">
        <v>5756</v>
      </c>
      <c r="D8">
        <v>1</v>
      </c>
      <c r="E8" t="s">
        <v>6427</v>
      </c>
      <c r="F8" t="s">
        <v>6428</v>
      </c>
      <c r="G8" t="s">
        <v>6429</v>
      </c>
      <c r="H8" t="s">
        <v>6430</v>
      </c>
      <c r="I8">
        <v>1</v>
      </c>
      <c r="J8" t="s">
        <v>6431</v>
      </c>
      <c r="K8" t="s">
        <v>5764</v>
      </c>
      <c r="L8" t="s">
        <v>90</v>
      </c>
      <c r="M8" t="s">
        <v>3467</v>
      </c>
      <c r="N8" t="s">
        <v>3467</v>
      </c>
      <c r="O8" t="s">
        <v>5765</v>
      </c>
    </row>
    <row r="9" spans="1:15" ht="15" customHeight="1" x14ac:dyDescent="0.25">
      <c r="A9" t="s">
        <v>5766</v>
      </c>
      <c r="B9" t="s">
        <v>41</v>
      </c>
      <c r="C9" t="s">
        <v>5756</v>
      </c>
      <c r="D9">
        <v>0</v>
      </c>
      <c r="E9" t="s">
        <v>5767</v>
      </c>
      <c r="F9" t="s">
        <v>6432</v>
      </c>
      <c r="G9" t="s">
        <v>5768</v>
      </c>
      <c r="H9" t="s">
        <v>6433</v>
      </c>
      <c r="I9">
        <v>0</v>
      </c>
      <c r="J9" t="s">
        <v>6434</v>
      </c>
      <c r="K9" t="s">
        <v>5766</v>
      </c>
      <c r="L9" t="s">
        <v>90</v>
      </c>
      <c r="M9" t="s">
        <v>3467</v>
      </c>
      <c r="N9" t="s">
        <v>3467</v>
      </c>
      <c r="O9" t="s">
        <v>5769</v>
      </c>
    </row>
    <row r="10" spans="1:15" ht="15" customHeight="1" x14ac:dyDescent="0.25">
      <c r="A10" t="s">
        <v>5770</v>
      </c>
      <c r="B10" t="s">
        <v>41</v>
      </c>
      <c r="C10" t="s">
        <v>5394</v>
      </c>
      <c r="D10">
        <v>1</v>
      </c>
      <c r="E10" t="s">
        <v>5771</v>
      </c>
      <c r="F10" t="s">
        <v>6435</v>
      </c>
      <c r="G10" t="s">
        <v>5772</v>
      </c>
      <c r="H10" t="s">
        <v>6436</v>
      </c>
      <c r="I10">
        <v>1</v>
      </c>
      <c r="J10" t="s">
        <v>3467</v>
      </c>
      <c r="K10" t="s">
        <v>5770</v>
      </c>
      <c r="L10" t="s">
        <v>90</v>
      </c>
      <c r="M10" t="s">
        <v>3467</v>
      </c>
      <c r="N10" t="s">
        <v>3467</v>
      </c>
      <c r="O10" t="s">
        <v>5773</v>
      </c>
    </row>
    <row r="11" spans="1:15" ht="15" customHeight="1" x14ac:dyDescent="0.25">
      <c r="A11" t="s">
        <v>5774</v>
      </c>
      <c r="B11" t="s">
        <v>41</v>
      </c>
      <c r="C11" t="s">
        <v>5394</v>
      </c>
      <c r="D11">
        <v>1</v>
      </c>
      <c r="E11" t="s">
        <v>5775</v>
      </c>
      <c r="F11" t="s">
        <v>6437</v>
      </c>
      <c r="G11" t="s">
        <v>5776</v>
      </c>
      <c r="H11" t="s">
        <v>6438</v>
      </c>
      <c r="I11">
        <v>1</v>
      </c>
      <c r="J11" t="s">
        <v>3467</v>
      </c>
      <c r="K11" t="s">
        <v>5774</v>
      </c>
      <c r="L11" t="s">
        <v>90</v>
      </c>
      <c r="M11" t="s">
        <v>3467</v>
      </c>
      <c r="N11" t="s">
        <v>3467</v>
      </c>
      <c r="O11" t="s">
        <v>5777</v>
      </c>
    </row>
    <row r="12" spans="1:15" ht="15" customHeight="1" x14ac:dyDescent="0.25">
      <c r="A12" t="s">
        <v>5778</v>
      </c>
      <c r="B12" t="s">
        <v>3530</v>
      </c>
      <c r="C12" t="s">
        <v>5756</v>
      </c>
      <c r="D12">
        <v>0</v>
      </c>
      <c r="E12" t="s">
        <v>5779</v>
      </c>
      <c r="F12" t="s">
        <v>6439</v>
      </c>
      <c r="G12" t="s">
        <v>5780</v>
      </c>
      <c r="H12" t="s">
        <v>6440</v>
      </c>
      <c r="I12">
        <v>0</v>
      </c>
      <c r="J12" t="s">
        <v>6426</v>
      </c>
      <c r="K12" t="s">
        <v>5778</v>
      </c>
      <c r="L12" t="s">
        <v>90</v>
      </c>
      <c r="M12" t="s">
        <v>6441</v>
      </c>
      <c r="N12" t="s">
        <v>3467</v>
      </c>
      <c r="O12" t="s">
        <v>5781</v>
      </c>
    </row>
    <row r="13" spans="1:15" ht="15" customHeight="1" x14ac:dyDescent="0.25">
      <c r="A13" t="s">
        <v>4461</v>
      </c>
      <c r="B13" t="s">
        <v>3530</v>
      </c>
      <c r="C13" t="s">
        <v>5394</v>
      </c>
      <c r="D13">
        <v>1</v>
      </c>
      <c r="E13" t="s">
        <v>5782</v>
      </c>
      <c r="F13" t="s">
        <v>6442</v>
      </c>
      <c r="G13" t="s">
        <v>5782</v>
      </c>
      <c r="H13" t="s">
        <v>6442</v>
      </c>
      <c r="I13">
        <v>1</v>
      </c>
      <c r="J13" t="s">
        <v>6443</v>
      </c>
      <c r="K13" t="s">
        <v>4466</v>
      </c>
      <c r="L13" t="s">
        <v>1650</v>
      </c>
      <c r="M13" t="s">
        <v>3467</v>
      </c>
      <c r="N13" t="s">
        <v>3467</v>
      </c>
      <c r="O13" t="s">
        <v>6444</v>
      </c>
    </row>
    <row r="14" spans="1:15" ht="15" customHeight="1" x14ac:dyDescent="0.25">
      <c r="A14" t="s">
        <v>5784</v>
      </c>
      <c r="B14" t="s">
        <v>41</v>
      </c>
      <c r="C14" t="s">
        <v>5756</v>
      </c>
      <c r="D14">
        <v>1</v>
      </c>
      <c r="E14" t="s">
        <v>6445</v>
      </c>
      <c r="F14" t="s">
        <v>6446</v>
      </c>
      <c r="G14" t="s">
        <v>6447</v>
      </c>
      <c r="H14" t="s">
        <v>6448</v>
      </c>
      <c r="I14">
        <v>1</v>
      </c>
      <c r="J14" t="s">
        <v>6443</v>
      </c>
      <c r="K14" t="s">
        <v>5784</v>
      </c>
      <c r="L14" t="s">
        <v>90</v>
      </c>
      <c r="M14" t="s">
        <v>3467</v>
      </c>
      <c r="N14" t="s">
        <v>3467</v>
      </c>
      <c r="O14" t="s">
        <v>6449</v>
      </c>
    </row>
    <row r="15" spans="1:15" ht="15" customHeight="1" x14ac:dyDescent="0.25">
      <c r="A15" t="s">
        <v>4472</v>
      </c>
      <c r="B15" t="s">
        <v>3530</v>
      </c>
      <c r="C15" t="s">
        <v>5756</v>
      </c>
      <c r="D15">
        <v>1</v>
      </c>
      <c r="E15" t="s">
        <v>5788</v>
      </c>
      <c r="F15" t="s">
        <v>6450</v>
      </c>
      <c r="G15" t="s">
        <v>5788</v>
      </c>
      <c r="H15" t="s">
        <v>6450</v>
      </c>
      <c r="I15">
        <v>1</v>
      </c>
      <c r="J15" t="s">
        <v>6451</v>
      </c>
      <c r="K15" t="s">
        <v>4472</v>
      </c>
      <c r="L15" t="s">
        <v>1047</v>
      </c>
      <c r="M15" t="s">
        <v>5461</v>
      </c>
      <c r="N15" t="s">
        <v>3467</v>
      </c>
      <c r="O15" t="s">
        <v>5789</v>
      </c>
    </row>
    <row r="16" spans="1:15" ht="15" customHeight="1" x14ac:dyDescent="0.25">
      <c r="A16" t="s">
        <v>3537</v>
      </c>
      <c r="B16" t="s">
        <v>3518</v>
      </c>
      <c r="C16" t="s">
        <v>4631</v>
      </c>
      <c r="D16">
        <v>3</v>
      </c>
      <c r="E16" s="8" t="s">
        <v>6452</v>
      </c>
      <c r="F16" t="s">
        <v>6453</v>
      </c>
      <c r="G16" s="8" t="s">
        <v>6452</v>
      </c>
      <c r="H16" t="s">
        <v>6453</v>
      </c>
      <c r="I16">
        <v>2</v>
      </c>
      <c r="J16" t="s">
        <v>3467</v>
      </c>
      <c r="K16" t="s">
        <v>3537</v>
      </c>
      <c r="L16" t="s">
        <v>90</v>
      </c>
      <c r="M16" t="s">
        <v>3467</v>
      </c>
      <c r="N16" t="s">
        <v>3467</v>
      </c>
      <c r="O16" t="s">
        <v>6454</v>
      </c>
    </row>
    <row r="17" spans="1:15" ht="15" customHeight="1" x14ac:dyDescent="0.25">
      <c r="A17" t="s">
        <v>3451</v>
      </c>
      <c r="B17" t="s">
        <v>3563</v>
      </c>
      <c r="C17" t="s">
        <v>5756</v>
      </c>
      <c r="D17">
        <v>2</v>
      </c>
      <c r="E17" t="s">
        <v>5791</v>
      </c>
      <c r="F17" t="s">
        <v>6455</v>
      </c>
      <c r="G17" t="s">
        <v>5792</v>
      </c>
      <c r="H17" t="s">
        <v>6456</v>
      </c>
      <c r="I17">
        <v>2</v>
      </c>
      <c r="J17" t="s">
        <v>6457</v>
      </c>
      <c r="K17" t="s">
        <v>3451</v>
      </c>
      <c r="L17" t="s">
        <v>90</v>
      </c>
      <c r="M17" t="s">
        <v>3467</v>
      </c>
      <c r="N17" t="s">
        <v>3467</v>
      </c>
      <c r="O17" t="s">
        <v>5769</v>
      </c>
    </row>
    <row r="18" spans="1:15" ht="15" customHeight="1" x14ac:dyDescent="0.25">
      <c r="A18" t="s">
        <v>5793</v>
      </c>
      <c r="B18" t="s">
        <v>3530</v>
      </c>
      <c r="C18" t="s">
        <v>5394</v>
      </c>
      <c r="D18">
        <v>0</v>
      </c>
      <c r="E18" s="8" t="s">
        <v>6458</v>
      </c>
      <c r="F18" t="s">
        <v>6459</v>
      </c>
      <c r="G18" s="8" t="s">
        <v>6460</v>
      </c>
      <c r="H18" t="s">
        <v>6461</v>
      </c>
      <c r="I18" t="s">
        <v>3467</v>
      </c>
      <c r="J18" t="s">
        <v>3467</v>
      </c>
      <c r="K18" t="s">
        <v>5796</v>
      </c>
      <c r="L18" t="s">
        <v>90</v>
      </c>
      <c r="M18" t="s">
        <v>3467</v>
      </c>
      <c r="N18" t="s">
        <v>3467</v>
      </c>
      <c r="O18" t="s">
        <v>5797</v>
      </c>
    </row>
    <row r="19" spans="1:15" ht="15" customHeight="1" x14ac:dyDescent="0.25">
      <c r="A19" t="s">
        <v>5798</v>
      </c>
      <c r="B19" t="s">
        <v>41</v>
      </c>
      <c r="C19" t="s">
        <v>5756</v>
      </c>
      <c r="D19">
        <v>0</v>
      </c>
      <c r="E19" t="s">
        <v>5799</v>
      </c>
      <c r="F19" t="s">
        <v>6462</v>
      </c>
      <c r="G19" t="s">
        <v>5800</v>
      </c>
      <c r="H19" t="s">
        <v>6463</v>
      </c>
      <c r="I19">
        <v>0</v>
      </c>
      <c r="J19" t="s">
        <v>6464</v>
      </c>
      <c r="K19" t="s">
        <v>5801</v>
      </c>
      <c r="L19" t="s">
        <v>90</v>
      </c>
      <c r="M19" t="s">
        <v>3467</v>
      </c>
      <c r="N19" t="s">
        <v>3467</v>
      </c>
      <c r="O19" t="s">
        <v>5802</v>
      </c>
    </row>
    <row r="20" spans="1:15" ht="15" customHeight="1" x14ac:dyDescent="0.25">
      <c r="A20" t="s">
        <v>5807</v>
      </c>
      <c r="B20" t="s">
        <v>41</v>
      </c>
      <c r="C20" t="s">
        <v>5394</v>
      </c>
      <c r="D20">
        <v>1</v>
      </c>
      <c r="E20" t="s">
        <v>5808</v>
      </c>
      <c r="F20" t="s">
        <v>6465</v>
      </c>
      <c r="G20" t="s">
        <v>5809</v>
      </c>
      <c r="H20" t="s">
        <v>6466</v>
      </c>
      <c r="I20">
        <v>1</v>
      </c>
      <c r="J20" t="s">
        <v>3467</v>
      </c>
      <c r="K20" t="s">
        <v>5810</v>
      </c>
      <c r="L20" t="s">
        <v>90</v>
      </c>
      <c r="M20" t="s">
        <v>3467</v>
      </c>
      <c r="N20" t="s">
        <v>3467</v>
      </c>
      <c r="O20" t="s">
        <v>5811</v>
      </c>
    </row>
    <row r="21" spans="1:15" ht="15" customHeight="1" x14ac:dyDescent="0.25">
      <c r="A21" t="s">
        <v>4499</v>
      </c>
      <c r="B21" t="s">
        <v>41</v>
      </c>
      <c r="C21" t="s">
        <v>5756</v>
      </c>
      <c r="D21">
        <v>1</v>
      </c>
      <c r="E21" t="s">
        <v>5812</v>
      </c>
      <c r="F21" t="s">
        <v>6467</v>
      </c>
      <c r="G21" t="s">
        <v>5812</v>
      </c>
      <c r="H21" t="s">
        <v>6467</v>
      </c>
      <c r="I21">
        <v>1</v>
      </c>
      <c r="J21" t="s">
        <v>6451</v>
      </c>
      <c r="K21" t="s">
        <v>4502</v>
      </c>
      <c r="L21" t="s">
        <v>1105</v>
      </c>
      <c r="M21" t="s">
        <v>5502</v>
      </c>
      <c r="N21" t="s">
        <v>3467</v>
      </c>
      <c r="O21" t="s">
        <v>5789</v>
      </c>
    </row>
    <row r="22" spans="1:15" ht="15" customHeight="1" x14ac:dyDescent="0.25">
      <c r="A22" t="s">
        <v>5813</v>
      </c>
      <c r="B22" t="s">
        <v>3530</v>
      </c>
      <c r="C22" t="s">
        <v>5756</v>
      </c>
      <c r="D22">
        <v>4</v>
      </c>
      <c r="E22" s="8" t="s">
        <v>5814</v>
      </c>
      <c r="F22" t="s">
        <v>6468</v>
      </c>
      <c r="G22" s="8" t="s">
        <v>5815</v>
      </c>
      <c r="H22" t="s">
        <v>6469</v>
      </c>
      <c r="I22">
        <v>3</v>
      </c>
      <c r="J22" t="s">
        <v>6434</v>
      </c>
      <c r="K22" t="s">
        <v>5816</v>
      </c>
      <c r="L22" t="s">
        <v>90</v>
      </c>
      <c r="M22" t="s">
        <v>3467</v>
      </c>
      <c r="N22" t="s">
        <v>3467</v>
      </c>
      <c r="O22" t="s">
        <v>5797</v>
      </c>
    </row>
    <row r="23" spans="1:15" ht="15" customHeight="1" x14ac:dyDescent="0.25">
      <c r="A23" t="s">
        <v>4503</v>
      </c>
      <c r="B23" t="s">
        <v>3518</v>
      </c>
      <c r="C23" t="s">
        <v>5756</v>
      </c>
      <c r="D23">
        <v>1</v>
      </c>
      <c r="E23" t="s">
        <v>6470</v>
      </c>
      <c r="F23" t="s">
        <v>6471</v>
      </c>
      <c r="G23" t="s">
        <v>6470</v>
      </c>
      <c r="H23" t="s">
        <v>6471</v>
      </c>
      <c r="I23">
        <v>1</v>
      </c>
      <c r="J23" t="s">
        <v>6472</v>
      </c>
      <c r="K23" t="s">
        <v>4506</v>
      </c>
      <c r="L23" t="s">
        <v>1622</v>
      </c>
      <c r="M23" t="s">
        <v>5465</v>
      </c>
      <c r="N23" t="s">
        <v>5417</v>
      </c>
      <c r="O23" t="s">
        <v>5789</v>
      </c>
    </row>
    <row r="24" spans="1:15" ht="15" customHeight="1" x14ac:dyDescent="0.25">
      <c r="A24" t="s">
        <v>5818</v>
      </c>
      <c r="B24" t="s">
        <v>41</v>
      </c>
      <c r="C24" t="s">
        <v>5394</v>
      </c>
      <c r="D24">
        <v>0</v>
      </c>
      <c r="E24" t="s">
        <v>5819</v>
      </c>
      <c r="F24" t="s">
        <v>6473</v>
      </c>
      <c r="G24" t="s">
        <v>5820</v>
      </c>
      <c r="H24" t="s">
        <v>6474</v>
      </c>
      <c r="I24">
        <v>0</v>
      </c>
      <c r="J24" t="s">
        <v>3467</v>
      </c>
      <c r="K24" t="s">
        <v>5818</v>
      </c>
      <c r="L24" t="s">
        <v>90</v>
      </c>
      <c r="M24" t="s">
        <v>3467</v>
      </c>
      <c r="N24" t="s">
        <v>3467</v>
      </c>
      <c r="O24" t="s">
        <v>5806</v>
      </c>
    </row>
    <row r="25" spans="1:15" ht="15" customHeight="1" x14ac:dyDescent="0.25">
      <c r="A25" t="s">
        <v>5821</v>
      </c>
      <c r="B25" t="s">
        <v>3518</v>
      </c>
      <c r="C25" t="s">
        <v>5756</v>
      </c>
      <c r="D25">
        <v>3</v>
      </c>
      <c r="E25" t="s">
        <v>5822</v>
      </c>
      <c r="F25" t="s">
        <v>6475</v>
      </c>
      <c r="G25" t="s">
        <v>5823</v>
      </c>
      <c r="H25" t="s">
        <v>6476</v>
      </c>
      <c r="I25">
        <v>3</v>
      </c>
      <c r="J25" t="s">
        <v>6477</v>
      </c>
      <c r="K25" t="s">
        <v>5821</v>
      </c>
      <c r="L25" t="s">
        <v>90</v>
      </c>
      <c r="M25" t="s">
        <v>3467</v>
      </c>
      <c r="N25" t="s">
        <v>3467</v>
      </c>
      <c r="O25" t="s">
        <v>5769</v>
      </c>
    </row>
    <row r="26" spans="1:15" ht="15" customHeight="1" x14ac:dyDescent="0.25">
      <c r="A26" t="s">
        <v>5194</v>
      </c>
      <c r="B26" t="s">
        <v>3530</v>
      </c>
      <c r="C26" t="s">
        <v>5394</v>
      </c>
      <c r="D26">
        <v>1</v>
      </c>
      <c r="E26" s="8" t="s">
        <v>6478</v>
      </c>
      <c r="F26" t="s">
        <v>6479</v>
      </c>
      <c r="G26" s="8" t="s">
        <v>6480</v>
      </c>
      <c r="H26" t="s">
        <v>6481</v>
      </c>
      <c r="I26">
        <v>1</v>
      </c>
      <c r="J26" t="s">
        <v>3467</v>
      </c>
      <c r="K26" t="s">
        <v>5194</v>
      </c>
      <c r="L26" t="s">
        <v>90</v>
      </c>
      <c r="M26" t="s">
        <v>3467</v>
      </c>
      <c r="N26" t="s">
        <v>3467</v>
      </c>
      <c r="O26" t="s">
        <v>5751</v>
      </c>
    </row>
    <row r="27" spans="1:15" ht="15" customHeight="1" x14ac:dyDescent="0.25">
      <c r="A27" t="s">
        <v>5830</v>
      </c>
      <c r="B27" t="s">
        <v>41</v>
      </c>
      <c r="C27" t="s">
        <v>5756</v>
      </c>
      <c r="D27">
        <v>1</v>
      </c>
      <c r="E27" t="s">
        <v>6482</v>
      </c>
      <c r="F27" t="s">
        <v>6483</v>
      </c>
      <c r="G27" t="s">
        <v>6482</v>
      </c>
      <c r="H27" t="s">
        <v>6483</v>
      </c>
      <c r="I27">
        <v>0</v>
      </c>
      <c r="J27" t="s">
        <v>6484</v>
      </c>
      <c r="K27" t="s">
        <v>5832</v>
      </c>
      <c r="L27" t="s">
        <v>90</v>
      </c>
      <c r="M27" t="s">
        <v>3467</v>
      </c>
      <c r="N27" t="s">
        <v>3467</v>
      </c>
      <c r="O27" t="s">
        <v>5769</v>
      </c>
    </row>
    <row r="28" spans="1:15" ht="15" customHeight="1" x14ac:dyDescent="0.25">
      <c r="A28" t="s">
        <v>5833</v>
      </c>
      <c r="B28" t="s">
        <v>3530</v>
      </c>
      <c r="C28" t="s">
        <v>5394</v>
      </c>
      <c r="D28">
        <v>0</v>
      </c>
      <c r="E28" t="s">
        <v>5834</v>
      </c>
      <c r="F28" t="s">
        <v>6485</v>
      </c>
      <c r="G28" t="s">
        <v>5835</v>
      </c>
      <c r="H28" t="s">
        <v>6486</v>
      </c>
      <c r="I28">
        <v>0</v>
      </c>
      <c r="J28" t="s">
        <v>3467</v>
      </c>
      <c r="K28" t="s">
        <v>5836</v>
      </c>
      <c r="L28" t="s">
        <v>90</v>
      </c>
      <c r="M28" t="s">
        <v>6441</v>
      </c>
      <c r="N28" t="s">
        <v>3467</v>
      </c>
      <c r="O28" t="s">
        <v>5837</v>
      </c>
    </row>
    <row r="29" spans="1:15" ht="15" customHeight="1" x14ac:dyDescent="0.25">
      <c r="A29" t="s">
        <v>5843</v>
      </c>
      <c r="B29" t="s">
        <v>3530</v>
      </c>
      <c r="C29" t="s">
        <v>5394</v>
      </c>
      <c r="D29">
        <v>2</v>
      </c>
      <c r="E29" t="s">
        <v>5844</v>
      </c>
      <c r="F29" t="s">
        <v>6487</v>
      </c>
      <c r="G29" t="s">
        <v>5845</v>
      </c>
      <c r="H29" t="s">
        <v>6488</v>
      </c>
      <c r="I29">
        <v>2</v>
      </c>
      <c r="J29" t="s">
        <v>6489</v>
      </c>
      <c r="K29" t="s">
        <v>5846</v>
      </c>
      <c r="L29" t="s">
        <v>90</v>
      </c>
      <c r="M29" t="s">
        <v>5465</v>
      </c>
      <c r="N29" t="s">
        <v>5288</v>
      </c>
      <c r="O29" t="s">
        <v>6490</v>
      </c>
    </row>
    <row r="30" spans="1:15" ht="15" customHeight="1" x14ac:dyDescent="0.25">
      <c r="A30" t="s">
        <v>5854</v>
      </c>
      <c r="B30" t="s">
        <v>3518</v>
      </c>
      <c r="C30" t="s">
        <v>5394</v>
      </c>
      <c r="D30">
        <v>3</v>
      </c>
      <c r="E30" s="8" t="s">
        <v>5855</v>
      </c>
      <c r="F30" t="s">
        <v>6491</v>
      </c>
      <c r="G30" s="8" t="s">
        <v>5855</v>
      </c>
      <c r="H30" t="s">
        <v>6491</v>
      </c>
      <c r="I30">
        <v>2</v>
      </c>
      <c r="J30" t="s">
        <v>3467</v>
      </c>
      <c r="K30" t="s">
        <v>5856</v>
      </c>
      <c r="L30" t="s">
        <v>90</v>
      </c>
      <c r="M30" t="s">
        <v>3467</v>
      </c>
      <c r="N30" t="s">
        <v>3467</v>
      </c>
      <c r="O30" t="s">
        <v>5857</v>
      </c>
    </row>
    <row r="31" spans="1:15" ht="15" customHeight="1" x14ac:dyDescent="0.25">
      <c r="A31" t="s">
        <v>4036</v>
      </c>
      <c r="B31" t="s">
        <v>4331</v>
      </c>
      <c r="C31" t="s">
        <v>3673</v>
      </c>
      <c r="D31" t="s">
        <v>4031</v>
      </c>
      <c r="E31" s="8" t="s">
        <v>5858</v>
      </c>
      <c r="F31" t="s">
        <v>6492</v>
      </c>
      <c r="G31" s="8" t="s">
        <v>3467</v>
      </c>
      <c r="H31" t="s">
        <v>3467</v>
      </c>
      <c r="I31" t="s">
        <v>3467</v>
      </c>
      <c r="J31" t="s">
        <v>3467</v>
      </c>
      <c r="K31" t="s">
        <v>4036</v>
      </c>
      <c r="L31" t="s">
        <v>90</v>
      </c>
      <c r="M31" t="s">
        <v>5497</v>
      </c>
      <c r="N31" t="s">
        <v>3467</v>
      </c>
      <c r="O31" t="s">
        <v>6493</v>
      </c>
    </row>
    <row r="32" spans="1:15" ht="15" customHeight="1" x14ac:dyDescent="0.25">
      <c r="A32" t="s">
        <v>5860</v>
      </c>
      <c r="B32" t="s">
        <v>3530</v>
      </c>
      <c r="C32" t="s">
        <v>5394</v>
      </c>
      <c r="D32">
        <v>1</v>
      </c>
      <c r="E32" t="s">
        <v>5861</v>
      </c>
      <c r="F32" t="s">
        <v>6494</v>
      </c>
      <c r="G32" t="s">
        <v>5862</v>
      </c>
      <c r="H32" t="s">
        <v>6495</v>
      </c>
      <c r="I32">
        <v>1</v>
      </c>
      <c r="J32" t="s">
        <v>3467</v>
      </c>
      <c r="K32" t="s">
        <v>5863</v>
      </c>
      <c r="L32" t="s">
        <v>90</v>
      </c>
      <c r="M32" t="s">
        <v>5530</v>
      </c>
      <c r="N32" t="s">
        <v>3467</v>
      </c>
      <c r="O32" t="s">
        <v>5864</v>
      </c>
    </row>
    <row r="33" spans="1:15" ht="15" customHeight="1" x14ac:dyDescent="0.25">
      <c r="A33" t="s">
        <v>5204</v>
      </c>
      <c r="B33" t="s">
        <v>3518</v>
      </c>
      <c r="C33" t="s">
        <v>5394</v>
      </c>
      <c r="D33">
        <v>1</v>
      </c>
      <c r="E33" s="8" t="s">
        <v>6496</v>
      </c>
      <c r="F33" t="s">
        <v>6497</v>
      </c>
      <c r="G33" s="8" t="s">
        <v>6498</v>
      </c>
      <c r="H33" t="s">
        <v>6499</v>
      </c>
      <c r="I33">
        <v>1</v>
      </c>
      <c r="J33" t="s">
        <v>3467</v>
      </c>
      <c r="K33" t="s">
        <v>5204</v>
      </c>
      <c r="L33" t="s">
        <v>90</v>
      </c>
      <c r="M33" t="s">
        <v>3467</v>
      </c>
      <c r="N33" t="s">
        <v>3467</v>
      </c>
      <c r="O33" t="s">
        <v>5857</v>
      </c>
    </row>
    <row r="34" spans="1:15" ht="15" customHeight="1" x14ac:dyDescent="0.25">
      <c r="A34" t="s">
        <v>5867</v>
      </c>
      <c r="B34" t="s">
        <v>3530</v>
      </c>
      <c r="C34" t="s">
        <v>5394</v>
      </c>
      <c r="D34">
        <v>0</v>
      </c>
      <c r="E34" s="8" t="s">
        <v>6500</v>
      </c>
      <c r="F34" t="s">
        <v>6501</v>
      </c>
      <c r="G34" s="8" t="s">
        <v>6502</v>
      </c>
      <c r="H34" t="s">
        <v>6503</v>
      </c>
      <c r="I34">
        <v>0</v>
      </c>
      <c r="J34" t="s">
        <v>3467</v>
      </c>
      <c r="K34" t="s">
        <v>5870</v>
      </c>
      <c r="L34" t="s">
        <v>90</v>
      </c>
      <c r="M34" t="s">
        <v>3467</v>
      </c>
      <c r="N34" t="s">
        <v>3467</v>
      </c>
      <c r="O34" t="s">
        <v>5871</v>
      </c>
    </row>
    <row r="35" spans="1:15" ht="15" customHeight="1" x14ac:dyDescent="0.25">
      <c r="A35" t="s">
        <v>5874</v>
      </c>
      <c r="B35" t="s">
        <v>3530</v>
      </c>
      <c r="C35" t="s">
        <v>5756</v>
      </c>
      <c r="D35">
        <v>2</v>
      </c>
      <c r="E35" t="s">
        <v>6504</v>
      </c>
      <c r="F35" t="s">
        <v>6505</v>
      </c>
      <c r="G35" t="s">
        <v>5876</v>
      </c>
      <c r="H35" t="s">
        <v>6506</v>
      </c>
      <c r="I35">
        <v>2</v>
      </c>
      <c r="J35" t="s">
        <v>6457</v>
      </c>
      <c r="K35" t="s">
        <v>5874</v>
      </c>
      <c r="L35" t="s">
        <v>90</v>
      </c>
      <c r="M35" t="s">
        <v>5456</v>
      </c>
      <c r="N35" t="s">
        <v>3467</v>
      </c>
      <c r="O35" t="s">
        <v>5769</v>
      </c>
    </row>
    <row r="36" spans="1:15" ht="15" customHeight="1" x14ac:dyDescent="0.25">
      <c r="A36" t="s">
        <v>5877</v>
      </c>
      <c r="B36" t="s">
        <v>3530</v>
      </c>
      <c r="C36" t="s">
        <v>5394</v>
      </c>
      <c r="D36">
        <v>1</v>
      </c>
      <c r="E36" s="8" t="s">
        <v>6507</v>
      </c>
      <c r="F36" t="s">
        <v>6508</v>
      </c>
      <c r="G36" s="8" t="s">
        <v>6509</v>
      </c>
      <c r="H36" t="s">
        <v>6510</v>
      </c>
      <c r="I36">
        <v>1</v>
      </c>
      <c r="J36" t="s">
        <v>3467</v>
      </c>
      <c r="K36" t="s">
        <v>5877</v>
      </c>
      <c r="L36" t="s">
        <v>90</v>
      </c>
      <c r="M36" t="s">
        <v>5530</v>
      </c>
      <c r="N36" t="s">
        <v>3467</v>
      </c>
      <c r="O36" t="s">
        <v>6511</v>
      </c>
    </row>
    <row r="37" spans="1:15" ht="15" customHeight="1" x14ac:dyDescent="0.25">
      <c r="A37" t="s">
        <v>5880</v>
      </c>
      <c r="B37" t="s">
        <v>3530</v>
      </c>
      <c r="C37" t="s">
        <v>5756</v>
      </c>
      <c r="D37">
        <v>2</v>
      </c>
      <c r="E37" s="8" t="s">
        <v>5881</v>
      </c>
      <c r="F37" t="s">
        <v>6512</v>
      </c>
      <c r="G37" s="8" t="s">
        <v>5882</v>
      </c>
      <c r="H37" t="s">
        <v>6513</v>
      </c>
      <c r="I37">
        <v>2</v>
      </c>
      <c r="J37" t="s">
        <v>6434</v>
      </c>
      <c r="K37" t="s">
        <v>5880</v>
      </c>
      <c r="L37" t="s">
        <v>90</v>
      </c>
      <c r="M37" t="s">
        <v>3467</v>
      </c>
      <c r="N37" t="s">
        <v>3467</v>
      </c>
      <c r="O37" t="s">
        <v>5883</v>
      </c>
    </row>
    <row r="38" spans="1:15" ht="15" customHeight="1" x14ac:dyDescent="0.25">
      <c r="A38" t="s">
        <v>5884</v>
      </c>
      <c r="B38" t="s">
        <v>41</v>
      </c>
      <c r="C38" t="s">
        <v>5756</v>
      </c>
      <c r="D38">
        <v>0</v>
      </c>
      <c r="E38" s="8" t="s">
        <v>6514</v>
      </c>
      <c r="F38" t="s">
        <v>6515</v>
      </c>
      <c r="G38" s="8" t="s">
        <v>6516</v>
      </c>
      <c r="H38" t="s">
        <v>6517</v>
      </c>
      <c r="I38">
        <v>0</v>
      </c>
      <c r="J38" t="s">
        <v>6518</v>
      </c>
      <c r="K38" t="s">
        <v>5884</v>
      </c>
      <c r="L38" t="s">
        <v>90</v>
      </c>
      <c r="M38" t="s">
        <v>3467</v>
      </c>
      <c r="N38" t="s">
        <v>3467</v>
      </c>
      <c r="O38" t="s">
        <v>5769</v>
      </c>
    </row>
    <row r="39" spans="1:15" ht="15" customHeight="1" x14ac:dyDescent="0.25">
      <c r="A39" t="s">
        <v>5887</v>
      </c>
      <c r="B39" t="s">
        <v>41</v>
      </c>
      <c r="C39" t="s">
        <v>5756</v>
      </c>
      <c r="D39">
        <v>0</v>
      </c>
      <c r="E39" t="s">
        <v>5888</v>
      </c>
      <c r="F39" t="s">
        <v>6519</v>
      </c>
      <c r="G39" t="s">
        <v>5889</v>
      </c>
      <c r="H39" t="s">
        <v>6520</v>
      </c>
      <c r="I39">
        <v>0</v>
      </c>
      <c r="J39" t="s">
        <v>6518</v>
      </c>
      <c r="K39" t="s">
        <v>5887</v>
      </c>
      <c r="L39" t="s">
        <v>90</v>
      </c>
      <c r="M39" t="s">
        <v>3467</v>
      </c>
      <c r="N39" t="s">
        <v>3467</v>
      </c>
      <c r="O39" t="s">
        <v>5890</v>
      </c>
    </row>
    <row r="40" spans="1:15" ht="15" customHeight="1" x14ac:dyDescent="0.25">
      <c r="A40" t="s">
        <v>5444</v>
      </c>
      <c r="B40" t="s">
        <v>41</v>
      </c>
      <c r="C40" t="s">
        <v>5756</v>
      </c>
      <c r="D40">
        <v>1</v>
      </c>
      <c r="E40" t="s">
        <v>5891</v>
      </c>
      <c r="F40" t="s">
        <v>6521</v>
      </c>
      <c r="G40" t="s">
        <v>5892</v>
      </c>
      <c r="H40" t="s">
        <v>6522</v>
      </c>
      <c r="I40">
        <v>1</v>
      </c>
      <c r="J40" t="s">
        <v>6523</v>
      </c>
      <c r="K40" t="s">
        <v>5444</v>
      </c>
      <c r="L40" t="s">
        <v>90</v>
      </c>
      <c r="M40" t="s">
        <v>3467</v>
      </c>
      <c r="N40" t="s">
        <v>3467</v>
      </c>
      <c r="O40" t="s">
        <v>6524</v>
      </c>
    </row>
    <row r="41" spans="1:15" ht="15" customHeight="1" x14ac:dyDescent="0.25">
      <c r="A41" t="s">
        <v>5894</v>
      </c>
      <c r="B41" t="s">
        <v>41</v>
      </c>
      <c r="C41" t="s">
        <v>5394</v>
      </c>
      <c r="D41">
        <v>1</v>
      </c>
      <c r="E41" t="s">
        <v>5895</v>
      </c>
      <c r="F41" t="s">
        <v>6525</v>
      </c>
      <c r="G41" t="s">
        <v>5896</v>
      </c>
      <c r="H41" t="s">
        <v>6526</v>
      </c>
      <c r="I41">
        <v>1</v>
      </c>
      <c r="J41" t="s">
        <v>3467</v>
      </c>
      <c r="K41" t="s">
        <v>5897</v>
      </c>
      <c r="L41" t="s">
        <v>90</v>
      </c>
      <c r="M41" t="s">
        <v>3467</v>
      </c>
      <c r="N41" t="s">
        <v>3467</v>
      </c>
      <c r="O41" t="s">
        <v>5751</v>
      </c>
    </row>
    <row r="42" spans="1:15" ht="15" customHeight="1" x14ac:dyDescent="0.25">
      <c r="A42" t="s">
        <v>5898</v>
      </c>
      <c r="B42" t="s">
        <v>41</v>
      </c>
      <c r="C42" t="s">
        <v>5756</v>
      </c>
      <c r="D42">
        <v>2</v>
      </c>
      <c r="E42" s="8" t="s">
        <v>6527</v>
      </c>
      <c r="F42" t="s">
        <v>6528</v>
      </c>
      <c r="G42" s="8" t="s">
        <v>6529</v>
      </c>
      <c r="H42" t="s">
        <v>6530</v>
      </c>
      <c r="I42" t="s">
        <v>3467</v>
      </c>
      <c r="J42" t="s">
        <v>6443</v>
      </c>
      <c r="K42" t="s">
        <v>5898</v>
      </c>
      <c r="L42" t="s">
        <v>90</v>
      </c>
      <c r="M42" t="s">
        <v>3467</v>
      </c>
      <c r="N42" t="s">
        <v>3467</v>
      </c>
      <c r="O42" t="s">
        <v>5901</v>
      </c>
    </row>
    <row r="43" spans="1:15" ht="15" customHeight="1" x14ac:dyDescent="0.25">
      <c r="A43" t="s">
        <v>5902</v>
      </c>
      <c r="B43" t="s">
        <v>4331</v>
      </c>
      <c r="C43" t="s">
        <v>4279</v>
      </c>
      <c r="D43" t="s">
        <v>4031</v>
      </c>
      <c r="E43" t="s">
        <v>5903</v>
      </c>
      <c r="F43" t="s">
        <v>4249</v>
      </c>
      <c r="G43" t="s">
        <v>3467</v>
      </c>
      <c r="H43" t="s">
        <v>3467</v>
      </c>
      <c r="I43" t="s">
        <v>3467</v>
      </c>
      <c r="J43" t="s">
        <v>3467</v>
      </c>
      <c r="K43" t="s">
        <v>5902</v>
      </c>
      <c r="L43" t="s">
        <v>90</v>
      </c>
      <c r="M43" t="s">
        <v>6531</v>
      </c>
      <c r="N43" t="s">
        <v>3467</v>
      </c>
      <c r="O43" t="s">
        <v>5904</v>
      </c>
    </row>
    <row r="44" spans="1:15" ht="15" customHeight="1" x14ac:dyDescent="0.25">
      <c r="A44" t="s">
        <v>5912</v>
      </c>
      <c r="B44" t="s">
        <v>3530</v>
      </c>
      <c r="C44" t="s">
        <v>5394</v>
      </c>
      <c r="D44">
        <v>0</v>
      </c>
      <c r="E44" s="8" t="s">
        <v>6532</v>
      </c>
      <c r="F44" t="s">
        <v>6533</v>
      </c>
      <c r="G44" s="8" t="s">
        <v>6534</v>
      </c>
      <c r="H44" t="s">
        <v>6535</v>
      </c>
      <c r="I44" t="s">
        <v>3467</v>
      </c>
      <c r="J44" t="s">
        <v>3467</v>
      </c>
      <c r="K44" t="s">
        <v>5912</v>
      </c>
      <c r="L44" t="s">
        <v>90</v>
      </c>
      <c r="M44" t="s">
        <v>3467</v>
      </c>
      <c r="N44" t="s">
        <v>3467</v>
      </c>
      <c r="O44" t="s">
        <v>6536</v>
      </c>
    </row>
    <row r="45" spans="1:15" ht="15" customHeight="1" x14ac:dyDescent="0.25">
      <c r="A45" t="s">
        <v>5213</v>
      </c>
      <c r="B45" t="s">
        <v>3518</v>
      </c>
      <c r="C45" t="s">
        <v>5394</v>
      </c>
      <c r="D45">
        <v>2</v>
      </c>
      <c r="E45" s="8" t="s">
        <v>5916</v>
      </c>
      <c r="F45" t="s">
        <v>6537</v>
      </c>
      <c r="G45" s="8" t="s">
        <v>5917</v>
      </c>
      <c r="H45" t="s">
        <v>6538</v>
      </c>
      <c r="I45">
        <v>2</v>
      </c>
      <c r="J45" t="s">
        <v>6539</v>
      </c>
      <c r="K45" t="s">
        <v>5215</v>
      </c>
      <c r="L45" t="s">
        <v>90</v>
      </c>
      <c r="M45" t="s">
        <v>3467</v>
      </c>
      <c r="N45" t="s">
        <v>3467</v>
      </c>
      <c r="O45" t="s">
        <v>6540</v>
      </c>
    </row>
    <row r="46" spans="1:15" ht="15" customHeight="1" x14ac:dyDescent="0.25">
      <c r="A46" t="s">
        <v>5921</v>
      </c>
      <c r="B46" t="s">
        <v>3530</v>
      </c>
      <c r="C46" t="s">
        <v>5394</v>
      </c>
      <c r="D46">
        <v>0</v>
      </c>
      <c r="E46" s="8" t="s">
        <v>6541</v>
      </c>
      <c r="F46" t="s">
        <v>6542</v>
      </c>
      <c r="G46" s="8" t="s">
        <v>6543</v>
      </c>
      <c r="H46" t="s">
        <v>6544</v>
      </c>
      <c r="I46" t="s">
        <v>3467</v>
      </c>
      <c r="J46" t="s">
        <v>6545</v>
      </c>
      <c r="K46" t="s">
        <v>5924</v>
      </c>
      <c r="L46" t="s">
        <v>90</v>
      </c>
      <c r="M46" t="s">
        <v>5530</v>
      </c>
      <c r="N46" t="s">
        <v>3467</v>
      </c>
      <c r="O46" t="s">
        <v>6546</v>
      </c>
    </row>
    <row r="47" spans="1:15" ht="15" customHeight="1" x14ac:dyDescent="0.25">
      <c r="A47" t="s">
        <v>5926</v>
      </c>
      <c r="B47" t="s">
        <v>41</v>
      </c>
      <c r="C47" t="s">
        <v>5756</v>
      </c>
      <c r="D47">
        <v>1</v>
      </c>
      <c r="E47" t="s">
        <v>5927</v>
      </c>
      <c r="F47" t="s">
        <v>6547</v>
      </c>
      <c r="G47" t="s">
        <v>5928</v>
      </c>
      <c r="H47" t="s">
        <v>6548</v>
      </c>
      <c r="I47">
        <v>1</v>
      </c>
      <c r="J47" t="s">
        <v>6549</v>
      </c>
      <c r="K47" t="s">
        <v>5929</v>
      </c>
      <c r="L47" t="s">
        <v>90</v>
      </c>
      <c r="M47" t="s">
        <v>3467</v>
      </c>
      <c r="N47" t="s">
        <v>3467</v>
      </c>
      <c r="O47" t="s">
        <v>5930</v>
      </c>
    </row>
    <row r="48" spans="1:15" ht="15" customHeight="1" x14ac:dyDescent="0.25">
      <c r="A48" t="s">
        <v>5931</v>
      </c>
      <c r="B48" t="s">
        <v>41</v>
      </c>
      <c r="C48" t="s">
        <v>5756</v>
      </c>
      <c r="D48">
        <v>1</v>
      </c>
      <c r="E48" t="s">
        <v>5932</v>
      </c>
      <c r="F48" t="s">
        <v>6550</v>
      </c>
      <c r="G48" t="s">
        <v>5933</v>
      </c>
      <c r="H48" t="s">
        <v>6551</v>
      </c>
      <c r="I48">
        <v>1</v>
      </c>
      <c r="J48" t="s">
        <v>6451</v>
      </c>
      <c r="K48" t="s">
        <v>5934</v>
      </c>
      <c r="L48" t="s">
        <v>90</v>
      </c>
      <c r="M48" t="s">
        <v>3467</v>
      </c>
      <c r="N48" t="s">
        <v>3467</v>
      </c>
      <c r="O48" t="s">
        <v>5935</v>
      </c>
    </row>
    <row r="49" spans="1:15" ht="15" customHeight="1" x14ac:dyDescent="0.25">
      <c r="A49" t="s">
        <v>3452</v>
      </c>
      <c r="B49" t="s">
        <v>3530</v>
      </c>
      <c r="C49" t="s">
        <v>5756</v>
      </c>
      <c r="D49">
        <v>2</v>
      </c>
      <c r="E49" s="8" t="s">
        <v>5939</v>
      </c>
      <c r="F49" t="s">
        <v>6552</v>
      </c>
      <c r="G49" s="8" t="s">
        <v>5940</v>
      </c>
      <c r="H49" t="s">
        <v>6553</v>
      </c>
      <c r="I49">
        <v>2</v>
      </c>
      <c r="J49" t="s">
        <v>6426</v>
      </c>
      <c r="K49" t="s">
        <v>3452</v>
      </c>
      <c r="L49" t="s">
        <v>90</v>
      </c>
      <c r="M49" t="s">
        <v>3467</v>
      </c>
      <c r="N49" t="s">
        <v>3467</v>
      </c>
      <c r="O49" t="s">
        <v>5941</v>
      </c>
    </row>
    <row r="50" spans="1:15" ht="15" customHeight="1" x14ac:dyDescent="0.25">
      <c r="A50" t="s">
        <v>5942</v>
      </c>
      <c r="B50" t="s">
        <v>4331</v>
      </c>
      <c r="C50" t="s">
        <v>3673</v>
      </c>
      <c r="D50" t="s">
        <v>4031</v>
      </c>
      <c r="E50" s="8" t="s">
        <v>6554</v>
      </c>
      <c r="F50" t="s">
        <v>4249</v>
      </c>
      <c r="G50" s="8" t="s">
        <v>3467</v>
      </c>
      <c r="H50" t="s">
        <v>3467</v>
      </c>
      <c r="I50" t="s">
        <v>3467</v>
      </c>
      <c r="J50" t="s">
        <v>3467</v>
      </c>
      <c r="K50" t="s">
        <v>5942</v>
      </c>
      <c r="L50" t="s">
        <v>90</v>
      </c>
      <c r="M50" t="s">
        <v>5456</v>
      </c>
      <c r="N50" t="s">
        <v>3467</v>
      </c>
      <c r="O50" t="s">
        <v>6493</v>
      </c>
    </row>
    <row r="51" spans="1:15" ht="15" customHeight="1" x14ac:dyDescent="0.25">
      <c r="A51" t="s">
        <v>5944</v>
      </c>
      <c r="B51" t="s">
        <v>41</v>
      </c>
      <c r="C51" t="s">
        <v>5394</v>
      </c>
      <c r="D51">
        <v>1</v>
      </c>
      <c r="E51" s="8" t="s">
        <v>5945</v>
      </c>
      <c r="F51" t="s">
        <v>6555</v>
      </c>
      <c r="G51" s="8" t="s">
        <v>5946</v>
      </c>
      <c r="H51" t="s">
        <v>6556</v>
      </c>
      <c r="I51">
        <v>1</v>
      </c>
      <c r="J51" t="s">
        <v>3467</v>
      </c>
      <c r="K51" t="s">
        <v>5947</v>
      </c>
      <c r="L51" t="s">
        <v>90</v>
      </c>
      <c r="M51" t="s">
        <v>3467</v>
      </c>
      <c r="N51" t="s">
        <v>3467</v>
      </c>
      <c r="O51" t="s">
        <v>6490</v>
      </c>
    </row>
    <row r="52" spans="1:15" ht="15" customHeight="1" x14ac:dyDescent="0.25">
      <c r="A52" t="s">
        <v>4293</v>
      </c>
      <c r="B52" t="s">
        <v>4331</v>
      </c>
      <c r="C52" t="s">
        <v>4279</v>
      </c>
      <c r="D52" t="s">
        <v>4031</v>
      </c>
      <c r="E52" t="s">
        <v>5948</v>
      </c>
      <c r="F52" t="s">
        <v>6492</v>
      </c>
      <c r="G52" t="s">
        <v>3467</v>
      </c>
      <c r="H52" t="s">
        <v>3467</v>
      </c>
      <c r="I52" t="s">
        <v>3467</v>
      </c>
      <c r="J52" t="s">
        <v>3467</v>
      </c>
      <c r="K52" t="s">
        <v>4293</v>
      </c>
      <c r="L52" t="s">
        <v>90</v>
      </c>
      <c r="M52" t="s">
        <v>5497</v>
      </c>
      <c r="N52" t="s">
        <v>3467</v>
      </c>
      <c r="O52" t="s">
        <v>5904</v>
      </c>
    </row>
    <row r="53" spans="1:15" ht="15" customHeight="1" x14ac:dyDescent="0.25">
      <c r="A53" t="s">
        <v>6557</v>
      </c>
      <c r="B53" t="s">
        <v>3563</v>
      </c>
      <c r="C53" t="s">
        <v>5394</v>
      </c>
      <c r="D53">
        <v>1</v>
      </c>
      <c r="E53" t="s">
        <v>5950</v>
      </c>
      <c r="F53" t="s">
        <v>6558</v>
      </c>
      <c r="G53" t="s">
        <v>5951</v>
      </c>
      <c r="H53" t="s">
        <v>6559</v>
      </c>
      <c r="I53">
        <v>1</v>
      </c>
      <c r="J53" t="s">
        <v>3467</v>
      </c>
      <c r="K53" t="s">
        <v>6560</v>
      </c>
      <c r="L53" t="s">
        <v>90</v>
      </c>
      <c r="M53" t="s">
        <v>3467</v>
      </c>
      <c r="N53" t="s">
        <v>3467</v>
      </c>
      <c r="O53" t="s">
        <v>6561</v>
      </c>
    </row>
    <row r="54" spans="1:15" ht="15" customHeight="1" x14ac:dyDescent="0.25">
      <c r="A54" t="s">
        <v>6562</v>
      </c>
      <c r="B54" t="s">
        <v>3563</v>
      </c>
      <c r="C54" t="s">
        <v>5394</v>
      </c>
      <c r="D54">
        <v>1</v>
      </c>
      <c r="E54" t="s">
        <v>5950</v>
      </c>
      <c r="F54" t="s">
        <v>6558</v>
      </c>
      <c r="G54" t="s">
        <v>5951</v>
      </c>
      <c r="H54" t="s">
        <v>6559</v>
      </c>
      <c r="I54">
        <v>1</v>
      </c>
      <c r="J54" t="s">
        <v>3467</v>
      </c>
      <c r="K54" t="s">
        <v>6563</v>
      </c>
      <c r="L54" t="s">
        <v>90</v>
      </c>
      <c r="M54" t="s">
        <v>3467</v>
      </c>
      <c r="N54" t="s">
        <v>3467</v>
      </c>
      <c r="O54" t="s">
        <v>6561</v>
      </c>
    </row>
    <row r="55" spans="1:15" ht="15" customHeight="1" x14ac:dyDescent="0.25">
      <c r="A55" t="s">
        <v>5954</v>
      </c>
      <c r="B55" t="s">
        <v>41</v>
      </c>
      <c r="C55" t="s">
        <v>5394</v>
      </c>
      <c r="D55">
        <v>0</v>
      </c>
      <c r="E55" s="8" t="s">
        <v>5955</v>
      </c>
      <c r="F55" t="s">
        <v>6564</v>
      </c>
      <c r="G55" s="8" t="s">
        <v>6565</v>
      </c>
      <c r="H55" t="s">
        <v>6566</v>
      </c>
      <c r="I55">
        <v>0</v>
      </c>
      <c r="J55" t="s">
        <v>3467</v>
      </c>
      <c r="K55" t="s">
        <v>5954</v>
      </c>
      <c r="L55" t="s">
        <v>90</v>
      </c>
      <c r="M55" t="s">
        <v>3467</v>
      </c>
      <c r="N55" t="s">
        <v>3467</v>
      </c>
      <c r="O55" t="s">
        <v>5751</v>
      </c>
    </row>
    <row r="56" spans="1:15" ht="15" customHeight="1" x14ac:dyDescent="0.25">
      <c r="A56" t="s">
        <v>4616</v>
      </c>
      <c r="B56" t="s">
        <v>3530</v>
      </c>
      <c r="C56" t="s">
        <v>5756</v>
      </c>
      <c r="D56">
        <v>1</v>
      </c>
      <c r="E56" t="s">
        <v>6567</v>
      </c>
      <c r="F56" t="s">
        <v>6568</v>
      </c>
      <c r="G56" t="s">
        <v>6567</v>
      </c>
      <c r="H56" t="s">
        <v>6568</v>
      </c>
      <c r="I56">
        <v>1</v>
      </c>
      <c r="J56" t="s">
        <v>6426</v>
      </c>
      <c r="K56" t="s">
        <v>4616</v>
      </c>
      <c r="L56" t="s">
        <v>1622</v>
      </c>
      <c r="M56" t="s">
        <v>5459</v>
      </c>
      <c r="N56" t="s">
        <v>3467</v>
      </c>
      <c r="O56" t="s">
        <v>5789</v>
      </c>
    </row>
    <row r="57" spans="1:15" ht="15" customHeight="1" x14ac:dyDescent="0.25">
      <c r="A57" t="s">
        <v>5963</v>
      </c>
      <c r="B57" t="s">
        <v>3518</v>
      </c>
      <c r="C57" t="s">
        <v>5756</v>
      </c>
      <c r="D57">
        <v>1</v>
      </c>
      <c r="E57" t="s">
        <v>5964</v>
      </c>
      <c r="F57" t="s">
        <v>6569</v>
      </c>
      <c r="G57" t="s">
        <v>5965</v>
      </c>
      <c r="H57" t="s">
        <v>6570</v>
      </c>
      <c r="I57">
        <v>1</v>
      </c>
      <c r="J57" t="s">
        <v>6571</v>
      </c>
      <c r="K57" t="s">
        <v>5966</v>
      </c>
      <c r="L57" t="s">
        <v>90</v>
      </c>
      <c r="M57" t="s">
        <v>5530</v>
      </c>
      <c r="N57" t="s">
        <v>3467</v>
      </c>
      <c r="O57" t="s">
        <v>5967</v>
      </c>
    </row>
    <row r="58" spans="1:15" ht="15" customHeight="1" x14ac:dyDescent="0.25">
      <c r="A58" t="s">
        <v>5968</v>
      </c>
      <c r="B58" t="s">
        <v>3530</v>
      </c>
      <c r="C58" t="s">
        <v>5394</v>
      </c>
      <c r="D58">
        <v>1</v>
      </c>
      <c r="E58" s="8" t="s">
        <v>5969</v>
      </c>
      <c r="F58" t="s">
        <v>6572</v>
      </c>
      <c r="G58" s="8" t="s">
        <v>5970</v>
      </c>
      <c r="H58" t="s">
        <v>6573</v>
      </c>
      <c r="I58">
        <v>1</v>
      </c>
      <c r="J58" t="s">
        <v>3467</v>
      </c>
      <c r="K58" t="s">
        <v>5968</v>
      </c>
      <c r="L58" t="s">
        <v>90</v>
      </c>
      <c r="M58" t="s">
        <v>5530</v>
      </c>
      <c r="N58" t="s">
        <v>3467</v>
      </c>
      <c r="O58" t="s">
        <v>5971</v>
      </c>
    </row>
    <row r="59" spans="1:15" ht="15" customHeight="1" x14ac:dyDescent="0.25">
      <c r="A59" t="s">
        <v>5972</v>
      </c>
      <c r="B59" t="s">
        <v>3530</v>
      </c>
      <c r="C59" t="s">
        <v>5394</v>
      </c>
      <c r="D59">
        <v>1</v>
      </c>
      <c r="E59" s="8" t="s">
        <v>5973</v>
      </c>
      <c r="F59" t="s">
        <v>6574</v>
      </c>
      <c r="G59" s="8" t="s">
        <v>5973</v>
      </c>
      <c r="H59" t="s">
        <v>6574</v>
      </c>
      <c r="I59">
        <v>0</v>
      </c>
      <c r="J59" t="s">
        <v>3467</v>
      </c>
      <c r="K59" t="s">
        <v>5972</v>
      </c>
      <c r="L59" t="s">
        <v>90</v>
      </c>
      <c r="M59" t="s">
        <v>5530</v>
      </c>
      <c r="N59" t="s">
        <v>3467</v>
      </c>
      <c r="O59" t="s">
        <v>5974</v>
      </c>
    </row>
    <row r="60" spans="1:15" ht="15" customHeight="1" x14ac:dyDescent="0.25">
      <c r="A60" t="s">
        <v>5975</v>
      </c>
      <c r="B60" t="s">
        <v>41</v>
      </c>
      <c r="C60" t="s">
        <v>5394</v>
      </c>
      <c r="D60">
        <v>1</v>
      </c>
      <c r="E60" s="8" t="s">
        <v>6575</v>
      </c>
      <c r="F60" t="s">
        <v>6576</v>
      </c>
      <c r="G60" s="8" t="s">
        <v>6577</v>
      </c>
      <c r="H60" t="s">
        <v>6578</v>
      </c>
      <c r="I60">
        <v>1</v>
      </c>
      <c r="J60" t="s">
        <v>3467</v>
      </c>
      <c r="K60" t="s">
        <v>5978</v>
      </c>
      <c r="L60" t="s">
        <v>90</v>
      </c>
      <c r="M60" t="s">
        <v>3467</v>
      </c>
      <c r="N60" t="s">
        <v>3467</v>
      </c>
      <c r="O60" t="s">
        <v>5751</v>
      </c>
    </row>
    <row r="61" spans="1:15" ht="15" customHeight="1" x14ac:dyDescent="0.25">
      <c r="A61" t="s">
        <v>5979</v>
      </c>
      <c r="B61" t="s">
        <v>3518</v>
      </c>
      <c r="C61" t="s">
        <v>5394</v>
      </c>
      <c r="D61" t="s">
        <v>5980</v>
      </c>
      <c r="E61" s="8" t="s">
        <v>6579</v>
      </c>
      <c r="F61" t="s">
        <v>6580</v>
      </c>
      <c r="G61" s="8" t="s">
        <v>6581</v>
      </c>
      <c r="H61" t="s">
        <v>6582</v>
      </c>
      <c r="I61" t="s">
        <v>3467</v>
      </c>
      <c r="J61" t="s">
        <v>3467</v>
      </c>
      <c r="K61" t="s">
        <v>5979</v>
      </c>
      <c r="L61" t="s">
        <v>90</v>
      </c>
      <c r="M61" t="s">
        <v>5530</v>
      </c>
      <c r="N61" t="s">
        <v>3467</v>
      </c>
      <c r="O61" t="s">
        <v>5983</v>
      </c>
    </row>
    <row r="62" spans="1:15" ht="15" customHeight="1" x14ac:dyDescent="0.25">
      <c r="A62" t="s">
        <v>5398</v>
      </c>
      <c r="B62" t="s">
        <v>3518</v>
      </c>
      <c r="C62" t="s">
        <v>5394</v>
      </c>
      <c r="D62">
        <v>1</v>
      </c>
      <c r="E62" s="8" t="s">
        <v>5984</v>
      </c>
      <c r="F62" t="s">
        <v>6583</v>
      </c>
      <c r="G62" s="8" t="s">
        <v>5985</v>
      </c>
      <c r="H62" t="s">
        <v>6584</v>
      </c>
      <c r="I62">
        <v>1</v>
      </c>
      <c r="J62" t="s">
        <v>3467</v>
      </c>
      <c r="K62" t="s">
        <v>5400</v>
      </c>
      <c r="L62" t="s">
        <v>90</v>
      </c>
      <c r="M62" t="s">
        <v>3467</v>
      </c>
      <c r="N62" t="s">
        <v>3467</v>
      </c>
      <c r="O62" t="s">
        <v>5769</v>
      </c>
    </row>
    <row r="63" spans="1:15" ht="15" customHeight="1" x14ac:dyDescent="0.25">
      <c r="A63" t="s">
        <v>5987</v>
      </c>
      <c r="B63" t="s">
        <v>4331</v>
      </c>
      <c r="C63" t="s">
        <v>4279</v>
      </c>
      <c r="D63" t="s">
        <v>4031</v>
      </c>
      <c r="E63" t="s">
        <v>5988</v>
      </c>
      <c r="F63" t="s">
        <v>6585</v>
      </c>
      <c r="G63" t="s">
        <v>3467</v>
      </c>
      <c r="H63" t="s">
        <v>3467</v>
      </c>
      <c r="I63" t="s">
        <v>3467</v>
      </c>
      <c r="J63" t="s">
        <v>3467</v>
      </c>
      <c r="K63" t="s">
        <v>5987</v>
      </c>
      <c r="L63" t="s">
        <v>90</v>
      </c>
      <c r="M63" t="s">
        <v>5497</v>
      </c>
      <c r="N63" t="s">
        <v>3467</v>
      </c>
      <c r="O63" t="s">
        <v>5904</v>
      </c>
    </row>
    <row r="64" spans="1:15" ht="15" customHeight="1" x14ac:dyDescent="0.25">
      <c r="A64" t="s">
        <v>5989</v>
      </c>
      <c r="B64" t="s">
        <v>3530</v>
      </c>
      <c r="C64" t="s">
        <v>5756</v>
      </c>
      <c r="D64">
        <v>1</v>
      </c>
      <c r="E64" s="8" t="s">
        <v>6586</v>
      </c>
      <c r="F64" t="s">
        <v>6587</v>
      </c>
      <c r="G64" s="8" t="s">
        <v>6588</v>
      </c>
      <c r="H64" t="s">
        <v>6589</v>
      </c>
      <c r="I64">
        <v>1</v>
      </c>
      <c r="J64" t="s">
        <v>6426</v>
      </c>
      <c r="K64" t="s">
        <v>5989</v>
      </c>
      <c r="L64" t="s">
        <v>90</v>
      </c>
      <c r="M64" t="s">
        <v>3467</v>
      </c>
      <c r="N64" t="s">
        <v>3467</v>
      </c>
      <c r="O64" t="s">
        <v>5992</v>
      </c>
    </row>
    <row r="65" spans="1:15" ht="15" customHeight="1" x14ac:dyDescent="0.25">
      <c r="A65" t="s">
        <v>5997</v>
      </c>
      <c r="B65" t="s">
        <v>3530</v>
      </c>
      <c r="C65" t="s">
        <v>5394</v>
      </c>
      <c r="D65">
        <v>1</v>
      </c>
      <c r="E65" s="8" t="s">
        <v>5998</v>
      </c>
      <c r="F65" t="s">
        <v>6590</v>
      </c>
      <c r="G65" s="8" t="s">
        <v>5999</v>
      </c>
      <c r="H65" t="s">
        <v>6591</v>
      </c>
      <c r="I65">
        <v>1</v>
      </c>
      <c r="J65" t="s">
        <v>3467</v>
      </c>
      <c r="K65" t="s">
        <v>6000</v>
      </c>
      <c r="L65" t="s">
        <v>90</v>
      </c>
      <c r="M65" t="s">
        <v>3467</v>
      </c>
      <c r="N65" t="s">
        <v>3467</v>
      </c>
      <c r="O65" t="s">
        <v>5797</v>
      </c>
    </row>
    <row r="66" spans="1:15" ht="15" customHeight="1" x14ac:dyDescent="0.25">
      <c r="A66" t="s">
        <v>6001</v>
      </c>
      <c r="B66" t="s">
        <v>3530</v>
      </c>
      <c r="C66" t="s">
        <v>5756</v>
      </c>
      <c r="D66">
        <v>0</v>
      </c>
      <c r="E66" s="8" t="s">
        <v>6592</v>
      </c>
      <c r="F66" t="s">
        <v>6593</v>
      </c>
      <c r="G66" s="8" t="s">
        <v>6594</v>
      </c>
      <c r="H66" t="s">
        <v>6595</v>
      </c>
      <c r="I66">
        <v>0</v>
      </c>
      <c r="J66" t="s">
        <v>6484</v>
      </c>
      <c r="K66" t="s">
        <v>6004</v>
      </c>
      <c r="L66" t="s">
        <v>90</v>
      </c>
      <c r="M66" t="s">
        <v>5530</v>
      </c>
      <c r="N66" t="s">
        <v>3467</v>
      </c>
      <c r="O66" t="s">
        <v>5811</v>
      </c>
    </row>
    <row r="67" spans="1:15" x14ac:dyDescent="0.25">
      <c r="A67" t="s">
        <v>6005</v>
      </c>
      <c r="B67" t="s">
        <v>3530</v>
      </c>
      <c r="C67" t="s">
        <v>5394</v>
      </c>
      <c r="D67">
        <v>2</v>
      </c>
      <c r="E67" s="8" t="s">
        <v>6006</v>
      </c>
      <c r="F67" t="s">
        <v>6596</v>
      </c>
      <c r="G67" s="8" t="s">
        <v>6006</v>
      </c>
      <c r="H67" t="s">
        <v>6596</v>
      </c>
      <c r="I67">
        <v>1</v>
      </c>
      <c r="J67" t="s">
        <v>3467</v>
      </c>
      <c r="K67" t="s">
        <v>6005</v>
      </c>
      <c r="L67" t="s">
        <v>90</v>
      </c>
      <c r="M67" t="s">
        <v>3467</v>
      </c>
      <c r="N67" t="s">
        <v>3467</v>
      </c>
      <c r="O67" t="s">
        <v>5773</v>
      </c>
    </row>
    <row r="68" spans="1:15" x14ac:dyDescent="0.25">
      <c r="A68" t="s">
        <v>5230</v>
      </c>
      <c r="B68" t="s">
        <v>3518</v>
      </c>
      <c r="C68" t="s">
        <v>4631</v>
      </c>
      <c r="D68">
        <v>2</v>
      </c>
      <c r="E68" s="8" t="s">
        <v>6597</v>
      </c>
      <c r="F68" t="s">
        <v>6598</v>
      </c>
      <c r="G68" s="8" t="s">
        <v>6597</v>
      </c>
      <c r="H68" t="s">
        <v>6598</v>
      </c>
      <c r="I68">
        <v>1</v>
      </c>
      <c r="J68" t="s">
        <v>3467</v>
      </c>
      <c r="K68" t="s">
        <v>5230</v>
      </c>
      <c r="L68" t="s">
        <v>90</v>
      </c>
      <c r="M68" t="s">
        <v>3467</v>
      </c>
      <c r="N68" t="s">
        <v>3467</v>
      </c>
      <c r="O68" t="s">
        <v>6599</v>
      </c>
    </row>
    <row r="69" spans="1:15" x14ac:dyDescent="0.25">
      <c r="A69" t="s">
        <v>6008</v>
      </c>
      <c r="B69" t="s">
        <v>3530</v>
      </c>
      <c r="C69" t="s">
        <v>5394</v>
      </c>
      <c r="D69">
        <v>0</v>
      </c>
      <c r="E69" s="8" t="s">
        <v>6009</v>
      </c>
      <c r="F69" t="s">
        <v>6600</v>
      </c>
      <c r="G69" s="8" t="s">
        <v>6010</v>
      </c>
      <c r="H69" t="s">
        <v>6601</v>
      </c>
      <c r="I69">
        <v>0</v>
      </c>
      <c r="J69" t="s">
        <v>3467</v>
      </c>
      <c r="K69" t="s">
        <v>6011</v>
      </c>
      <c r="L69" t="s">
        <v>90</v>
      </c>
      <c r="M69" t="s">
        <v>3467</v>
      </c>
      <c r="N69" t="s">
        <v>3467</v>
      </c>
      <c r="O69" t="s">
        <v>6012</v>
      </c>
    </row>
    <row r="70" spans="1:15" x14ac:dyDescent="0.25">
      <c r="A70" t="s">
        <v>6013</v>
      </c>
      <c r="B70" t="s">
        <v>3530</v>
      </c>
      <c r="C70" t="s">
        <v>5756</v>
      </c>
      <c r="D70">
        <v>3</v>
      </c>
      <c r="E70" s="8" t="s">
        <v>6602</v>
      </c>
      <c r="F70" t="s">
        <v>6603</v>
      </c>
      <c r="G70" s="8" t="s">
        <v>6604</v>
      </c>
      <c r="H70" t="s">
        <v>6605</v>
      </c>
      <c r="I70">
        <v>3</v>
      </c>
      <c r="J70" t="s">
        <v>6434</v>
      </c>
      <c r="K70" t="s">
        <v>6013</v>
      </c>
      <c r="L70" t="s">
        <v>90</v>
      </c>
      <c r="M70" t="s">
        <v>3467</v>
      </c>
      <c r="N70" t="s">
        <v>3467</v>
      </c>
      <c r="O70" t="s">
        <v>6016</v>
      </c>
    </row>
    <row r="71" spans="1:15" x14ac:dyDescent="0.25">
      <c r="A71" t="s">
        <v>5232</v>
      </c>
      <c r="B71" t="s">
        <v>3530</v>
      </c>
      <c r="C71" t="s">
        <v>4631</v>
      </c>
      <c r="D71">
        <v>1</v>
      </c>
      <c r="E71" s="8" t="s">
        <v>6606</v>
      </c>
      <c r="F71" t="s">
        <v>6607</v>
      </c>
      <c r="G71" s="8" t="s">
        <v>6608</v>
      </c>
      <c r="H71" t="s">
        <v>6609</v>
      </c>
      <c r="I71">
        <v>1</v>
      </c>
      <c r="J71" t="s">
        <v>3467</v>
      </c>
      <c r="K71" t="s">
        <v>5232</v>
      </c>
      <c r="L71" t="s">
        <v>90</v>
      </c>
      <c r="M71" t="s">
        <v>3467</v>
      </c>
      <c r="N71" t="s">
        <v>3467</v>
      </c>
      <c r="O71" t="s">
        <v>6019</v>
      </c>
    </row>
    <row r="72" spans="1:15" x14ac:dyDescent="0.25">
      <c r="A72" t="s">
        <v>6020</v>
      </c>
      <c r="B72" t="s">
        <v>3518</v>
      </c>
      <c r="C72" t="s">
        <v>5394</v>
      </c>
      <c r="D72">
        <v>1</v>
      </c>
      <c r="E72" s="8" t="s">
        <v>6021</v>
      </c>
      <c r="F72" t="s">
        <v>6610</v>
      </c>
      <c r="G72" s="8" t="s">
        <v>6021</v>
      </c>
      <c r="H72" t="s">
        <v>6610</v>
      </c>
      <c r="I72">
        <v>0</v>
      </c>
      <c r="J72" t="s">
        <v>3467</v>
      </c>
      <c r="K72" t="s">
        <v>6020</v>
      </c>
      <c r="L72" t="s">
        <v>90</v>
      </c>
      <c r="M72" t="s">
        <v>5530</v>
      </c>
      <c r="N72" t="s">
        <v>3467</v>
      </c>
      <c r="O72" t="s">
        <v>6022</v>
      </c>
    </row>
    <row r="73" spans="1:15" x14ac:dyDescent="0.25">
      <c r="A73" t="s">
        <v>6023</v>
      </c>
      <c r="B73" t="s">
        <v>3530</v>
      </c>
      <c r="C73" t="s">
        <v>5394</v>
      </c>
      <c r="D73">
        <v>1</v>
      </c>
      <c r="E73" s="8" t="s">
        <v>6611</v>
      </c>
      <c r="F73" t="s">
        <v>6612</v>
      </c>
      <c r="G73" s="8" t="s">
        <v>6613</v>
      </c>
      <c r="H73" t="s">
        <v>6614</v>
      </c>
      <c r="I73">
        <v>1</v>
      </c>
      <c r="J73" t="s">
        <v>3467</v>
      </c>
      <c r="K73" t="s">
        <v>6023</v>
      </c>
      <c r="L73" t="s">
        <v>90</v>
      </c>
      <c r="M73" t="s">
        <v>3467</v>
      </c>
      <c r="N73" t="s">
        <v>3467</v>
      </c>
      <c r="O73" t="s">
        <v>6026</v>
      </c>
    </row>
    <row r="74" spans="1:15" x14ac:dyDescent="0.25">
      <c r="A74" t="s">
        <v>6027</v>
      </c>
      <c r="B74" t="s">
        <v>3518</v>
      </c>
      <c r="C74" t="s">
        <v>5756</v>
      </c>
      <c r="D74">
        <v>1</v>
      </c>
      <c r="E74" s="8" t="s">
        <v>6615</v>
      </c>
      <c r="F74" t="s">
        <v>6616</v>
      </c>
      <c r="G74" s="8" t="s">
        <v>6617</v>
      </c>
      <c r="H74" t="s">
        <v>6618</v>
      </c>
      <c r="I74" t="s">
        <v>3467</v>
      </c>
      <c r="J74" t="s">
        <v>6434</v>
      </c>
      <c r="K74" t="s">
        <v>6027</v>
      </c>
      <c r="L74" t="s">
        <v>90</v>
      </c>
      <c r="M74" t="s">
        <v>5530</v>
      </c>
      <c r="N74" t="s">
        <v>3467</v>
      </c>
      <c r="O74" t="s">
        <v>6030</v>
      </c>
    </row>
    <row r="75" spans="1:15" x14ac:dyDescent="0.25">
      <c r="A75" t="s">
        <v>5240</v>
      </c>
      <c r="B75" t="s">
        <v>3530</v>
      </c>
      <c r="C75" t="s">
        <v>4631</v>
      </c>
      <c r="D75">
        <v>1</v>
      </c>
      <c r="E75" s="8" t="s">
        <v>6619</v>
      </c>
      <c r="F75" t="s">
        <v>6620</v>
      </c>
      <c r="G75" s="8" t="s">
        <v>6621</v>
      </c>
      <c r="H75" t="s">
        <v>6622</v>
      </c>
      <c r="I75">
        <v>1</v>
      </c>
      <c r="J75" t="s">
        <v>3467</v>
      </c>
      <c r="K75" t="s">
        <v>5242</v>
      </c>
      <c r="L75" t="s">
        <v>90</v>
      </c>
      <c r="M75" t="s">
        <v>3467</v>
      </c>
      <c r="N75" t="s">
        <v>3467</v>
      </c>
      <c r="O75" t="s">
        <v>6033</v>
      </c>
    </row>
    <row r="76" spans="1:15" x14ac:dyDescent="0.25">
      <c r="A76" t="s">
        <v>6034</v>
      </c>
      <c r="B76" t="s">
        <v>3518</v>
      </c>
      <c r="C76" t="s">
        <v>5756</v>
      </c>
      <c r="D76">
        <v>2</v>
      </c>
      <c r="E76" s="8" t="s">
        <v>6623</v>
      </c>
      <c r="F76" t="s">
        <v>6624</v>
      </c>
      <c r="G76" s="8" t="s">
        <v>6625</v>
      </c>
      <c r="H76" t="s">
        <v>6626</v>
      </c>
      <c r="I76">
        <v>2</v>
      </c>
      <c r="J76" t="s">
        <v>6451</v>
      </c>
      <c r="K76" t="s">
        <v>6037</v>
      </c>
      <c r="L76" t="s">
        <v>90</v>
      </c>
      <c r="M76" t="s">
        <v>5530</v>
      </c>
      <c r="N76" t="s">
        <v>4295</v>
      </c>
      <c r="O76" t="s">
        <v>6038</v>
      </c>
    </row>
    <row r="77" spans="1:15" x14ac:dyDescent="0.25">
      <c r="A77" t="s">
        <v>6041</v>
      </c>
      <c r="B77" t="s">
        <v>3530</v>
      </c>
      <c r="C77" t="s">
        <v>5756</v>
      </c>
      <c r="D77">
        <v>1</v>
      </c>
      <c r="E77" s="8" t="s">
        <v>6627</v>
      </c>
      <c r="F77" t="s">
        <v>6628</v>
      </c>
      <c r="G77" s="8" t="s">
        <v>6629</v>
      </c>
      <c r="H77" t="s">
        <v>6630</v>
      </c>
      <c r="I77" t="s">
        <v>3467</v>
      </c>
      <c r="J77" t="s">
        <v>6426</v>
      </c>
      <c r="K77" t="s">
        <v>6041</v>
      </c>
      <c r="L77" t="s">
        <v>90</v>
      </c>
      <c r="M77" t="s">
        <v>3467</v>
      </c>
      <c r="N77" t="s">
        <v>3467</v>
      </c>
      <c r="O77" t="s">
        <v>6631</v>
      </c>
    </row>
    <row r="78" spans="1:15" x14ac:dyDescent="0.25">
      <c r="A78" t="s">
        <v>5243</v>
      </c>
      <c r="B78" t="s">
        <v>3530</v>
      </c>
      <c r="C78" t="s">
        <v>4631</v>
      </c>
      <c r="D78">
        <v>1</v>
      </c>
      <c r="E78" s="8" t="s">
        <v>6632</v>
      </c>
      <c r="F78" t="s">
        <v>6633</v>
      </c>
      <c r="G78" s="8" t="s">
        <v>6634</v>
      </c>
      <c r="H78" t="s">
        <v>6635</v>
      </c>
      <c r="I78">
        <v>1</v>
      </c>
      <c r="J78" t="s">
        <v>3467</v>
      </c>
      <c r="K78" t="s">
        <v>5245</v>
      </c>
      <c r="L78" t="s">
        <v>90</v>
      </c>
      <c r="M78" t="s">
        <v>3467</v>
      </c>
      <c r="N78" t="s">
        <v>3467</v>
      </c>
      <c r="O78" t="s">
        <v>6046</v>
      </c>
    </row>
    <row r="79" spans="1:15" x14ac:dyDescent="0.25">
      <c r="A79" t="s">
        <v>5246</v>
      </c>
      <c r="B79" t="s">
        <v>3530</v>
      </c>
      <c r="C79" t="s">
        <v>5394</v>
      </c>
      <c r="D79">
        <v>2</v>
      </c>
      <c r="E79" s="8" t="s">
        <v>6636</v>
      </c>
      <c r="F79" t="s">
        <v>6637</v>
      </c>
      <c r="G79" s="8" t="s">
        <v>6638</v>
      </c>
      <c r="H79" t="s">
        <v>6639</v>
      </c>
      <c r="I79">
        <v>2</v>
      </c>
      <c r="J79" t="s">
        <v>3467</v>
      </c>
      <c r="K79" t="s">
        <v>5248</v>
      </c>
      <c r="L79" t="s">
        <v>90</v>
      </c>
      <c r="M79" t="s">
        <v>3467</v>
      </c>
      <c r="N79" t="s">
        <v>4295</v>
      </c>
      <c r="O79" t="s">
        <v>5773</v>
      </c>
    </row>
    <row r="80" spans="1:15" x14ac:dyDescent="0.25">
      <c r="A80" t="s">
        <v>6049</v>
      </c>
      <c r="B80" t="s">
        <v>3530</v>
      </c>
      <c r="C80" t="s">
        <v>5756</v>
      </c>
      <c r="D80">
        <v>1</v>
      </c>
      <c r="E80" s="8" t="s">
        <v>6640</v>
      </c>
      <c r="F80" t="s">
        <v>6641</v>
      </c>
      <c r="G80" s="8" t="s">
        <v>6642</v>
      </c>
      <c r="H80" t="s">
        <v>6643</v>
      </c>
      <c r="I80">
        <v>1</v>
      </c>
      <c r="J80" t="s">
        <v>6451</v>
      </c>
      <c r="K80" t="s">
        <v>6049</v>
      </c>
      <c r="L80" t="s">
        <v>90</v>
      </c>
      <c r="M80" t="s">
        <v>3467</v>
      </c>
      <c r="N80" t="s">
        <v>3467</v>
      </c>
      <c r="O80" t="s">
        <v>6631</v>
      </c>
    </row>
    <row r="81" spans="1:15" x14ac:dyDescent="0.25">
      <c r="A81" t="s">
        <v>6052</v>
      </c>
      <c r="B81" t="s">
        <v>41</v>
      </c>
      <c r="C81" t="s">
        <v>5394</v>
      </c>
      <c r="D81">
        <v>0</v>
      </c>
      <c r="E81" s="8" t="s">
        <v>6644</v>
      </c>
      <c r="F81" t="s">
        <v>6645</v>
      </c>
      <c r="G81" s="8" t="s">
        <v>6646</v>
      </c>
      <c r="H81" t="s">
        <v>6647</v>
      </c>
      <c r="I81" t="s">
        <v>3467</v>
      </c>
      <c r="J81" t="s">
        <v>3467</v>
      </c>
      <c r="K81" t="s">
        <v>6052</v>
      </c>
      <c r="L81" t="s">
        <v>90</v>
      </c>
      <c r="M81" t="s">
        <v>3467</v>
      </c>
      <c r="N81" t="s">
        <v>3467</v>
      </c>
      <c r="O81" t="s">
        <v>6093</v>
      </c>
    </row>
    <row r="82" spans="1:15" x14ac:dyDescent="0.25">
      <c r="A82" t="s">
        <v>6055</v>
      </c>
      <c r="B82" t="s">
        <v>41</v>
      </c>
      <c r="C82" t="s">
        <v>5756</v>
      </c>
      <c r="D82">
        <v>1</v>
      </c>
      <c r="E82" s="8" t="s">
        <v>6648</v>
      </c>
      <c r="F82" t="s">
        <v>6649</v>
      </c>
      <c r="G82" s="8" t="s">
        <v>6650</v>
      </c>
      <c r="H82" t="s">
        <v>6651</v>
      </c>
      <c r="I82" t="s">
        <v>3467</v>
      </c>
      <c r="J82" t="s">
        <v>6426</v>
      </c>
      <c r="K82" t="s">
        <v>6058</v>
      </c>
      <c r="L82" t="s">
        <v>90</v>
      </c>
      <c r="M82" t="s">
        <v>3467</v>
      </c>
      <c r="N82" t="s">
        <v>3467</v>
      </c>
      <c r="O82" t="s">
        <v>6059</v>
      </c>
    </row>
    <row r="83" spans="1:15" x14ac:dyDescent="0.25">
      <c r="A83" t="s">
        <v>6063</v>
      </c>
      <c r="B83" t="s">
        <v>3530</v>
      </c>
      <c r="C83" t="s">
        <v>5394</v>
      </c>
      <c r="D83">
        <v>1</v>
      </c>
      <c r="E83" s="8" t="s">
        <v>6652</v>
      </c>
      <c r="F83" t="s">
        <v>6485</v>
      </c>
      <c r="G83" s="8" t="s">
        <v>6653</v>
      </c>
      <c r="H83" t="s">
        <v>6486</v>
      </c>
      <c r="I83" t="s">
        <v>3467</v>
      </c>
      <c r="J83" t="s">
        <v>3467</v>
      </c>
      <c r="K83" t="s">
        <v>6066</v>
      </c>
      <c r="L83" t="s">
        <v>90</v>
      </c>
      <c r="M83" t="s">
        <v>5456</v>
      </c>
      <c r="N83" t="s">
        <v>3467</v>
      </c>
      <c r="O83" t="s">
        <v>5773</v>
      </c>
    </row>
    <row r="84" spans="1:15" x14ac:dyDescent="0.25">
      <c r="A84" t="s">
        <v>6068</v>
      </c>
      <c r="B84" t="s">
        <v>3518</v>
      </c>
      <c r="C84" t="s">
        <v>5756</v>
      </c>
      <c r="D84">
        <v>1</v>
      </c>
      <c r="E84" s="8" t="s">
        <v>6654</v>
      </c>
      <c r="F84" t="s">
        <v>6655</v>
      </c>
      <c r="G84" s="8" t="s">
        <v>6656</v>
      </c>
      <c r="H84" t="s">
        <v>6657</v>
      </c>
      <c r="I84" t="s">
        <v>3467</v>
      </c>
      <c r="J84" t="s">
        <v>6451</v>
      </c>
      <c r="K84" t="s">
        <v>6071</v>
      </c>
      <c r="L84" t="s">
        <v>90</v>
      </c>
      <c r="M84" t="s">
        <v>3467</v>
      </c>
      <c r="N84" t="s">
        <v>3467</v>
      </c>
      <c r="O84" t="s">
        <v>5811</v>
      </c>
    </row>
    <row r="85" spans="1:15" x14ac:dyDescent="0.25">
      <c r="A85" t="s">
        <v>6072</v>
      </c>
      <c r="B85" t="s">
        <v>41</v>
      </c>
      <c r="C85" t="s">
        <v>5756</v>
      </c>
      <c r="D85">
        <v>0</v>
      </c>
      <c r="E85" s="8" t="s">
        <v>6658</v>
      </c>
      <c r="F85" t="s">
        <v>6659</v>
      </c>
      <c r="G85" s="8" t="s">
        <v>6660</v>
      </c>
      <c r="H85" t="s">
        <v>6661</v>
      </c>
      <c r="I85">
        <v>0</v>
      </c>
      <c r="J85" t="s">
        <v>6518</v>
      </c>
      <c r="K85" t="s">
        <v>6075</v>
      </c>
      <c r="L85" t="s">
        <v>90</v>
      </c>
      <c r="M85" t="s">
        <v>3467</v>
      </c>
      <c r="N85" t="s">
        <v>3467</v>
      </c>
      <c r="O85" t="s">
        <v>5802</v>
      </c>
    </row>
    <row r="86" spans="1:15" x14ac:dyDescent="0.25">
      <c r="A86" t="s">
        <v>6076</v>
      </c>
      <c r="B86" t="s">
        <v>3518</v>
      </c>
      <c r="C86" t="s">
        <v>5756</v>
      </c>
      <c r="D86">
        <v>0</v>
      </c>
      <c r="E86" s="8" t="s">
        <v>6662</v>
      </c>
      <c r="F86" t="s">
        <v>6663</v>
      </c>
      <c r="G86" s="8" t="s">
        <v>6664</v>
      </c>
      <c r="H86" t="s">
        <v>6665</v>
      </c>
      <c r="I86">
        <v>0</v>
      </c>
      <c r="J86" t="s">
        <v>6666</v>
      </c>
      <c r="K86" t="s">
        <v>6079</v>
      </c>
      <c r="L86" t="s">
        <v>90</v>
      </c>
      <c r="M86" t="s">
        <v>3467</v>
      </c>
      <c r="N86" t="s">
        <v>3467</v>
      </c>
      <c r="O86" t="s">
        <v>5930</v>
      </c>
    </row>
    <row r="87" spans="1:15" x14ac:dyDescent="0.25">
      <c r="A87" t="s">
        <v>5150</v>
      </c>
      <c r="B87" t="s">
        <v>4331</v>
      </c>
      <c r="C87" t="s">
        <v>4279</v>
      </c>
      <c r="D87" t="s">
        <v>4031</v>
      </c>
      <c r="E87" t="s">
        <v>6667</v>
      </c>
      <c r="F87" t="s">
        <v>4249</v>
      </c>
      <c r="G87" t="s">
        <v>3467</v>
      </c>
      <c r="H87" t="s">
        <v>3467</v>
      </c>
      <c r="I87" t="s">
        <v>3467</v>
      </c>
      <c r="J87" t="s">
        <v>3467</v>
      </c>
      <c r="K87" t="s">
        <v>5150</v>
      </c>
      <c r="L87" t="s">
        <v>38</v>
      </c>
      <c r="M87" t="s">
        <v>6668</v>
      </c>
      <c r="N87" t="s">
        <v>3467</v>
      </c>
    </row>
    <row r="88" spans="1:15" x14ac:dyDescent="0.25">
      <c r="A88" t="s">
        <v>5166</v>
      </c>
      <c r="B88" t="s">
        <v>4331</v>
      </c>
      <c r="C88" t="s">
        <v>4279</v>
      </c>
      <c r="D88" t="s">
        <v>4031</v>
      </c>
      <c r="E88" t="s">
        <v>6669</v>
      </c>
      <c r="F88" t="s">
        <v>6670</v>
      </c>
      <c r="G88" t="s">
        <v>3467</v>
      </c>
      <c r="H88" t="s">
        <v>3467</v>
      </c>
      <c r="I88" t="s">
        <v>3467</v>
      </c>
      <c r="J88" t="s">
        <v>3467</v>
      </c>
      <c r="K88" t="s">
        <v>5166</v>
      </c>
      <c r="L88" t="s">
        <v>38</v>
      </c>
      <c r="M88" t="s">
        <v>5497</v>
      </c>
      <c r="N88" t="s">
        <v>3467</v>
      </c>
      <c r="O88" t="s">
        <v>5904</v>
      </c>
    </row>
    <row r="89" spans="1:15" x14ac:dyDescent="0.25">
      <c r="A89" t="s">
        <v>6081</v>
      </c>
      <c r="B89" t="s">
        <v>41</v>
      </c>
      <c r="C89" t="s">
        <v>5394</v>
      </c>
      <c r="D89">
        <v>1</v>
      </c>
      <c r="E89" s="8" t="s">
        <v>6082</v>
      </c>
      <c r="F89" t="s">
        <v>6671</v>
      </c>
      <c r="G89" s="8" t="s">
        <v>6082</v>
      </c>
      <c r="H89" t="s">
        <v>6671</v>
      </c>
      <c r="I89">
        <v>0</v>
      </c>
      <c r="J89" t="s">
        <v>3467</v>
      </c>
      <c r="K89" t="s">
        <v>6081</v>
      </c>
      <c r="L89" t="s">
        <v>90</v>
      </c>
      <c r="M89" t="s">
        <v>3467</v>
      </c>
      <c r="N89" t="s">
        <v>3467</v>
      </c>
      <c r="O89" t="s">
        <v>6038</v>
      </c>
    </row>
    <row r="90" spans="1:15" x14ac:dyDescent="0.25">
      <c r="A90" t="s">
        <v>6083</v>
      </c>
      <c r="B90" t="s">
        <v>41</v>
      </c>
      <c r="C90" t="s">
        <v>5756</v>
      </c>
      <c r="D90">
        <v>1</v>
      </c>
      <c r="E90" s="8" t="s">
        <v>6084</v>
      </c>
      <c r="F90" t="s">
        <v>6672</v>
      </c>
      <c r="G90" s="8" t="s">
        <v>6085</v>
      </c>
      <c r="H90" t="s">
        <v>6673</v>
      </c>
      <c r="I90">
        <v>1</v>
      </c>
      <c r="J90" t="s">
        <v>6434</v>
      </c>
      <c r="K90" t="s">
        <v>6083</v>
      </c>
      <c r="L90" t="s">
        <v>90</v>
      </c>
      <c r="M90" t="s">
        <v>3467</v>
      </c>
      <c r="N90" t="s">
        <v>3467</v>
      </c>
      <c r="O90" t="s">
        <v>5769</v>
      </c>
    </row>
    <row r="91" spans="1:15" x14ac:dyDescent="0.25">
      <c r="A91" t="s">
        <v>6089</v>
      </c>
      <c r="B91" t="s">
        <v>41</v>
      </c>
      <c r="C91" t="s">
        <v>5756</v>
      </c>
      <c r="D91">
        <v>2</v>
      </c>
      <c r="E91" t="s">
        <v>6090</v>
      </c>
      <c r="F91" t="s">
        <v>6674</v>
      </c>
      <c r="G91" t="s">
        <v>6091</v>
      </c>
      <c r="H91" t="s">
        <v>6675</v>
      </c>
      <c r="I91">
        <v>2</v>
      </c>
      <c r="J91" t="s">
        <v>6457</v>
      </c>
      <c r="K91" t="s">
        <v>6092</v>
      </c>
      <c r="L91" t="s">
        <v>90</v>
      </c>
      <c r="M91" t="s">
        <v>3467</v>
      </c>
      <c r="N91" t="s">
        <v>3467</v>
      </c>
      <c r="O91" t="s">
        <v>6093</v>
      </c>
    </row>
    <row r="92" spans="1:15" x14ac:dyDescent="0.25">
      <c r="A92" t="s">
        <v>6094</v>
      </c>
      <c r="B92" t="s">
        <v>3530</v>
      </c>
      <c r="C92" t="s">
        <v>5756</v>
      </c>
      <c r="D92">
        <v>1</v>
      </c>
      <c r="E92" s="8" t="s">
        <v>6676</v>
      </c>
      <c r="F92" t="s">
        <v>6677</v>
      </c>
      <c r="G92" s="8" t="s">
        <v>6678</v>
      </c>
      <c r="H92" t="s">
        <v>6679</v>
      </c>
      <c r="I92">
        <v>1</v>
      </c>
      <c r="J92" t="s">
        <v>6434</v>
      </c>
      <c r="K92" t="s">
        <v>6097</v>
      </c>
      <c r="L92" t="s">
        <v>90</v>
      </c>
      <c r="M92" t="s">
        <v>3467</v>
      </c>
      <c r="N92" t="s">
        <v>3467</v>
      </c>
      <c r="O92" t="s">
        <v>6680</v>
      </c>
    </row>
    <row r="93" spans="1:15" x14ac:dyDescent="0.25">
      <c r="A93" t="s">
        <v>6098</v>
      </c>
      <c r="B93" t="s">
        <v>3530</v>
      </c>
      <c r="C93" t="s">
        <v>5756</v>
      </c>
      <c r="D93">
        <v>1</v>
      </c>
      <c r="E93" s="8" t="s">
        <v>6099</v>
      </c>
      <c r="F93" t="s">
        <v>6681</v>
      </c>
      <c r="G93" s="8" t="s">
        <v>6100</v>
      </c>
      <c r="H93" t="s">
        <v>6682</v>
      </c>
      <c r="I93">
        <v>1</v>
      </c>
      <c r="J93" t="s">
        <v>6451</v>
      </c>
      <c r="K93" t="s">
        <v>6098</v>
      </c>
      <c r="L93" t="s">
        <v>90</v>
      </c>
      <c r="M93" t="s">
        <v>3467</v>
      </c>
      <c r="N93" t="s">
        <v>5417</v>
      </c>
      <c r="O93" t="s">
        <v>6683</v>
      </c>
    </row>
    <row r="94" spans="1:15" x14ac:dyDescent="0.25">
      <c r="A94" t="s">
        <v>6101</v>
      </c>
      <c r="B94" t="s">
        <v>41</v>
      </c>
      <c r="C94" t="s">
        <v>5394</v>
      </c>
      <c r="D94">
        <v>1</v>
      </c>
      <c r="E94" s="8" t="s">
        <v>6684</v>
      </c>
      <c r="F94" t="s">
        <v>6685</v>
      </c>
      <c r="G94" s="8" t="s">
        <v>6686</v>
      </c>
      <c r="H94" t="s">
        <v>6687</v>
      </c>
      <c r="I94">
        <v>1</v>
      </c>
      <c r="J94" t="s">
        <v>3467</v>
      </c>
      <c r="K94" t="s">
        <v>6101</v>
      </c>
      <c r="L94" t="s">
        <v>90</v>
      </c>
      <c r="M94" t="s">
        <v>3467</v>
      </c>
      <c r="N94" t="s">
        <v>3467</v>
      </c>
      <c r="O94" t="s">
        <v>6104</v>
      </c>
    </row>
    <row r="95" spans="1:15" x14ac:dyDescent="0.25">
      <c r="A95" t="s">
        <v>6105</v>
      </c>
      <c r="B95" t="s">
        <v>3518</v>
      </c>
      <c r="C95" t="s">
        <v>5756</v>
      </c>
      <c r="D95">
        <v>2</v>
      </c>
      <c r="E95" s="8" t="s">
        <v>6106</v>
      </c>
      <c r="F95" t="s">
        <v>6688</v>
      </c>
      <c r="G95" s="8" t="s">
        <v>6107</v>
      </c>
      <c r="H95" t="s">
        <v>6689</v>
      </c>
      <c r="I95">
        <v>2</v>
      </c>
      <c r="J95" t="s">
        <v>6690</v>
      </c>
      <c r="K95" t="s">
        <v>6105</v>
      </c>
      <c r="L95" t="s">
        <v>90</v>
      </c>
      <c r="M95" t="s">
        <v>3467</v>
      </c>
      <c r="N95" t="s">
        <v>4295</v>
      </c>
      <c r="O95" t="s">
        <v>5893</v>
      </c>
    </row>
    <row r="96" spans="1:15" x14ac:dyDescent="0.25">
      <c r="A96" t="s">
        <v>6108</v>
      </c>
      <c r="B96" t="s">
        <v>3518</v>
      </c>
      <c r="C96" t="s">
        <v>5394</v>
      </c>
      <c r="D96">
        <v>2</v>
      </c>
      <c r="E96" s="8" t="s">
        <v>6109</v>
      </c>
      <c r="F96" t="s">
        <v>6691</v>
      </c>
      <c r="G96" s="8" t="s">
        <v>6110</v>
      </c>
      <c r="H96" t="s">
        <v>6692</v>
      </c>
      <c r="I96">
        <v>2</v>
      </c>
      <c r="J96" t="s">
        <v>3467</v>
      </c>
      <c r="K96" t="s">
        <v>6108</v>
      </c>
      <c r="L96" t="s">
        <v>90</v>
      </c>
      <c r="M96" t="s">
        <v>5530</v>
      </c>
      <c r="N96" t="s">
        <v>3467</v>
      </c>
      <c r="O96" t="s">
        <v>6033</v>
      </c>
    </row>
    <row r="97" spans="1:15" x14ac:dyDescent="0.25">
      <c r="A97" t="s">
        <v>6111</v>
      </c>
      <c r="B97" t="s">
        <v>3530</v>
      </c>
      <c r="C97" t="s">
        <v>5394</v>
      </c>
      <c r="D97">
        <v>1</v>
      </c>
      <c r="E97" s="8" t="s">
        <v>6112</v>
      </c>
      <c r="F97" t="s">
        <v>6693</v>
      </c>
      <c r="G97" s="8" t="s">
        <v>6112</v>
      </c>
      <c r="H97" t="s">
        <v>6693</v>
      </c>
      <c r="I97">
        <v>0</v>
      </c>
      <c r="J97" t="s">
        <v>3467</v>
      </c>
      <c r="K97" t="s">
        <v>6113</v>
      </c>
      <c r="L97" t="s">
        <v>90</v>
      </c>
      <c r="M97" t="s">
        <v>5530</v>
      </c>
      <c r="N97" t="s">
        <v>3467</v>
      </c>
      <c r="O97" t="s">
        <v>6114</v>
      </c>
    </row>
    <row r="98" spans="1:15" x14ac:dyDescent="0.25">
      <c r="A98" t="s">
        <v>6119</v>
      </c>
      <c r="B98" t="s">
        <v>3530</v>
      </c>
      <c r="C98" t="s">
        <v>4631</v>
      </c>
      <c r="D98">
        <v>1</v>
      </c>
      <c r="E98" t="s">
        <v>6120</v>
      </c>
      <c r="F98" t="s">
        <v>6694</v>
      </c>
      <c r="G98" t="s">
        <v>6121</v>
      </c>
      <c r="H98" t="s">
        <v>6695</v>
      </c>
      <c r="I98">
        <v>1</v>
      </c>
      <c r="J98" t="s">
        <v>3467</v>
      </c>
      <c r="K98" t="s">
        <v>6119</v>
      </c>
      <c r="L98" t="s">
        <v>90</v>
      </c>
      <c r="M98" t="s">
        <v>3467</v>
      </c>
      <c r="N98" t="s">
        <v>3467</v>
      </c>
      <c r="O98" t="s">
        <v>5961</v>
      </c>
    </row>
    <row r="99" spans="1:15" x14ac:dyDescent="0.25">
      <c r="A99" t="s">
        <v>4287</v>
      </c>
      <c r="B99" t="s">
        <v>4331</v>
      </c>
      <c r="C99" t="s">
        <v>4279</v>
      </c>
      <c r="D99" t="s">
        <v>4031</v>
      </c>
      <c r="E99" t="s">
        <v>6122</v>
      </c>
      <c r="F99" t="s">
        <v>4249</v>
      </c>
      <c r="G99" t="s">
        <v>3467</v>
      </c>
      <c r="H99" t="s">
        <v>3467</v>
      </c>
      <c r="I99" t="s">
        <v>3467</v>
      </c>
      <c r="J99" t="s">
        <v>3467</v>
      </c>
      <c r="K99" t="s">
        <v>4287</v>
      </c>
      <c r="L99" t="s">
        <v>90</v>
      </c>
      <c r="M99" t="s">
        <v>5497</v>
      </c>
      <c r="N99" t="s">
        <v>3467</v>
      </c>
      <c r="O99" t="s">
        <v>5904</v>
      </c>
    </row>
    <row r="100" spans="1:15" x14ac:dyDescent="0.25">
      <c r="A100" t="s">
        <v>6123</v>
      </c>
      <c r="B100" t="s">
        <v>3530</v>
      </c>
      <c r="C100" t="s">
        <v>5394</v>
      </c>
      <c r="D100">
        <v>0</v>
      </c>
      <c r="E100" s="8" t="s">
        <v>6124</v>
      </c>
      <c r="F100" t="s">
        <v>6696</v>
      </c>
      <c r="G100" s="8" t="s">
        <v>6125</v>
      </c>
      <c r="H100" t="s">
        <v>6697</v>
      </c>
      <c r="I100">
        <v>0</v>
      </c>
      <c r="J100" t="s">
        <v>3467</v>
      </c>
      <c r="K100" t="s">
        <v>6123</v>
      </c>
      <c r="L100" t="s">
        <v>90</v>
      </c>
      <c r="M100" t="s">
        <v>5530</v>
      </c>
      <c r="N100" t="s">
        <v>3467</v>
      </c>
      <c r="O100" t="s">
        <v>5971</v>
      </c>
    </row>
    <row r="101" spans="1:15" x14ac:dyDescent="0.25">
      <c r="A101" t="s">
        <v>6126</v>
      </c>
      <c r="B101" t="s">
        <v>41</v>
      </c>
      <c r="C101" t="s">
        <v>5756</v>
      </c>
      <c r="D101">
        <v>1</v>
      </c>
      <c r="E101" t="s">
        <v>6127</v>
      </c>
      <c r="F101" t="s">
        <v>6698</v>
      </c>
      <c r="G101" t="s">
        <v>6128</v>
      </c>
      <c r="H101" t="s">
        <v>6699</v>
      </c>
      <c r="I101">
        <v>1</v>
      </c>
      <c r="J101" t="s">
        <v>6700</v>
      </c>
      <c r="K101" t="s">
        <v>6129</v>
      </c>
      <c r="L101" t="s">
        <v>90</v>
      </c>
      <c r="M101" t="s">
        <v>3467</v>
      </c>
      <c r="N101" t="s">
        <v>3467</v>
      </c>
      <c r="O101" t="s">
        <v>6130</v>
      </c>
    </row>
    <row r="102" spans="1:15" x14ac:dyDescent="0.25">
      <c r="A102" t="s">
        <v>6141</v>
      </c>
      <c r="B102" t="s">
        <v>41</v>
      </c>
      <c r="C102" t="s">
        <v>5394</v>
      </c>
      <c r="D102">
        <v>1</v>
      </c>
      <c r="E102" t="s">
        <v>6142</v>
      </c>
      <c r="F102" t="s">
        <v>6701</v>
      </c>
      <c r="G102" t="s">
        <v>6143</v>
      </c>
      <c r="H102" t="s">
        <v>6702</v>
      </c>
      <c r="I102">
        <v>1</v>
      </c>
      <c r="J102" t="s">
        <v>3467</v>
      </c>
      <c r="K102" t="s">
        <v>6141</v>
      </c>
      <c r="L102" t="s">
        <v>90</v>
      </c>
      <c r="M102" t="s">
        <v>3467</v>
      </c>
      <c r="N102" t="s">
        <v>3467</v>
      </c>
      <c r="O102" t="s">
        <v>5853</v>
      </c>
    </row>
    <row r="103" spans="1:15" x14ac:dyDescent="0.25">
      <c r="A103" t="s">
        <v>6144</v>
      </c>
      <c r="B103" t="s">
        <v>3530</v>
      </c>
      <c r="C103" t="s">
        <v>5394</v>
      </c>
      <c r="D103">
        <v>2</v>
      </c>
      <c r="E103" s="8" t="s">
        <v>6703</v>
      </c>
      <c r="F103" t="s">
        <v>6704</v>
      </c>
      <c r="G103" s="8" t="s">
        <v>6705</v>
      </c>
      <c r="H103" t="s">
        <v>6706</v>
      </c>
      <c r="I103">
        <v>2</v>
      </c>
      <c r="J103" t="s">
        <v>3467</v>
      </c>
      <c r="K103" t="s">
        <v>6147</v>
      </c>
      <c r="L103" t="s">
        <v>90</v>
      </c>
      <c r="M103" t="s">
        <v>3467</v>
      </c>
      <c r="N103" t="s">
        <v>3467</v>
      </c>
      <c r="O103" t="s">
        <v>6148</v>
      </c>
    </row>
    <row r="104" spans="1:15" x14ac:dyDescent="0.25">
      <c r="A104" t="s">
        <v>4727</v>
      </c>
      <c r="B104" t="s">
        <v>41</v>
      </c>
      <c r="C104" t="s">
        <v>5756</v>
      </c>
      <c r="D104">
        <v>2</v>
      </c>
      <c r="E104" t="s">
        <v>6707</v>
      </c>
      <c r="F104" t="s">
        <v>6708</v>
      </c>
      <c r="G104" t="s">
        <v>6707</v>
      </c>
      <c r="H104" t="s">
        <v>6708</v>
      </c>
      <c r="I104">
        <v>2</v>
      </c>
      <c r="J104" t="s">
        <v>6709</v>
      </c>
      <c r="K104" t="s">
        <v>4730</v>
      </c>
      <c r="L104" t="s">
        <v>1047</v>
      </c>
      <c r="M104" t="s">
        <v>3467</v>
      </c>
      <c r="N104" t="s">
        <v>4295</v>
      </c>
      <c r="O104" t="s">
        <v>5789</v>
      </c>
    </row>
    <row r="105" spans="1:15" x14ac:dyDescent="0.25">
      <c r="A105" t="s">
        <v>6150</v>
      </c>
      <c r="B105" t="s">
        <v>3518</v>
      </c>
      <c r="C105" t="s">
        <v>5394</v>
      </c>
      <c r="D105">
        <v>1</v>
      </c>
      <c r="E105" s="8" t="s">
        <v>6151</v>
      </c>
      <c r="F105" t="s">
        <v>6710</v>
      </c>
      <c r="G105" s="8" t="s">
        <v>6152</v>
      </c>
      <c r="H105" t="s">
        <v>6711</v>
      </c>
      <c r="I105">
        <v>1</v>
      </c>
      <c r="J105" t="s">
        <v>3467</v>
      </c>
      <c r="K105" t="s">
        <v>6153</v>
      </c>
      <c r="L105" t="s">
        <v>90</v>
      </c>
      <c r="M105" t="s">
        <v>3467</v>
      </c>
      <c r="N105" t="s">
        <v>3467</v>
      </c>
      <c r="O105" t="s">
        <v>5961</v>
      </c>
    </row>
    <row r="106" spans="1:15" x14ac:dyDescent="0.25">
      <c r="A106" t="s">
        <v>4736</v>
      </c>
      <c r="B106" t="s">
        <v>41</v>
      </c>
      <c r="C106" t="s">
        <v>5756</v>
      </c>
      <c r="D106">
        <v>1</v>
      </c>
      <c r="E106" s="8" t="s">
        <v>6712</v>
      </c>
      <c r="F106" t="s">
        <v>6713</v>
      </c>
      <c r="G106" s="8" t="s">
        <v>6712</v>
      </c>
      <c r="H106" t="s">
        <v>6713</v>
      </c>
      <c r="I106">
        <v>1</v>
      </c>
      <c r="J106" t="s">
        <v>6451</v>
      </c>
      <c r="K106" t="s">
        <v>4739</v>
      </c>
      <c r="L106" t="s">
        <v>1047</v>
      </c>
      <c r="M106" t="s">
        <v>3467</v>
      </c>
      <c r="N106" t="s">
        <v>3467</v>
      </c>
      <c r="O106" t="s">
        <v>5789</v>
      </c>
    </row>
    <row r="107" spans="1:15" x14ac:dyDescent="0.25">
      <c r="A107" t="s">
        <v>6162</v>
      </c>
      <c r="B107" t="s">
        <v>3518</v>
      </c>
      <c r="C107" t="s">
        <v>5394</v>
      </c>
      <c r="D107" t="s">
        <v>5980</v>
      </c>
      <c r="E107" s="8" t="s">
        <v>6714</v>
      </c>
      <c r="F107" t="s">
        <v>6715</v>
      </c>
      <c r="G107" s="8" t="s">
        <v>6716</v>
      </c>
      <c r="H107" t="s">
        <v>6717</v>
      </c>
      <c r="I107" t="s">
        <v>5980</v>
      </c>
      <c r="J107" t="s">
        <v>3467</v>
      </c>
      <c r="K107" t="s">
        <v>6162</v>
      </c>
      <c r="L107" t="s">
        <v>90</v>
      </c>
      <c r="M107" t="s">
        <v>5530</v>
      </c>
      <c r="N107" t="s">
        <v>3467</v>
      </c>
      <c r="O107" t="s">
        <v>6165</v>
      </c>
    </row>
    <row r="108" spans="1:15" x14ac:dyDescent="0.25">
      <c r="A108" t="s">
        <v>6166</v>
      </c>
      <c r="B108" t="s">
        <v>3530</v>
      </c>
      <c r="C108" t="s">
        <v>5756</v>
      </c>
      <c r="D108">
        <v>0</v>
      </c>
      <c r="E108" s="8" t="s">
        <v>6167</v>
      </c>
      <c r="F108" t="s">
        <v>6718</v>
      </c>
      <c r="G108" s="8" t="s">
        <v>6168</v>
      </c>
      <c r="H108" t="s">
        <v>6719</v>
      </c>
      <c r="I108">
        <v>0</v>
      </c>
      <c r="J108" t="s">
        <v>6426</v>
      </c>
      <c r="K108" t="s">
        <v>6169</v>
      </c>
      <c r="L108" t="s">
        <v>90</v>
      </c>
      <c r="M108" t="s">
        <v>3467</v>
      </c>
      <c r="N108" t="s">
        <v>3467</v>
      </c>
      <c r="O108" t="s">
        <v>5811</v>
      </c>
    </row>
    <row r="109" spans="1:15" x14ac:dyDescent="0.25">
      <c r="A109" t="s">
        <v>5731</v>
      </c>
      <c r="B109" t="s">
        <v>3563</v>
      </c>
      <c r="C109" t="s">
        <v>5756</v>
      </c>
      <c r="D109">
        <v>0</v>
      </c>
      <c r="E109" t="s">
        <v>6179</v>
      </c>
      <c r="F109" t="s">
        <v>6720</v>
      </c>
      <c r="G109" t="s">
        <v>6180</v>
      </c>
      <c r="H109" t="s">
        <v>6721</v>
      </c>
      <c r="I109">
        <v>0</v>
      </c>
      <c r="J109" t="s">
        <v>6434</v>
      </c>
      <c r="K109" t="s">
        <v>5731</v>
      </c>
      <c r="L109" t="s">
        <v>90</v>
      </c>
      <c r="M109" t="s">
        <v>3467</v>
      </c>
      <c r="N109" t="s">
        <v>3467</v>
      </c>
      <c r="O109" t="s">
        <v>5787</v>
      </c>
    </row>
    <row r="110" spans="1:15" x14ac:dyDescent="0.25">
      <c r="A110" t="s">
        <v>6181</v>
      </c>
      <c r="B110" t="s">
        <v>3518</v>
      </c>
      <c r="C110" t="s">
        <v>5394</v>
      </c>
      <c r="D110">
        <v>3</v>
      </c>
      <c r="E110" s="8" t="s">
        <v>6722</v>
      </c>
      <c r="F110" t="s">
        <v>6723</v>
      </c>
      <c r="G110" s="8" t="s">
        <v>6722</v>
      </c>
      <c r="H110" t="s">
        <v>6723</v>
      </c>
      <c r="I110">
        <v>2</v>
      </c>
      <c r="J110" t="s">
        <v>3467</v>
      </c>
      <c r="K110" t="s">
        <v>6181</v>
      </c>
      <c r="L110" t="s">
        <v>90</v>
      </c>
      <c r="M110" t="s">
        <v>3467</v>
      </c>
      <c r="N110" t="s">
        <v>3467</v>
      </c>
      <c r="O110" t="s">
        <v>6026</v>
      </c>
    </row>
    <row r="111" spans="1:15" x14ac:dyDescent="0.25">
      <c r="A111" t="s">
        <v>6187</v>
      </c>
      <c r="B111" t="s">
        <v>3518</v>
      </c>
      <c r="C111" t="s">
        <v>5394</v>
      </c>
      <c r="D111">
        <v>0</v>
      </c>
      <c r="E111" s="8" t="s">
        <v>6188</v>
      </c>
      <c r="F111" t="s">
        <v>6724</v>
      </c>
      <c r="G111" s="8" t="s">
        <v>6189</v>
      </c>
      <c r="H111" t="s">
        <v>6725</v>
      </c>
      <c r="I111">
        <v>0</v>
      </c>
      <c r="J111" t="s">
        <v>3467</v>
      </c>
      <c r="K111" t="s">
        <v>6187</v>
      </c>
      <c r="L111" t="s">
        <v>90</v>
      </c>
      <c r="M111" t="s">
        <v>5530</v>
      </c>
      <c r="N111" t="s">
        <v>3467</v>
      </c>
      <c r="O111" t="s">
        <v>6190</v>
      </c>
    </row>
    <row r="112" spans="1:15" x14ac:dyDescent="0.25">
      <c r="A112" t="s">
        <v>6191</v>
      </c>
      <c r="B112" t="s">
        <v>41</v>
      </c>
      <c r="C112" t="s">
        <v>5394</v>
      </c>
      <c r="D112">
        <v>1</v>
      </c>
      <c r="E112" s="8" t="s">
        <v>6192</v>
      </c>
      <c r="F112" t="s">
        <v>6726</v>
      </c>
      <c r="G112" s="8" t="s">
        <v>6193</v>
      </c>
      <c r="H112" t="s">
        <v>6727</v>
      </c>
      <c r="I112">
        <v>1</v>
      </c>
      <c r="J112" t="s">
        <v>3467</v>
      </c>
      <c r="K112" t="s">
        <v>6191</v>
      </c>
      <c r="L112" t="s">
        <v>90</v>
      </c>
      <c r="M112" t="s">
        <v>3467</v>
      </c>
      <c r="N112" t="s">
        <v>3467</v>
      </c>
      <c r="O112" t="s">
        <v>5857</v>
      </c>
    </row>
    <row r="113" spans="1:15" x14ac:dyDescent="0.25">
      <c r="A113" t="s">
        <v>6194</v>
      </c>
      <c r="B113" t="s">
        <v>4331</v>
      </c>
      <c r="C113" t="s">
        <v>4279</v>
      </c>
      <c r="D113" t="s">
        <v>4031</v>
      </c>
      <c r="E113" t="s">
        <v>6195</v>
      </c>
      <c r="F113" t="s">
        <v>6728</v>
      </c>
      <c r="G113" t="s">
        <v>3467</v>
      </c>
      <c r="H113" t="s">
        <v>3467</v>
      </c>
      <c r="I113" t="s">
        <v>3467</v>
      </c>
      <c r="J113" t="s">
        <v>3467</v>
      </c>
      <c r="K113" t="s">
        <v>6194</v>
      </c>
      <c r="L113" t="s">
        <v>90</v>
      </c>
      <c r="M113" t="s">
        <v>5497</v>
      </c>
      <c r="N113" t="s">
        <v>3467</v>
      </c>
      <c r="O113" t="s">
        <v>5904</v>
      </c>
    </row>
    <row r="114" spans="1:15" x14ac:dyDescent="0.25">
      <c r="A114" t="s">
        <v>6196</v>
      </c>
      <c r="B114" t="s">
        <v>41</v>
      </c>
      <c r="C114" t="s">
        <v>5756</v>
      </c>
      <c r="D114">
        <v>2</v>
      </c>
      <c r="E114" s="8" t="s">
        <v>6197</v>
      </c>
      <c r="F114" t="s">
        <v>6729</v>
      </c>
      <c r="G114" s="8" t="s">
        <v>6198</v>
      </c>
      <c r="H114" t="s">
        <v>6730</v>
      </c>
      <c r="I114">
        <v>2</v>
      </c>
      <c r="J114" t="s">
        <v>6443</v>
      </c>
      <c r="K114" t="s">
        <v>6199</v>
      </c>
      <c r="L114" t="s">
        <v>90</v>
      </c>
      <c r="M114" t="s">
        <v>3467</v>
      </c>
      <c r="N114" t="s">
        <v>3467</v>
      </c>
      <c r="O114" t="s">
        <v>6093</v>
      </c>
    </row>
    <row r="115" spans="1:15" x14ac:dyDescent="0.25">
      <c r="A115" t="s">
        <v>6200</v>
      </c>
      <c r="B115" t="s">
        <v>3518</v>
      </c>
      <c r="C115" t="s">
        <v>5394</v>
      </c>
      <c r="D115">
        <v>1</v>
      </c>
      <c r="E115" s="8" t="s">
        <v>6201</v>
      </c>
      <c r="F115" t="s">
        <v>6731</v>
      </c>
      <c r="G115" s="8" t="s">
        <v>6201</v>
      </c>
      <c r="H115" t="s">
        <v>6731</v>
      </c>
      <c r="I115">
        <v>0</v>
      </c>
      <c r="J115" t="s">
        <v>3467</v>
      </c>
      <c r="K115" t="s">
        <v>6202</v>
      </c>
      <c r="L115" t="s">
        <v>90</v>
      </c>
      <c r="M115" t="s">
        <v>3467</v>
      </c>
      <c r="N115" t="s">
        <v>3467</v>
      </c>
      <c r="O115" t="s">
        <v>5811</v>
      </c>
    </row>
    <row r="116" spans="1:15" x14ac:dyDescent="0.25">
      <c r="A116" t="s">
        <v>6203</v>
      </c>
      <c r="B116" t="s">
        <v>41</v>
      </c>
      <c r="C116" t="s">
        <v>5394</v>
      </c>
      <c r="D116">
        <v>1</v>
      </c>
      <c r="E116" s="8" t="s">
        <v>6732</v>
      </c>
      <c r="F116" t="s">
        <v>6733</v>
      </c>
      <c r="G116" s="8" t="s">
        <v>6734</v>
      </c>
      <c r="H116" t="s">
        <v>6735</v>
      </c>
      <c r="I116">
        <v>1</v>
      </c>
      <c r="J116" t="s">
        <v>3467</v>
      </c>
      <c r="K116" t="s">
        <v>6206</v>
      </c>
      <c r="L116" t="s">
        <v>90</v>
      </c>
      <c r="M116" t="s">
        <v>5530</v>
      </c>
      <c r="N116" t="s">
        <v>3467</v>
      </c>
      <c r="O116" t="s">
        <v>6165</v>
      </c>
    </row>
    <row r="117" spans="1:15" x14ac:dyDescent="0.25">
      <c r="A117" t="s">
        <v>6207</v>
      </c>
      <c r="B117" t="s">
        <v>41</v>
      </c>
      <c r="C117" t="s">
        <v>5756</v>
      </c>
      <c r="D117">
        <v>1</v>
      </c>
      <c r="E117" s="8" t="s">
        <v>6208</v>
      </c>
      <c r="F117" t="s">
        <v>6736</v>
      </c>
      <c r="G117" s="8" t="s">
        <v>6209</v>
      </c>
      <c r="H117" t="s">
        <v>6737</v>
      </c>
      <c r="I117">
        <v>1</v>
      </c>
      <c r="J117" t="s">
        <v>6434</v>
      </c>
      <c r="K117" t="s">
        <v>6210</v>
      </c>
      <c r="L117" t="s">
        <v>90</v>
      </c>
      <c r="M117" t="s">
        <v>3467</v>
      </c>
      <c r="N117" t="s">
        <v>5288</v>
      </c>
      <c r="O117" t="s">
        <v>5787</v>
      </c>
    </row>
    <row r="118" spans="1:15" x14ac:dyDescent="0.25">
      <c r="A118" t="s">
        <v>6211</v>
      </c>
      <c r="B118" t="s">
        <v>41</v>
      </c>
      <c r="C118" t="s">
        <v>5756</v>
      </c>
      <c r="D118">
        <v>1</v>
      </c>
      <c r="E118" t="s">
        <v>6212</v>
      </c>
      <c r="F118" t="s">
        <v>6738</v>
      </c>
      <c r="G118" t="s">
        <v>6213</v>
      </c>
      <c r="H118" t="s">
        <v>6739</v>
      </c>
      <c r="I118">
        <v>1</v>
      </c>
      <c r="J118" t="s">
        <v>6443</v>
      </c>
      <c r="K118" t="s">
        <v>6214</v>
      </c>
      <c r="L118" t="s">
        <v>90</v>
      </c>
      <c r="M118" t="s">
        <v>3467</v>
      </c>
      <c r="N118" t="s">
        <v>3467</v>
      </c>
      <c r="O118" t="s">
        <v>6740</v>
      </c>
    </row>
    <row r="119" spans="1:15" x14ac:dyDescent="0.25">
      <c r="A119" t="s">
        <v>6216</v>
      </c>
      <c r="B119" t="s">
        <v>3530</v>
      </c>
      <c r="C119" t="s">
        <v>5394</v>
      </c>
      <c r="D119">
        <v>1</v>
      </c>
      <c r="E119" s="8" t="s">
        <v>6217</v>
      </c>
      <c r="F119" t="s">
        <v>6741</v>
      </c>
      <c r="G119" s="8" t="s">
        <v>6218</v>
      </c>
      <c r="H119" t="s">
        <v>6742</v>
      </c>
      <c r="I119">
        <v>1</v>
      </c>
      <c r="J119" t="s">
        <v>3467</v>
      </c>
      <c r="K119" t="s">
        <v>6219</v>
      </c>
      <c r="L119" t="s">
        <v>90</v>
      </c>
      <c r="M119" t="s">
        <v>3467</v>
      </c>
      <c r="N119" t="s">
        <v>3467</v>
      </c>
      <c r="O119" t="s">
        <v>6220</v>
      </c>
    </row>
    <row r="120" spans="1:15" x14ac:dyDescent="0.25">
      <c r="A120" t="s">
        <v>6221</v>
      </c>
      <c r="B120" t="s">
        <v>41</v>
      </c>
      <c r="C120" t="s">
        <v>5756</v>
      </c>
      <c r="D120">
        <v>2</v>
      </c>
      <c r="E120" s="8" t="s">
        <v>6743</v>
      </c>
      <c r="F120" t="s">
        <v>6744</v>
      </c>
      <c r="G120" s="8" t="s">
        <v>6745</v>
      </c>
      <c r="H120" t="s">
        <v>6746</v>
      </c>
      <c r="I120" t="s">
        <v>3467</v>
      </c>
      <c r="J120" t="s">
        <v>6426</v>
      </c>
      <c r="K120" t="s">
        <v>6221</v>
      </c>
      <c r="L120" t="s">
        <v>90</v>
      </c>
      <c r="M120" t="s">
        <v>3467</v>
      </c>
      <c r="N120" t="s">
        <v>3467</v>
      </c>
      <c r="O120" t="s">
        <v>6239</v>
      </c>
    </row>
    <row r="121" spans="1:15" x14ac:dyDescent="0.25">
      <c r="A121" t="s">
        <v>6224</v>
      </c>
      <c r="B121" t="s">
        <v>41</v>
      </c>
      <c r="C121" t="s">
        <v>5394</v>
      </c>
      <c r="D121">
        <v>0</v>
      </c>
      <c r="E121" s="8" t="s">
        <v>6225</v>
      </c>
      <c r="F121" t="s">
        <v>6747</v>
      </c>
      <c r="G121" s="8" t="s">
        <v>6226</v>
      </c>
      <c r="H121" t="s">
        <v>6748</v>
      </c>
      <c r="I121" t="s">
        <v>3467</v>
      </c>
      <c r="J121" t="s">
        <v>3467</v>
      </c>
      <c r="K121" t="s">
        <v>6224</v>
      </c>
      <c r="L121" t="s">
        <v>90</v>
      </c>
      <c r="M121" t="s">
        <v>3467</v>
      </c>
      <c r="N121" t="s">
        <v>3467</v>
      </c>
      <c r="O121" t="s">
        <v>5742</v>
      </c>
    </row>
    <row r="122" spans="1:15" x14ac:dyDescent="0.25">
      <c r="A122" t="s">
        <v>5153</v>
      </c>
      <c r="B122" t="s">
        <v>4331</v>
      </c>
      <c r="C122" t="s">
        <v>4279</v>
      </c>
      <c r="D122">
        <v>1</v>
      </c>
      <c r="E122" s="3" t="s">
        <v>6749</v>
      </c>
      <c r="F122" t="s">
        <v>6750</v>
      </c>
      <c r="G122" t="s">
        <v>3467</v>
      </c>
      <c r="H122" t="s">
        <v>3467</v>
      </c>
      <c r="I122" t="s">
        <v>3467</v>
      </c>
      <c r="J122" t="s">
        <v>3467</v>
      </c>
      <c r="K122" t="s">
        <v>5153</v>
      </c>
      <c r="L122" t="s">
        <v>90</v>
      </c>
      <c r="M122" t="s">
        <v>6441</v>
      </c>
      <c r="N122" t="s">
        <v>3467</v>
      </c>
      <c r="O122" t="s">
        <v>5904</v>
      </c>
    </row>
    <row r="123" spans="1:15" x14ac:dyDescent="0.25">
      <c r="A123" t="s">
        <v>6227</v>
      </c>
      <c r="B123" t="s">
        <v>3530</v>
      </c>
      <c r="C123" t="s">
        <v>5756</v>
      </c>
      <c r="D123">
        <v>1</v>
      </c>
      <c r="E123" s="8" t="s">
        <v>6228</v>
      </c>
      <c r="F123" t="s">
        <v>6751</v>
      </c>
      <c r="G123" s="8" t="s">
        <v>6229</v>
      </c>
      <c r="H123" t="s">
        <v>6752</v>
      </c>
      <c r="I123">
        <v>1</v>
      </c>
      <c r="J123" t="s">
        <v>6434</v>
      </c>
      <c r="K123" t="s">
        <v>6227</v>
      </c>
      <c r="L123" t="s">
        <v>90</v>
      </c>
      <c r="M123" t="s">
        <v>5530</v>
      </c>
      <c r="N123" t="s">
        <v>3467</v>
      </c>
      <c r="O123" t="s">
        <v>6038</v>
      </c>
    </row>
    <row r="124" spans="1:15" x14ac:dyDescent="0.25">
      <c r="A124" t="s">
        <v>5178</v>
      </c>
      <c r="B124" t="s">
        <v>4331</v>
      </c>
      <c r="C124" t="s">
        <v>4279</v>
      </c>
      <c r="D124" t="s">
        <v>4031</v>
      </c>
      <c r="E124" t="s">
        <v>6230</v>
      </c>
      <c r="F124" t="s">
        <v>6753</v>
      </c>
      <c r="G124" t="s">
        <v>3467</v>
      </c>
      <c r="H124" t="s">
        <v>3467</v>
      </c>
      <c r="I124" t="s">
        <v>3467</v>
      </c>
      <c r="J124" t="s">
        <v>3467</v>
      </c>
      <c r="K124" t="s">
        <v>6231</v>
      </c>
      <c r="L124" t="s">
        <v>1650</v>
      </c>
      <c r="M124" t="s">
        <v>5497</v>
      </c>
      <c r="N124" t="s">
        <v>3467</v>
      </c>
    </row>
    <row r="125" spans="1:15" x14ac:dyDescent="0.25">
      <c r="A125" t="s">
        <v>6235</v>
      </c>
      <c r="B125" t="s">
        <v>41</v>
      </c>
      <c r="C125" t="s">
        <v>5756</v>
      </c>
      <c r="D125">
        <v>1</v>
      </c>
      <c r="E125" s="8" t="s">
        <v>6236</v>
      </c>
      <c r="F125" t="s">
        <v>6754</v>
      </c>
      <c r="G125" s="8" t="s">
        <v>6237</v>
      </c>
      <c r="H125" t="s">
        <v>6755</v>
      </c>
      <c r="I125">
        <v>1</v>
      </c>
      <c r="J125" t="s">
        <v>6518</v>
      </c>
      <c r="K125" t="s">
        <v>6238</v>
      </c>
      <c r="L125" t="s">
        <v>90</v>
      </c>
      <c r="M125" t="s">
        <v>3467</v>
      </c>
      <c r="N125" t="s">
        <v>3467</v>
      </c>
      <c r="O125" t="s">
        <v>6239</v>
      </c>
    </row>
    <row r="126" spans="1:15" x14ac:dyDescent="0.25">
      <c r="A126" t="s">
        <v>5396</v>
      </c>
      <c r="B126" t="s">
        <v>3530</v>
      </c>
      <c r="C126" t="s">
        <v>5394</v>
      </c>
      <c r="D126">
        <v>0</v>
      </c>
      <c r="E126" s="8" t="s">
        <v>6240</v>
      </c>
      <c r="F126" t="s">
        <v>6756</v>
      </c>
      <c r="G126" s="8" t="s">
        <v>6241</v>
      </c>
      <c r="H126" t="s">
        <v>6757</v>
      </c>
      <c r="I126">
        <v>0</v>
      </c>
      <c r="J126" t="s">
        <v>3467</v>
      </c>
      <c r="K126" t="s">
        <v>5396</v>
      </c>
      <c r="L126" t="s">
        <v>90</v>
      </c>
      <c r="M126" t="s">
        <v>3467</v>
      </c>
      <c r="N126" t="s">
        <v>3467</v>
      </c>
      <c r="O126" t="s">
        <v>5773</v>
      </c>
    </row>
    <row r="127" spans="1:15" x14ac:dyDescent="0.25">
      <c r="A127" t="s">
        <v>6242</v>
      </c>
      <c r="B127" t="s">
        <v>3530</v>
      </c>
      <c r="C127" t="s">
        <v>5756</v>
      </c>
      <c r="D127">
        <v>1</v>
      </c>
      <c r="E127" s="8" t="s">
        <v>6243</v>
      </c>
      <c r="F127" t="s">
        <v>6758</v>
      </c>
      <c r="G127" s="8" t="s">
        <v>6244</v>
      </c>
      <c r="H127" t="s">
        <v>6759</v>
      </c>
      <c r="I127">
        <v>1</v>
      </c>
      <c r="J127" t="s">
        <v>6518</v>
      </c>
      <c r="K127" t="s">
        <v>6242</v>
      </c>
      <c r="L127" t="s">
        <v>90</v>
      </c>
      <c r="M127" t="s">
        <v>3467</v>
      </c>
      <c r="N127" t="s">
        <v>3467</v>
      </c>
      <c r="O127" t="s">
        <v>6093</v>
      </c>
    </row>
    <row r="128" spans="1:15" x14ac:dyDescent="0.25">
      <c r="A128" t="s">
        <v>6246</v>
      </c>
      <c r="B128" t="s">
        <v>3518</v>
      </c>
      <c r="C128" t="s">
        <v>5756</v>
      </c>
      <c r="D128">
        <v>2</v>
      </c>
      <c r="E128" t="s">
        <v>6247</v>
      </c>
      <c r="F128" t="s">
        <v>6760</v>
      </c>
      <c r="G128" t="s">
        <v>6248</v>
      </c>
      <c r="H128" t="s">
        <v>6761</v>
      </c>
      <c r="I128">
        <v>2</v>
      </c>
      <c r="J128" t="s">
        <v>6523</v>
      </c>
      <c r="K128" t="s">
        <v>6246</v>
      </c>
      <c r="L128" t="s">
        <v>90</v>
      </c>
      <c r="M128" t="s">
        <v>6762</v>
      </c>
      <c r="N128" t="s">
        <v>3467</v>
      </c>
      <c r="O128" t="s">
        <v>6030</v>
      </c>
    </row>
    <row r="129" spans="1:15" x14ac:dyDescent="0.25">
      <c r="A129" t="s">
        <v>6249</v>
      </c>
      <c r="B129" t="s">
        <v>3530</v>
      </c>
      <c r="C129" t="s">
        <v>5756</v>
      </c>
      <c r="D129">
        <v>0</v>
      </c>
      <c r="E129" s="8" t="s">
        <v>6763</v>
      </c>
      <c r="F129" t="s">
        <v>6764</v>
      </c>
      <c r="G129" s="8" t="s">
        <v>6765</v>
      </c>
      <c r="H129" t="s">
        <v>6766</v>
      </c>
      <c r="I129">
        <v>0</v>
      </c>
      <c r="J129" t="s">
        <v>6484</v>
      </c>
      <c r="K129" t="s">
        <v>6252</v>
      </c>
      <c r="L129" t="s">
        <v>90</v>
      </c>
      <c r="M129" t="s">
        <v>3467</v>
      </c>
      <c r="N129" t="s">
        <v>3467</v>
      </c>
      <c r="O129" t="s">
        <v>6253</v>
      </c>
    </row>
    <row r="130" spans="1:15" x14ac:dyDescent="0.25">
      <c r="A130" t="s">
        <v>6257</v>
      </c>
      <c r="B130" t="s">
        <v>3530</v>
      </c>
      <c r="C130" t="s">
        <v>5394</v>
      </c>
      <c r="D130" t="s">
        <v>4031</v>
      </c>
      <c r="E130" t="s">
        <v>6258</v>
      </c>
      <c r="F130" t="s">
        <v>6767</v>
      </c>
      <c r="G130" t="s">
        <v>6259</v>
      </c>
      <c r="H130" t="s">
        <v>6768</v>
      </c>
      <c r="I130" t="s">
        <v>4031</v>
      </c>
      <c r="J130" t="s">
        <v>3467</v>
      </c>
      <c r="K130" t="s">
        <v>6257</v>
      </c>
      <c r="L130" t="s">
        <v>90</v>
      </c>
      <c r="M130" t="s">
        <v>5495</v>
      </c>
      <c r="N130" t="s">
        <v>3467</v>
      </c>
      <c r="O130" t="s">
        <v>5871</v>
      </c>
    </row>
    <row r="131" spans="1:15" x14ac:dyDescent="0.25">
      <c r="A131" t="s">
        <v>5143</v>
      </c>
      <c r="B131" t="s">
        <v>4331</v>
      </c>
      <c r="C131" t="s">
        <v>4279</v>
      </c>
      <c r="D131" t="s">
        <v>4031</v>
      </c>
      <c r="E131" t="s">
        <v>6260</v>
      </c>
      <c r="F131" t="s">
        <v>6769</v>
      </c>
      <c r="G131" t="s">
        <v>3467</v>
      </c>
      <c r="H131" t="s">
        <v>3467</v>
      </c>
      <c r="I131" t="s">
        <v>3467</v>
      </c>
      <c r="J131" t="s">
        <v>3467</v>
      </c>
      <c r="K131" t="s">
        <v>5143</v>
      </c>
      <c r="L131" t="s">
        <v>90</v>
      </c>
      <c r="M131" t="s">
        <v>5497</v>
      </c>
      <c r="N131" t="s">
        <v>3467</v>
      </c>
      <c r="O131" t="s">
        <v>5904</v>
      </c>
    </row>
    <row r="132" spans="1:15" x14ac:dyDescent="0.25">
      <c r="A132" t="s">
        <v>6261</v>
      </c>
      <c r="B132" t="s">
        <v>3530</v>
      </c>
      <c r="C132" t="s">
        <v>5756</v>
      </c>
      <c r="D132">
        <v>2</v>
      </c>
      <c r="E132" s="8" t="s">
        <v>6262</v>
      </c>
      <c r="F132" t="s">
        <v>6770</v>
      </c>
      <c r="G132" s="8" t="s">
        <v>6263</v>
      </c>
      <c r="H132" t="s">
        <v>6771</v>
      </c>
      <c r="I132" t="s">
        <v>3467</v>
      </c>
      <c r="J132" t="s">
        <v>6434</v>
      </c>
      <c r="K132" t="s">
        <v>6264</v>
      </c>
      <c r="L132" t="s">
        <v>90</v>
      </c>
      <c r="M132" t="s">
        <v>3467</v>
      </c>
      <c r="N132" t="s">
        <v>3467</v>
      </c>
      <c r="O132" t="s">
        <v>5811</v>
      </c>
    </row>
    <row r="133" spans="1:15" x14ac:dyDescent="0.25">
      <c r="A133" t="s">
        <v>4850</v>
      </c>
      <c r="B133" t="s">
        <v>3530</v>
      </c>
      <c r="C133" t="s">
        <v>5394</v>
      </c>
      <c r="D133">
        <v>1</v>
      </c>
      <c r="E133" s="8" t="s">
        <v>6272</v>
      </c>
      <c r="F133" t="s">
        <v>6772</v>
      </c>
      <c r="G133" s="8" t="s">
        <v>6272</v>
      </c>
      <c r="H133" t="s">
        <v>6772</v>
      </c>
      <c r="I133">
        <v>1</v>
      </c>
      <c r="J133" t="s">
        <v>6518</v>
      </c>
      <c r="K133" t="s">
        <v>4853</v>
      </c>
      <c r="L133" t="s">
        <v>1650</v>
      </c>
      <c r="M133" t="s">
        <v>3467</v>
      </c>
      <c r="N133" t="s">
        <v>3467</v>
      </c>
      <c r="O133" t="s">
        <v>6773</v>
      </c>
    </row>
    <row r="134" spans="1:15" x14ac:dyDescent="0.25">
      <c r="A134" t="s">
        <v>6273</v>
      </c>
      <c r="B134" t="s">
        <v>3530</v>
      </c>
      <c r="C134" t="s">
        <v>5756</v>
      </c>
      <c r="D134">
        <v>2</v>
      </c>
      <c r="E134" s="8" t="s">
        <v>6774</v>
      </c>
      <c r="F134" t="s">
        <v>6775</v>
      </c>
      <c r="G134" s="8" t="s">
        <v>3467</v>
      </c>
      <c r="H134" t="s">
        <v>3467</v>
      </c>
      <c r="I134" t="s">
        <v>3467</v>
      </c>
      <c r="J134" t="s">
        <v>6443</v>
      </c>
      <c r="K134" t="s">
        <v>6275</v>
      </c>
      <c r="L134" t="s">
        <v>90</v>
      </c>
      <c r="M134" t="s">
        <v>3467</v>
      </c>
      <c r="N134" t="s">
        <v>4295</v>
      </c>
      <c r="O134" t="s">
        <v>6093</v>
      </c>
    </row>
    <row r="135" spans="1:15" x14ac:dyDescent="0.25">
      <c r="A135" t="s">
        <v>6276</v>
      </c>
      <c r="B135" t="s">
        <v>3530</v>
      </c>
      <c r="C135" t="s">
        <v>5394</v>
      </c>
      <c r="D135">
        <v>1</v>
      </c>
      <c r="E135" s="8" t="s">
        <v>6277</v>
      </c>
      <c r="F135" t="s">
        <v>6776</v>
      </c>
      <c r="G135" s="8" t="s">
        <v>6278</v>
      </c>
      <c r="H135" t="s">
        <v>6777</v>
      </c>
      <c r="I135">
        <v>1</v>
      </c>
      <c r="J135" t="s">
        <v>3467</v>
      </c>
      <c r="K135" t="s">
        <v>6279</v>
      </c>
      <c r="L135" t="s">
        <v>90</v>
      </c>
      <c r="M135" t="s">
        <v>3467</v>
      </c>
      <c r="N135" t="s">
        <v>3467</v>
      </c>
      <c r="O135" t="s">
        <v>6033</v>
      </c>
    </row>
    <row r="136" spans="1:15" x14ac:dyDescent="0.25">
      <c r="A136" t="s">
        <v>6280</v>
      </c>
      <c r="B136" t="s">
        <v>3530</v>
      </c>
      <c r="C136" t="s">
        <v>5394</v>
      </c>
      <c r="D136">
        <v>1</v>
      </c>
      <c r="E136" s="8" t="s">
        <v>6281</v>
      </c>
      <c r="F136" t="s">
        <v>6778</v>
      </c>
      <c r="G136" s="8" t="s">
        <v>6281</v>
      </c>
      <c r="H136" t="s">
        <v>6778</v>
      </c>
      <c r="I136">
        <v>0</v>
      </c>
      <c r="J136" t="s">
        <v>3467</v>
      </c>
      <c r="K136" t="s">
        <v>6282</v>
      </c>
      <c r="L136" t="s">
        <v>90</v>
      </c>
      <c r="M136" t="s">
        <v>5530</v>
      </c>
      <c r="N136" t="s">
        <v>3467</v>
      </c>
      <c r="O136" t="s">
        <v>6283</v>
      </c>
    </row>
    <row r="137" spans="1:15" x14ac:dyDescent="0.25">
      <c r="A137" t="s">
        <v>6284</v>
      </c>
      <c r="B137" t="s">
        <v>3518</v>
      </c>
      <c r="C137" t="s">
        <v>5394</v>
      </c>
      <c r="D137">
        <v>0</v>
      </c>
      <c r="E137" s="8" t="s">
        <v>6779</v>
      </c>
      <c r="F137" t="s">
        <v>6780</v>
      </c>
      <c r="G137" s="8" t="s">
        <v>6781</v>
      </c>
      <c r="H137" t="s">
        <v>6782</v>
      </c>
      <c r="I137">
        <v>0</v>
      </c>
      <c r="J137" t="s">
        <v>3467</v>
      </c>
      <c r="K137" t="s">
        <v>6284</v>
      </c>
      <c r="L137" t="s">
        <v>90</v>
      </c>
      <c r="M137" t="s">
        <v>5530</v>
      </c>
      <c r="N137" t="s">
        <v>3467</v>
      </c>
      <c r="O137" t="s">
        <v>6287</v>
      </c>
    </row>
    <row r="138" spans="1:15" x14ac:dyDescent="0.25">
      <c r="A138" t="s">
        <v>6288</v>
      </c>
      <c r="B138" t="s">
        <v>3530</v>
      </c>
      <c r="C138" t="s">
        <v>5394</v>
      </c>
      <c r="D138">
        <v>1</v>
      </c>
      <c r="E138" s="8" t="s">
        <v>6289</v>
      </c>
      <c r="F138" t="s">
        <v>6783</v>
      </c>
      <c r="G138" s="8" t="s">
        <v>6290</v>
      </c>
      <c r="H138" t="s">
        <v>6784</v>
      </c>
      <c r="I138">
        <v>1</v>
      </c>
      <c r="J138" t="s">
        <v>3467</v>
      </c>
      <c r="K138" t="s">
        <v>6288</v>
      </c>
      <c r="L138" t="s">
        <v>90</v>
      </c>
      <c r="M138" t="s">
        <v>3467</v>
      </c>
      <c r="N138" t="s">
        <v>3467</v>
      </c>
      <c r="O138" t="s">
        <v>6033</v>
      </c>
    </row>
    <row r="139" spans="1:15" x14ac:dyDescent="0.25">
      <c r="A139" t="s">
        <v>6291</v>
      </c>
      <c r="B139" t="s">
        <v>3530</v>
      </c>
      <c r="C139" t="s">
        <v>5394</v>
      </c>
      <c r="D139">
        <v>1</v>
      </c>
      <c r="E139" s="8" t="s">
        <v>6785</v>
      </c>
      <c r="F139" t="s">
        <v>6786</v>
      </c>
      <c r="G139" s="8" t="s">
        <v>6785</v>
      </c>
      <c r="H139" t="s">
        <v>6786</v>
      </c>
      <c r="I139">
        <v>0</v>
      </c>
      <c r="J139" t="s">
        <v>3467</v>
      </c>
      <c r="K139" t="s">
        <v>6291</v>
      </c>
      <c r="L139" t="s">
        <v>90</v>
      </c>
      <c r="M139" t="s">
        <v>3467</v>
      </c>
      <c r="N139" t="s">
        <v>3467</v>
      </c>
      <c r="O139" t="s">
        <v>5857</v>
      </c>
    </row>
    <row r="140" spans="1:15" x14ac:dyDescent="0.25">
      <c r="A140" t="s">
        <v>6293</v>
      </c>
      <c r="B140" t="s">
        <v>3530</v>
      </c>
      <c r="C140" t="s">
        <v>5756</v>
      </c>
      <c r="D140">
        <v>2</v>
      </c>
      <c r="E140" s="8" t="s">
        <v>6787</v>
      </c>
      <c r="F140" t="s">
        <v>6788</v>
      </c>
      <c r="G140" s="8" t="s">
        <v>6789</v>
      </c>
      <c r="H140" t="s">
        <v>6790</v>
      </c>
      <c r="I140">
        <v>2</v>
      </c>
      <c r="J140" t="s">
        <v>6518</v>
      </c>
      <c r="K140" t="s">
        <v>6296</v>
      </c>
      <c r="L140" t="s">
        <v>90</v>
      </c>
      <c r="M140" t="s">
        <v>3467</v>
      </c>
      <c r="N140" t="s">
        <v>3467</v>
      </c>
      <c r="O140" t="s">
        <v>6038</v>
      </c>
    </row>
    <row r="141" spans="1:15" x14ac:dyDescent="0.25">
      <c r="A141" t="s">
        <v>6297</v>
      </c>
      <c r="B141" t="s">
        <v>4331</v>
      </c>
      <c r="C141" t="s">
        <v>4279</v>
      </c>
      <c r="D141" t="s">
        <v>4031</v>
      </c>
      <c r="E141" t="s">
        <v>6298</v>
      </c>
      <c r="F141" t="s">
        <v>6791</v>
      </c>
      <c r="G141" t="s">
        <v>3467</v>
      </c>
      <c r="H141" t="s">
        <v>3467</v>
      </c>
      <c r="I141" t="s">
        <v>3467</v>
      </c>
      <c r="J141" t="s">
        <v>3467</v>
      </c>
      <c r="K141" t="s">
        <v>6297</v>
      </c>
      <c r="L141" t="s">
        <v>90</v>
      </c>
      <c r="M141" t="s">
        <v>5497</v>
      </c>
      <c r="N141" t="s">
        <v>3467</v>
      </c>
      <c r="O141" t="s">
        <v>5904</v>
      </c>
    </row>
    <row r="142" spans="1:15" x14ac:dyDescent="0.25">
      <c r="A142" t="s">
        <v>6299</v>
      </c>
      <c r="B142" t="s">
        <v>4331</v>
      </c>
      <c r="C142" t="s">
        <v>5756</v>
      </c>
      <c r="D142">
        <v>0</v>
      </c>
      <c r="E142" t="s">
        <v>6300</v>
      </c>
      <c r="F142" t="s">
        <v>6792</v>
      </c>
      <c r="G142" t="s">
        <v>6301</v>
      </c>
      <c r="H142" t="s">
        <v>6450</v>
      </c>
      <c r="I142">
        <v>0</v>
      </c>
      <c r="J142" t="s">
        <v>6451</v>
      </c>
      <c r="K142" t="s">
        <v>6299</v>
      </c>
      <c r="L142" t="s">
        <v>90</v>
      </c>
      <c r="M142" t="s">
        <v>5530</v>
      </c>
      <c r="N142" t="s">
        <v>3467</v>
      </c>
      <c r="O142" t="s">
        <v>6793</v>
      </c>
    </row>
    <row r="143" spans="1:15" x14ac:dyDescent="0.25">
      <c r="A143" t="s">
        <v>6302</v>
      </c>
      <c r="B143" t="s">
        <v>3530</v>
      </c>
      <c r="C143" t="s">
        <v>5394</v>
      </c>
      <c r="D143">
        <v>2</v>
      </c>
      <c r="E143" s="8" t="s">
        <v>6303</v>
      </c>
      <c r="F143" t="s">
        <v>6794</v>
      </c>
      <c r="G143" s="8" t="s">
        <v>6304</v>
      </c>
      <c r="H143" t="s">
        <v>6795</v>
      </c>
      <c r="I143">
        <v>2</v>
      </c>
      <c r="J143" t="s">
        <v>3467</v>
      </c>
      <c r="K143" t="s">
        <v>6302</v>
      </c>
      <c r="L143" t="s">
        <v>90</v>
      </c>
      <c r="M143" t="s">
        <v>5530</v>
      </c>
      <c r="N143" t="s">
        <v>3467</v>
      </c>
      <c r="O143" t="s">
        <v>5971</v>
      </c>
    </row>
    <row r="144" spans="1:15" x14ac:dyDescent="0.25">
      <c r="A144" t="s">
        <v>6305</v>
      </c>
      <c r="B144" t="s">
        <v>41</v>
      </c>
      <c r="C144" t="s">
        <v>5394</v>
      </c>
      <c r="D144">
        <v>1</v>
      </c>
      <c r="E144" t="s">
        <v>6306</v>
      </c>
      <c r="F144" t="s">
        <v>6796</v>
      </c>
      <c r="G144" t="s">
        <v>6307</v>
      </c>
      <c r="H144" t="s">
        <v>6797</v>
      </c>
      <c r="I144">
        <v>1</v>
      </c>
      <c r="J144" t="s">
        <v>3467</v>
      </c>
      <c r="K144" t="s">
        <v>6308</v>
      </c>
      <c r="L144" t="s">
        <v>90</v>
      </c>
      <c r="M144" t="s">
        <v>3467</v>
      </c>
      <c r="N144" t="s">
        <v>3467</v>
      </c>
      <c r="O144" t="s">
        <v>6309</v>
      </c>
    </row>
    <row r="145" spans="1:15" x14ac:dyDescent="0.25">
      <c r="A145" t="s">
        <v>6310</v>
      </c>
      <c r="B145" t="s">
        <v>3530</v>
      </c>
      <c r="C145" t="s">
        <v>5756</v>
      </c>
      <c r="D145" t="s">
        <v>5980</v>
      </c>
      <c r="E145" t="s">
        <v>6311</v>
      </c>
      <c r="F145" t="s">
        <v>6798</v>
      </c>
      <c r="G145" t="s">
        <v>6312</v>
      </c>
      <c r="H145" t="s">
        <v>6799</v>
      </c>
      <c r="I145" t="s">
        <v>5980</v>
      </c>
      <c r="J145" t="s">
        <v>6800</v>
      </c>
      <c r="K145" t="s">
        <v>6310</v>
      </c>
      <c r="L145" t="s">
        <v>90</v>
      </c>
      <c r="M145" t="s">
        <v>3467</v>
      </c>
      <c r="N145" t="s">
        <v>3467</v>
      </c>
      <c r="O145" t="s">
        <v>5811</v>
      </c>
    </row>
    <row r="146" spans="1:15" x14ac:dyDescent="0.25">
      <c r="A146" t="s">
        <v>6313</v>
      </c>
      <c r="B146" t="s">
        <v>41</v>
      </c>
      <c r="C146" t="s">
        <v>5756</v>
      </c>
      <c r="D146">
        <v>0</v>
      </c>
      <c r="E146" s="8" t="s">
        <v>6314</v>
      </c>
      <c r="F146" t="s">
        <v>6801</v>
      </c>
      <c r="G146" s="8" t="s">
        <v>6315</v>
      </c>
      <c r="H146" t="s">
        <v>6802</v>
      </c>
      <c r="I146">
        <v>0</v>
      </c>
      <c r="J146" t="s">
        <v>6518</v>
      </c>
      <c r="K146" t="s">
        <v>6313</v>
      </c>
      <c r="L146" t="s">
        <v>90</v>
      </c>
      <c r="M146" t="s">
        <v>3467</v>
      </c>
      <c r="N146" t="s">
        <v>3467</v>
      </c>
      <c r="O146" t="s">
        <v>5811</v>
      </c>
    </row>
    <row r="147" spans="1:15" x14ac:dyDescent="0.25">
      <c r="A147" t="s">
        <v>6316</v>
      </c>
      <c r="B147" t="s">
        <v>4331</v>
      </c>
      <c r="C147" t="s">
        <v>3673</v>
      </c>
      <c r="D147">
        <v>1</v>
      </c>
      <c r="E147" t="s">
        <v>6317</v>
      </c>
      <c r="F147" t="s">
        <v>6803</v>
      </c>
      <c r="G147" t="s">
        <v>3467</v>
      </c>
      <c r="H147" t="s">
        <v>3467</v>
      </c>
      <c r="I147" t="s">
        <v>3467</v>
      </c>
      <c r="J147" t="s">
        <v>3467</v>
      </c>
      <c r="K147" t="s">
        <v>6316</v>
      </c>
      <c r="L147" t="s">
        <v>90</v>
      </c>
      <c r="M147" t="s">
        <v>5530</v>
      </c>
      <c r="N147" t="s">
        <v>3467</v>
      </c>
      <c r="O147" t="s">
        <v>6493</v>
      </c>
    </row>
    <row r="148" spans="1:15" x14ac:dyDescent="0.25">
      <c r="A148" t="s">
        <v>6318</v>
      </c>
      <c r="B148" t="s">
        <v>41</v>
      </c>
      <c r="C148" t="s">
        <v>5756</v>
      </c>
      <c r="D148">
        <v>2</v>
      </c>
      <c r="E148" s="8" t="s">
        <v>6319</v>
      </c>
      <c r="F148" t="s">
        <v>6804</v>
      </c>
      <c r="G148" s="8" t="s">
        <v>6320</v>
      </c>
      <c r="H148" t="s">
        <v>6805</v>
      </c>
      <c r="I148">
        <v>2</v>
      </c>
      <c r="J148" t="s">
        <v>6434</v>
      </c>
      <c r="K148" t="s">
        <v>6321</v>
      </c>
      <c r="L148" t="s">
        <v>90</v>
      </c>
      <c r="M148" t="s">
        <v>3467</v>
      </c>
      <c r="N148" t="s">
        <v>3467</v>
      </c>
      <c r="O148" t="s">
        <v>6059</v>
      </c>
    </row>
    <row r="149" spans="1:15" x14ac:dyDescent="0.25">
      <c r="A149" t="s">
        <v>6323</v>
      </c>
      <c r="B149" t="s">
        <v>3530</v>
      </c>
      <c r="C149" t="s">
        <v>5394</v>
      </c>
      <c r="D149">
        <v>1</v>
      </c>
      <c r="E149" s="8" t="s">
        <v>6324</v>
      </c>
      <c r="F149" t="s">
        <v>6806</v>
      </c>
      <c r="G149" s="8" t="s">
        <v>6325</v>
      </c>
      <c r="H149" t="s">
        <v>6807</v>
      </c>
      <c r="I149">
        <v>1</v>
      </c>
      <c r="J149" t="s">
        <v>3467</v>
      </c>
      <c r="K149" t="s">
        <v>6326</v>
      </c>
      <c r="L149" t="s">
        <v>90</v>
      </c>
      <c r="M149" t="s">
        <v>3467</v>
      </c>
      <c r="N149" t="s">
        <v>3467</v>
      </c>
      <c r="O149" t="s">
        <v>5961</v>
      </c>
    </row>
    <row r="150" spans="1:15" x14ac:dyDescent="0.25">
      <c r="A150" t="s">
        <v>6327</v>
      </c>
      <c r="B150" t="s">
        <v>3518</v>
      </c>
      <c r="C150" t="s">
        <v>5394</v>
      </c>
      <c r="D150">
        <v>1</v>
      </c>
      <c r="E150" t="s">
        <v>6328</v>
      </c>
      <c r="F150" t="s">
        <v>6808</v>
      </c>
      <c r="G150" t="s">
        <v>6329</v>
      </c>
      <c r="H150" t="s">
        <v>6809</v>
      </c>
      <c r="I150">
        <v>1</v>
      </c>
      <c r="J150" t="s">
        <v>3467</v>
      </c>
      <c r="K150" t="s">
        <v>6330</v>
      </c>
      <c r="L150" t="s">
        <v>90</v>
      </c>
      <c r="M150" t="s">
        <v>3467</v>
      </c>
      <c r="N150" t="s">
        <v>3467</v>
      </c>
      <c r="O150" t="s">
        <v>6331</v>
      </c>
    </row>
    <row r="151" spans="1:15" x14ac:dyDescent="0.25">
      <c r="A151" t="s">
        <v>6810</v>
      </c>
      <c r="B151" t="s">
        <v>3563</v>
      </c>
      <c r="C151" t="s">
        <v>5756</v>
      </c>
      <c r="D151">
        <v>1</v>
      </c>
      <c r="E151" t="s">
        <v>6314</v>
      </c>
      <c r="F151" t="s">
        <v>6801</v>
      </c>
      <c r="G151" t="s">
        <v>6315</v>
      </c>
      <c r="H151" t="s">
        <v>6802</v>
      </c>
      <c r="I151">
        <v>1</v>
      </c>
      <c r="J151" t="s">
        <v>6443</v>
      </c>
      <c r="K151" t="s">
        <v>6811</v>
      </c>
      <c r="L151" t="s">
        <v>90</v>
      </c>
      <c r="M151" t="s">
        <v>3467</v>
      </c>
      <c r="N151" t="s">
        <v>3467</v>
      </c>
      <c r="O151" t="s">
        <v>6812</v>
      </c>
    </row>
    <row r="152" spans="1:15" x14ac:dyDescent="0.25">
      <c r="A152" t="s">
        <v>6813</v>
      </c>
      <c r="B152" t="s">
        <v>3563</v>
      </c>
      <c r="C152" t="s">
        <v>5756</v>
      </c>
      <c r="D152">
        <v>1</v>
      </c>
      <c r="E152" t="s">
        <v>6314</v>
      </c>
      <c r="F152" t="s">
        <v>6801</v>
      </c>
      <c r="G152" t="s">
        <v>6315</v>
      </c>
      <c r="H152" t="s">
        <v>6802</v>
      </c>
      <c r="I152">
        <v>1</v>
      </c>
      <c r="J152" t="s">
        <v>6426</v>
      </c>
      <c r="K152" t="s">
        <v>6814</v>
      </c>
      <c r="L152" t="s">
        <v>90</v>
      </c>
      <c r="M152" t="s">
        <v>3467</v>
      </c>
      <c r="N152" t="s">
        <v>3467</v>
      </c>
      <c r="O152" t="s">
        <v>6812</v>
      </c>
    </row>
    <row r="153" spans="1:15" x14ac:dyDescent="0.25">
      <c r="A153" t="s">
        <v>6333</v>
      </c>
      <c r="B153" t="s">
        <v>41</v>
      </c>
      <c r="C153" t="s">
        <v>5756</v>
      </c>
      <c r="D153">
        <v>1</v>
      </c>
      <c r="E153" t="s">
        <v>6334</v>
      </c>
      <c r="F153" t="s">
        <v>6815</v>
      </c>
      <c r="G153" t="s">
        <v>6335</v>
      </c>
      <c r="H153" t="s">
        <v>6816</v>
      </c>
      <c r="I153">
        <v>1</v>
      </c>
      <c r="J153" t="s">
        <v>6426</v>
      </c>
      <c r="K153" t="s">
        <v>6336</v>
      </c>
      <c r="L153" t="s">
        <v>90</v>
      </c>
      <c r="M153" t="s">
        <v>3467</v>
      </c>
      <c r="N153" t="s">
        <v>3467</v>
      </c>
      <c r="O153" t="s">
        <v>5787</v>
      </c>
    </row>
    <row r="154" spans="1:15" x14ac:dyDescent="0.25">
      <c r="A154" t="s">
        <v>5730</v>
      </c>
      <c r="B154" t="s">
        <v>3563</v>
      </c>
      <c r="C154" t="s">
        <v>5394</v>
      </c>
      <c r="D154">
        <v>1</v>
      </c>
      <c r="E154" t="s">
        <v>6337</v>
      </c>
      <c r="F154" t="s">
        <v>6817</v>
      </c>
      <c r="G154" t="s">
        <v>6338</v>
      </c>
      <c r="H154" t="s">
        <v>6818</v>
      </c>
      <c r="I154">
        <v>1</v>
      </c>
      <c r="J154" t="s">
        <v>3467</v>
      </c>
      <c r="K154" t="s">
        <v>5730</v>
      </c>
      <c r="L154" t="s">
        <v>90</v>
      </c>
      <c r="M154" t="s">
        <v>3467</v>
      </c>
      <c r="N154" t="s">
        <v>3467</v>
      </c>
      <c r="O154" t="s">
        <v>6339</v>
      </c>
    </row>
    <row r="155" spans="1:15" x14ac:dyDescent="0.25">
      <c r="A155" t="s">
        <v>6340</v>
      </c>
      <c r="B155" t="s">
        <v>41</v>
      </c>
      <c r="C155" t="s">
        <v>5756</v>
      </c>
      <c r="D155">
        <v>1</v>
      </c>
      <c r="E155" t="s">
        <v>6341</v>
      </c>
      <c r="F155" t="s">
        <v>6819</v>
      </c>
      <c r="G155" t="s">
        <v>6342</v>
      </c>
      <c r="H155" t="s">
        <v>6820</v>
      </c>
      <c r="I155">
        <v>1</v>
      </c>
      <c r="J155" t="s">
        <v>6821</v>
      </c>
      <c r="K155" t="s">
        <v>6343</v>
      </c>
      <c r="L155" t="s">
        <v>90</v>
      </c>
      <c r="M155" t="s">
        <v>3467</v>
      </c>
      <c r="N155" t="s">
        <v>3467</v>
      </c>
      <c r="O155" t="s">
        <v>6344</v>
      </c>
    </row>
    <row r="156" spans="1:15" x14ac:dyDescent="0.25">
      <c r="A156" t="s">
        <v>6345</v>
      </c>
      <c r="B156" t="s">
        <v>41</v>
      </c>
      <c r="C156" t="s">
        <v>5756</v>
      </c>
      <c r="D156">
        <v>1</v>
      </c>
      <c r="E156" t="s">
        <v>6822</v>
      </c>
      <c r="F156" t="s">
        <v>6823</v>
      </c>
      <c r="G156" t="s">
        <v>6824</v>
      </c>
      <c r="H156" t="s">
        <v>6825</v>
      </c>
      <c r="I156">
        <v>1</v>
      </c>
      <c r="J156" t="s">
        <v>6826</v>
      </c>
      <c r="K156" t="s">
        <v>6348</v>
      </c>
      <c r="L156" t="s">
        <v>90</v>
      </c>
      <c r="M156" t="s">
        <v>5465</v>
      </c>
      <c r="N156" t="s">
        <v>3467</v>
      </c>
      <c r="O156" t="s">
        <v>5769</v>
      </c>
    </row>
    <row r="157" spans="1:15" x14ac:dyDescent="0.25">
      <c r="A157" t="s">
        <v>6349</v>
      </c>
      <c r="B157" t="s">
        <v>3530</v>
      </c>
      <c r="C157" t="s">
        <v>5394</v>
      </c>
      <c r="D157" t="s">
        <v>4031</v>
      </c>
      <c r="E157" t="s">
        <v>6350</v>
      </c>
      <c r="F157" t="s">
        <v>6827</v>
      </c>
      <c r="G157" t="s">
        <v>6351</v>
      </c>
      <c r="H157" t="s">
        <v>6778</v>
      </c>
      <c r="I157" t="s">
        <v>4031</v>
      </c>
      <c r="J157" t="s">
        <v>3467</v>
      </c>
      <c r="K157" t="s">
        <v>6349</v>
      </c>
      <c r="L157" t="s">
        <v>90</v>
      </c>
      <c r="M157" t="s">
        <v>5495</v>
      </c>
      <c r="N157" t="s">
        <v>3467</v>
      </c>
      <c r="O157" t="s">
        <v>6352</v>
      </c>
    </row>
    <row r="158" spans="1:15" x14ac:dyDescent="0.25">
      <c r="A158" t="s">
        <v>6357</v>
      </c>
      <c r="B158" t="s">
        <v>3530</v>
      </c>
      <c r="C158" t="s">
        <v>5394</v>
      </c>
      <c r="D158">
        <v>1</v>
      </c>
      <c r="E158" t="s">
        <v>6358</v>
      </c>
      <c r="F158" t="s">
        <v>6828</v>
      </c>
      <c r="G158" t="s">
        <v>6358</v>
      </c>
      <c r="H158" t="s">
        <v>6828</v>
      </c>
      <c r="I158">
        <v>0</v>
      </c>
      <c r="J158" t="s">
        <v>6484</v>
      </c>
      <c r="K158" t="s">
        <v>6357</v>
      </c>
      <c r="L158" t="s">
        <v>90</v>
      </c>
      <c r="M158" t="s">
        <v>5530</v>
      </c>
      <c r="N158" t="s">
        <v>3467</v>
      </c>
      <c r="O158" t="s">
        <v>6165</v>
      </c>
    </row>
    <row r="159" spans="1:15" x14ac:dyDescent="0.25">
      <c r="A159" t="s">
        <v>6359</v>
      </c>
      <c r="B159" t="s">
        <v>41</v>
      </c>
      <c r="C159" t="s">
        <v>5756</v>
      </c>
      <c r="D159">
        <v>1</v>
      </c>
      <c r="E159" t="s">
        <v>6829</v>
      </c>
      <c r="F159" t="s">
        <v>6830</v>
      </c>
      <c r="G159" t="s">
        <v>6831</v>
      </c>
      <c r="H159" t="s">
        <v>6832</v>
      </c>
      <c r="I159">
        <v>1</v>
      </c>
      <c r="J159" t="s">
        <v>6833</v>
      </c>
      <c r="K159" t="s">
        <v>6359</v>
      </c>
      <c r="L159" t="s">
        <v>90</v>
      </c>
      <c r="M159" t="s">
        <v>3467</v>
      </c>
      <c r="N159" t="s">
        <v>5425</v>
      </c>
      <c r="O159" t="s">
        <v>6834</v>
      </c>
    </row>
    <row r="160" spans="1:15" x14ac:dyDescent="0.25">
      <c r="A160" t="s">
        <v>6365</v>
      </c>
      <c r="B160" t="s">
        <v>41</v>
      </c>
      <c r="C160" t="s">
        <v>5394</v>
      </c>
      <c r="D160">
        <v>1</v>
      </c>
      <c r="E160" s="8" t="s">
        <v>6366</v>
      </c>
      <c r="F160" t="s">
        <v>6835</v>
      </c>
      <c r="G160" s="8" t="s">
        <v>6367</v>
      </c>
      <c r="H160" t="s">
        <v>6836</v>
      </c>
      <c r="I160">
        <v>1</v>
      </c>
      <c r="J160" t="s">
        <v>3467</v>
      </c>
      <c r="K160" t="s">
        <v>6368</v>
      </c>
      <c r="L160" t="s">
        <v>90</v>
      </c>
      <c r="M160" t="s">
        <v>3467</v>
      </c>
      <c r="N160" t="s">
        <v>3467</v>
      </c>
      <c r="O160" t="s">
        <v>6033</v>
      </c>
    </row>
    <row r="161" spans="1:15" x14ac:dyDescent="0.25">
      <c r="A161" t="s">
        <v>6369</v>
      </c>
      <c r="B161" t="s">
        <v>41</v>
      </c>
      <c r="C161" t="s">
        <v>5756</v>
      </c>
      <c r="D161">
        <v>1</v>
      </c>
      <c r="E161" t="s">
        <v>6370</v>
      </c>
      <c r="F161" t="s">
        <v>6837</v>
      </c>
      <c r="G161" t="s">
        <v>6371</v>
      </c>
      <c r="H161" t="s">
        <v>6838</v>
      </c>
      <c r="I161">
        <v>1</v>
      </c>
      <c r="J161" t="s">
        <v>6443</v>
      </c>
      <c r="K161" t="s">
        <v>6372</v>
      </c>
      <c r="L161" t="s">
        <v>90</v>
      </c>
      <c r="M161" t="s">
        <v>3467</v>
      </c>
      <c r="N161" t="s">
        <v>3467</v>
      </c>
      <c r="O161" t="s">
        <v>6839</v>
      </c>
    </row>
    <row r="162" spans="1:15" x14ac:dyDescent="0.25">
      <c r="A162" t="s">
        <v>6373</v>
      </c>
      <c r="B162" t="s">
        <v>3518</v>
      </c>
      <c r="C162" t="s">
        <v>5756</v>
      </c>
      <c r="D162">
        <v>1</v>
      </c>
      <c r="E162" s="8" t="s">
        <v>6374</v>
      </c>
      <c r="F162" t="s">
        <v>6840</v>
      </c>
      <c r="G162" s="8" t="s">
        <v>6375</v>
      </c>
      <c r="H162" t="s">
        <v>6841</v>
      </c>
      <c r="I162">
        <v>1</v>
      </c>
      <c r="J162" t="s">
        <v>6549</v>
      </c>
      <c r="K162" t="s">
        <v>6373</v>
      </c>
      <c r="L162" t="s">
        <v>90</v>
      </c>
      <c r="M162" t="s">
        <v>3467</v>
      </c>
      <c r="N162" t="s">
        <v>3467</v>
      </c>
      <c r="O162" t="s">
        <v>6016</v>
      </c>
    </row>
    <row r="163" spans="1:15" x14ac:dyDescent="0.25">
      <c r="A163" t="s">
        <v>6376</v>
      </c>
      <c r="B163" t="s">
        <v>3530</v>
      </c>
      <c r="C163" t="s">
        <v>5756</v>
      </c>
      <c r="D163">
        <v>2</v>
      </c>
      <c r="E163" t="s">
        <v>6377</v>
      </c>
      <c r="F163" t="s">
        <v>6842</v>
      </c>
      <c r="G163" t="s">
        <v>6378</v>
      </c>
      <c r="H163" t="s">
        <v>6843</v>
      </c>
      <c r="I163">
        <v>2</v>
      </c>
      <c r="J163" t="s">
        <v>6426</v>
      </c>
      <c r="K163" t="s">
        <v>6376</v>
      </c>
      <c r="L163" t="s">
        <v>90</v>
      </c>
      <c r="M163" t="s">
        <v>3467</v>
      </c>
      <c r="N163" t="s">
        <v>3467</v>
      </c>
      <c r="O163" t="s">
        <v>5901</v>
      </c>
    </row>
    <row r="164" spans="1:15" x14ac:dyDescent="0.25">
      <c r="A164" t="s">
        <v>6380</v>
      </c>
      <c r="B164" t="s">
        <v>41</v>
      </c>
      <c r="C164" t="s">
        <v>5394</v>
      </c>
      <c r="D164">
        <v>0</v>
      </c>
      <c r="E164" t="s">
        <v>6381</v>
      </c>
      <c r="F164" t="s">
        <v>6844</v>
      </c>
      <c r="G164" t="s">
        <v>6382</v>
      </c>
      <c r="H164" t="s">
        <v>6845</v>
      </c>
      <c r="I164">
        <v>0</v>
      </c>
      <c r="J164" t="s">
        <v>3467</v>
      </c>
      <c r="K164" t="s">
        <v>6380</v>
      </c>
      <c r="L164" t="s">
        <v>90</v>
      </c>
      <c r="M164" t="s">
        <v>5530</v>
      </c>
      <c r="N164" t="s">
        <v>3467</v>
      </c>
      <c r="O164" t="s">
        <v>5797</v>
      </c>
    </row>
    <row r="165" spans="1:15" x14ac:dyDescent="0.25">
      <c r="A165" t="s">
        <v>5325</v>
      </c>
      <c r="B165" t="s">
        <v>3530</v>
      </c>
      <c r="C165" t="s">
        <v>4631</v>
      </c>
      <c r="D165">
        <v>1</v>
      </c>
      <c r="E165" s="8" t="s">
        <v>6846</v>
      </c>
      <c r="F165" t="s">
        <v>6847</v>
      </c>
      <c r="G165" s="8" t="s">
        <v>6848</v>
      </c>
      <c r="H165" t="s">
        <v>6849</v>
      </c>
      <c r="I165">
        <v>1</v>
      </c>
      <c r="J165" t="s">
        <v>3467</v>
      </c>
      <c r="K165" t="s">
        <v>5327</v>
      </c>
      <c r="L165" t="s">
        <v>90</v>
      </c>
      <c r="M165" t="s">
        <v>3467</v>
      </c>
      <c r="N165" t="s">
        <v>3467</v>
      </c>
      <c r="O165" t="s">
        <v>6850</v>
      </c>
    </row>
    <row r="166" spans="1:15" x14ac:dyDescent="0.25">
      <c r="A166" t="s">
        <v>6386</v>
      </c>
      <c r="B166" t="s">
        <v>3530</v>
      </c>
      <c r="C166" t="s">
        <v>5756</v>
      </c>
      <c r="D166" t="s">
        <v>5980</v>
      </c>
      <c r="E166" t="s">
        <v>6851</v>
      </c>
      <c r="F166" t="s">
        <v>6852</v>
      </c>
      <c r="G166" t="s">
        <v>6853</v>
      </c>
      <c r="H166" t="s">
        <v>6854</v>
      </c>
      <c r="I166" t="s">
        <v>5980</v>
      </c>
      <c r="J166" t="s">
        <v>6523</v>
      </c>
      <c r="K166" t="s">
        <v>6386</v>
      </c>
      <c r="L166" t="s">
        <v>90</v>
      </c>
      <c r="M166" t="s">
        <v>3467</v>
      </c>
      <c r="N166" t="s">
        <v>3467</v>
      </c>
      <c r="O166" t="s">
        <v>5893</v>
      </c>
    </row>
    <row r="167" spans="1:15" x14ac:dyDescent="0.25">
      <c r="A167" t="s">
        <v>6389</v>
      </c>
      <c r="B167" t="s">
        <v>3530</v>
      </c>
      <c r="C167" t="s">
        <v>5394</v>
      </c>
      <c r="D167">
        <v>1</v>
      </c>
      <c r="E167" s="8" t="s">
        <v>6390</v>
      </c>
      <c r="F167" t="s">
        <v>6855</v>
      </c>
      <c r="G167" s="8" t="s">
        <v>6390</v>
      </c>
      <c r="H167" t="s">
        <v>6855</v>
      </c>
      <c r="I167">
        <v>0</v>
      </c>
      <c r="J167" t="s">
        <v>3467</v>
      </c>
      <c r="K167" t="s">
        <v>6391</v>
      </c>
      <c r="L167" t="s">
        <v>90</v>
      </c>
      <c r="M167" t="s">
        <v>5530</v>
      </c>
      <c r="N167" t="s">
        <v>3467</v>
      </c>
      <c r="O167" t="s">
        <v>6856</v>
      </c>
    </row>
    <row r="168" spans="1:15" x14ac:dyDescent="0.25">
      <c r="A168" t="s">
        <v>6393</v>
      </c>
      <c r="B168" t="s">
        <v>41</v>
      </c>
      <c r="C168" t="s">
        <v>5756</v>
      </c>
      <c r="D168">
        <v>1</v>
      </c>
      <c r="E168" s="8" t="s">
        <v>6394</v>
      </c>
      <c r="F168" t="s">
        <v>6857</v>
      </c>
      <c r="G168" s="8" t="s">
        <v>6395</v>
      </c>
      <c r="H168" t="s">
        <v>6858</v>
      </c>
      <c r="I168">
        <v>1</v>
      </c>
      <c r="J168" t="s">
        <v>6484</v>
      </c>
      <c r="K168" t="s">
        <v>6396</v>
      </c>
      <c r="L168" t="s">
        <v>90</v>
      </c>
      <c r="M168" t="s">
        <v>3467</v>
      </c>
      <c r="N168" t="s">
        <v>3467</v>
      </c>
      <c r="O168" t="s">
        <v>6253</v>
      </c>
    </row>
    <row r="169" spans="1:15" x14ac:dyDescent="0.25">
      <c r="A169" t="s">
        <v>6397</v>
      </c>
      <c r="B169" t="s">
        <v>4331</v>
      </c>
      <c r="C169" t="s">
        <v>3673</v>
      </c>
      <c r="D169" t="s">
        <v>4031</v>
      </c>
      <c r="E169" s="8" t="s">
        <v>6122</v>
      </c>
      <c r="F169" t="s">
        <v>4249</v>
      </c>
      <c r="G169" s="8" t="s">
        <v>3467</v>
      </c>
      <c r="H169" t="s">
        <v>3467</v>
      </c>
      <c r="I169" t="s">
        <v>3467</v>
      </c>
      <c r="J169" t="s">
        <v>3467</v>
      </c>
      <c r="K169" t="s">
        <v>6397</v>
      </c>
      <c r="L169" t="s">
        <v>90</v>
      </c>
      <c r="M169" t="s">
        <v>3467</v>
      </c>
      <c r="N169" t="s">
        <v>3467</v>
      </c>
      <c r="O169" t="s">
        <v>6493</v>
      </c>
    </row>
    <row r="170" spans="1:15" x14ac:dyDescent="0.25">
      <c r="A170" t="s">
        <v>6398</v>
      </c>
      <c r="B170" t="s">
        <v>3518</v>
      </c>
      <c r="C170" t="s">
        <v>4631</v>
      </c>
      <c r="D170">
        <v>3</v>
      </c>
      <c r="E170" s="8" t="s">
        <v>6859</v>
      </c>
      <c r="F170" t="s">
        <v>6860</v>
      </c>
      <c r="G170" s="8" t="s">
        <v>6861</v>
      </c>
      <c r="H170" t="s">
        <v>6862</v>
      </c>
      <c r="I170" t="s">
        <v>3467</v>
      </c>
      <c r="J170" t="s">
        <v>3467</v>
      </c>
      <c r="K170" t="s">
        <v>6401</v>
      </c>
      <c r="L170" t="s">
        <v>90</v>
      </c>
      <c r="M170" t="s">
        <v>3467</v>
      </c>
      <c r="N170" t="s">
        <v>3467</v>
      </c>
      <c r="O170" t="s">
        <v>5751</v>
      </c>
    </row>
    <row r="171" spans="1:15" x14ac:dyDescent="0.25">
      <c r="A171" t="s">
        <v>6402</v>
      </c>
      <c r="B171" t="s">
        <v>4331</v>
      </c>
      <c r="C171" t="s">
        <v>4279</v>
      </c>
      <c r="D171" t="s">
        <v>4031</v>
      </c>
      <c r="E171" t="s">
        <v>6403</v>
      </c>
      <c r="F171" t="s">
        <v>4249</v>
      </c>
      <c r="G171" t="s">
        <v>3467</v>
      </c>
      <c r="H171" t="s">
        <v>3467</v>
      </c>
      <c r="I171" t="s">
        <v>3467</v>
      </c>
      <c r="J171" t="s">
        <v>3467</v>
      </c>
      <c r="K171" t="s">
        <v>6402</v>
      </c>
      <c r="L171" t="s">
        <v>90</v>
      </c>
      <c r="M171" t="s">
        <v>5497</v>
      </c>
      <c r="N171" t="s">
        <v>3467</v>
      </c>
      <c r="O171" t="s">
        <v>5904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6863</v>
      </c>
      <c r="C1" t="s">
        <v>6864</v>
      </c>
      <c r="D1" t="s">
        <v>3461</v>
      </c>
      <c r="E1" t="s">
        <v>3512</v>
      </c>
      <c r="F1" t="s">
        <v>6865</v>
      </c>
    </row>
    <row r="2" spans="1:6" ht="15" customHeight="1" x14ac:dyDescent="0.25">
      <c r="A2" t="s">
        <v>6866</v>
      </c>
      <c r="B2" t="s">
        <v>4727</v>
      </c>
      <c r="C2" t="s">
        <v>6867</v>
      </c>
      <c r="D2" t="s">
        <v>6868</v>
      </c>
      <c r="E2" t="s">
        <v>6869</v>
      </c>
      <c r="F2" t="s">
        <v>6870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6871</v>
      </c>
      <c r="D1" t="s">
        <v>171</v>
      </c>
      <c r="E1" t="s">
        <v>4483</v>
      </c>
      <c r="F1" t="s">
        <v>6</v>
      </c>
    </row>
    <row r="2" spans="1:6" ht="15" customHeight="1" x14ac:dyDescent="0.25">
      <c r="A2" t="s">
        <v>6872</v>
      </c>
      <c r="B2" t="s">
        <v>6873</v>
      </c>
      <c r="C2" t="s">
        <v>5207</v>
      </c>
      <c r="D2" t="s">
        <v>3673</v>
      </c>
      <c r="E2" t="s">
        <v>3467</v>
      </c>
      <c r="F2" t="s">
        <v>3467</v>
      </c>
    </row>
    <row r="3" spans="1:6" ht="15" customHeight="1" x14ac:dyDescent="0.25">
      <c r="A3" t="s">
        <v>6874</v>
      </c>
      <c r="B3" t="s">
        <v>6875</v>
      </c>
      <c r="C3" t="s">
        <v>6876</v>
      </c>
      <c r="D3" t="s">
        <v>3673</v>
      </c>
      <c r="E3" t="s">
        <v>3467</v>
      </c>
      <c r="F3" t="s">
        <v>3467</v>
      </c>
    </row>
    <row r="4" spans="1:6" ht="15" customHeight="1" x14ac:dyDescent="0.25">
      <c r="A4" t="s">
        <v>6877</v>
      </c>
      <c r="B4" t="s">
        <v>6878</v>
      </c>
      <c r="C4" t="s">
        <v>5210</v>
      </c>
      <c r="D4" t="s">
        <v>6877</v>
      </c>
      <c r="E4" t="s">
        <v>4014</v>
      </c>
      <c r="F4" t="s">
        <v>3518</v>
      </c>
    </row>
    <row r="5" spans="1:6" ht="15" customHeight="1" x14ac:dyDescent="0.25">
      <c r="A5" t="s">
        <v>6879</v>
      </c>
      <c r="B5" t="s">
        <v>6880</v>
      </c>
      <c r="C5" t="s">
        <v>6881</v>
      </c>
      <c r="D5" t="s">
        <v>3528</v>
      </c>
      <c r="E5" t="s">
        <v>4033</v>
      </c>
      <c r="F5" t="s">
        <v>41</v>
      </c>
    </row>
    <row r="6" spans="1:6" ht="15" customHeight="1" x14ac:dyDescent="0.25">
      <c r="A6" t="s">
        <v>6882</v>
      </c>
      <c r="B6" t="s">
        <v>6883</v>
      </c>
      <c r="C6" t="s">
        <v>6881</v>
      </c>
      <c r="D6" t="s">
        <v>3673</v>
      </c>
      <c r="E6" t="s">
        <v>3467</v>
      </c>
      <c r="F6" t="s">
        <v>3530</v>
      </c>
    </row>
    <row r="7" spans="1:6" ht="15" customHeight="1" x14ac:dyDescent="0.25">
      <c r="A7" t="s">
        <v>6884</v>
      </c>
      <c r="B7" t="s">
        <v>6885</v>
      </c>
      <c r="C7" t="s">
        <v>6876</v>
      </c>
      <c r="D7" t="s">
        <v>3673</v>
      </c>
      <c r="E7" t="s">
        <v>3467</v>
      </c>
    </row>
    <row r="8" spans="1:6" ht="15" customHeight="1" x14ac:dyDescent="0.25">
      <c r="A8" t="s">
        <v>6886</v>
      </c>
      <c r="B8" t="s">
        <v>6887</v>
      </c>
      <c r="C8" t="s">
        <v>5207</v>
      </c>
      <c r="D8" t="s">
        <v>3673</v>
      </c>
      <c r="E8" t="s">
        <v>3467</v>
      </c>
      <c r="F8" t="s">
        <v>3467</v>
      </c>
    </row>
    <row r="9" spans="1:6" ht="15" customHeight="1" x14ac:dyDescent="0.25">
      <c r="A9" t="s">
        <v>6888</v>
      </c>
      <c r="B9" t="s">
        <v>6889</v>
      </c>
      <c r="C9" t="s">
        <v>5210</v>
      </c>
      <c r="D9" t="s">
        <v>5756</v>
      </c>
      <c r="E9" t="s">
        <v>4014</v>
      </c>
      <c r="F9" t="s">
        <v>41</v>
      </c>
    </row>
    <row r="10" spans="1:6" ht="15" customHeight="1" x14ac:dyDescent="0.25">
      <c r="A10" t="s">
        <v>6890</v>
      </c>
      <c r="B10" t="s">
        <v>6891</v>
      </c>
      <c r="C10" t="s">
        <v>6876</v>
      </c>
      <c r="D10" t="s">
        <v>3673</v>
      </c>
      <c r="E10" t="s">
        <v>5057</v>
      </c>
      <c r="F10" t="s">
        <v>41</v>
      </c>
    </row>
    <row r="11" spans="1:6" ht="15" customHeight="1" x14ac:dyDescent="0.25">
      <c r="A11" t="s">
        <v>6892</v>
      </c>
      <c r="B11" t="s">
        <v>6893</v>
      </c>
      <c r="C11" t="s">
        <v>6881</v>
      </c>
      <c r="D11" t="s">
        <v>3449</v>
      </c>
      <c r="E11" t="s">
        <v>3467</v>
      </c>
      <c r="F11" t="s">
        <v>3530</v>
      </c>
    </row>
    <row r="12" spans="1:6" ht="15" customHeight="1" x14ac:dyDescent="0.25">
      <c r="A12" t="s">
        <v>6894</v>
      </c>
      <c r="B12" t="s">
        <v>6895</v>
      </c>
      <c r="C12" t="s">
        <v>5210</v>
      </c>
      <c r="D12" t="s">
        <v>3673</v>
      </c>
      <c r="E12" t="s">
        <v>5057</v>
      </c>
      <c r="F12" t="s">
        <v>41</v>
      </c>
    </row>
    <row r="13" spans="1:6" ht="15" customHeight="1" x14ac:dyDescent="0.25">
      <c r="A13" t="s">
        <v>6896</v>
      </c>
      <c r="B13" t="s">
        <v>6897</v>
      </c>
      <c r="C13" t="s">
        <v>6876</v>
      </c>
      <c r="D13" t="s">
        <v>3673</v>
      </c>
      <c r="E13" t="s">
        <v>3467</v>
      </c>
      <c r="F13" t="s">
        <v>3467</v>
      </c>
    </row>
    <row r="14" spans="1:6" ht="15" customHeight="1" x14ac:dyDescent="0.25">
      <c r="A14" t="s">
        <v>6898</v>
      </c>
      <c r="B14" t="s">
        <v>6899</v>
      </c>
      <c r="C14" t="s">
        <v>6876</v>
      </c>
      <c r="D14" t="s">
        <v>3673</v>
      </c>
      <c r="E14" t="s">
        <v>3467</v>
      </c>
      <c r="F14" t="s">
        <v>3467</v>
      </c>
    </row>
    <row r="15" spans="1:6" ht="15" customHeight="1" x14ac:dyDescent="0.25">
      <c r="A15" t="s">
        <v>6900</v>
      </c>
      <c r="B15" t="s">
        <v>6901</v>
      </c>
      <c r="C15" t="s">
        <v>5210</v>
      </c>
      <c r="D15" t="s">
        <v>5756</v>
      </c>
      <c r="E15" t="s">
        <v>6902</v>
      </c>
      <c r="F15" t="s">
        <v>3518</v>
      </c>
    </row>
    <row r="16" spans="1:6" ht="15" customHeight="1" x14ac:dyDescent="0.25">
      <c r="A16" t="s">
        <v>6903</v>
      </c>
      <c r="B16" t="s">
        <v>6904</v>
      </c>
      <c r="C16" t="s">
        <v>6876</v>
      </c>
      <c r="D16" t="s">
        <v>6903</v>
      </c>
      <c r="E16" t="s">
        <v>3467</v>
      </c>
      <c r="F16" t="s">
        <v>41</v>
      </c>
    </row>
    <row r="17" spans="1:6" ht="15" customHeight="1" x14ac:dyDescent="0.25">
      <c r="A17" t="s">
        <v>6194</v>
      </c>
      <c r="B17" t="s">
        <v>6905</v>
      </c>
      <c r="C17" t="s">
        <v>6876</v>
      </c>
      <c r="D17" t="s">
        <v>3673</v>
      </c>
      <c r="E17" t="s">
        <v>4014</v>
      </c>
      <c r="F17" t="s">
        <v>3467</v>
      </c>
    </row>
    <row r="18" spans="1:6" ht="15" customHeight="1" x14ac:dyDescent="0.25">
      <c r="A18" t="s">
        <v>5709</v>
      </c>
      <c r="B18" t="s">
        <v>6906</v>
      </c>
      <c r="C18" t="s">
        <v>6876</v>
      </c>
      <c r="D18" t="s">
        <v>3673</v>
      </c>
      <c r="E18" t="s">
        <v>5057</v>
      </c>
      <c r="F18" t="s">
        <v>3518</v>
      </c>
    </row>
    <row r="19" spans="1:6" ht="15" customHeight="1" x14ac:dyDescent="0.25">
      <c r="A19" t="s">
        <v>6907</v>
      </c>
      <c r="B19" t="s">
        <v>6908</v>
      </c>
      <c r="C19" t="s">
        <v>6876</v>
      </c>
      <c r="D19" t="s">
        <v>3673</v>
      </c>
      <c r="E19" t="s">
        <v>3467</v>
      </c>
      <c r="F19" t="s">
        <v>3467</v>
      </c>
    </row>
    <row r="20" spans="1:6" ht="15" customHeight="1" x14ac:dyDescent="0.25">
      <c r="A20" t="s">
        <v>6909</v>
      </c>
      <c r="B20" t="s">
        <v>6910</v>
      </c>
      <c r="C20" t="s">
        <v>5207</v>
      </c>
      <c r="D20" t="s">
        <v>3673</v>
      </c>
      <c r="E20" t="s">
        <v>3467</v>
      </c>
      <c r="F20" t="s">
        <v>3467</v>
      </c>
    </row>
    <row r="21" spans="1:6" ht="15" customHeight="1" x14ac:dyDescent="0.25">
      <c r="A21" t="s">
        <v>6911</v>
      </c>
      <c r="B21" t="s">
        <v>6912</v>
      </c>
      <c r="C21" t="s">
        <v>6881</v>
      </c>
      <c r="D21" t="s">
        <v>6911</v>
      </c>
      <c r="E21" t="s">
        <v>6902</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5732</v>
      </c>
      <c r="C1" t="s">
        <v>6</v>
      </c>
      <c r="D1" t="s">
        <v>3461</v>
      </c>
      <c r="E1" t="s">
        <v>6411</v>
      </c>
      <c r="F1" t="s">
        <v>6913</v>
      </c>
      <c r="G1" t="s">
        <v>1</v>
      </c>
      <c r="H1" t="s">
        <v>6412</v>
      </c>
      <c r="I1" t="s">
        <v>171</v>
      </c>
    </row>
    <row r="2" spans="1:9" ht="15" customHeight="1" x14ac:dyDescent="0.25">
      <c r="A2" t="s">
        <v>6914</v>
      </c>
      <c r="B2">
        <v>6</v>
      </c>
      <c r="C2" t="s">
        <v>3518</v>
      </c>
      <c r="D2" t="s">
        <v>6915</v>
      </c>
      <c r="E2" t="s">
        <v>3467</v>
      </c>
      <c r="F2" t="s">
        <v>4031</v>
      </c>
      <c r="G2" t="s">
        <v>2362</v>
      </c>
      <c r="H2" t="s">
        <v>5420</v>
      </c>
      <c r="I2" t="s">
        <v>6914</v>
      </c>
    </row>
    <row r="3" spans="1:9" ht="15" customHeight="1" x14ac:dyDescent="0.25">
      <c r="A3" t="s">
        <v>6916</v>
      </c>
      <c r="B3">
        <v>3</v>
      </c>
      <c r="C3" t="s">
        <v>3530</v>
      </c>
      <c r="D3" t="s">
        <v>6917</v>
      </c>
      <c r="E3" t="s">
        <v>3467</v>
      </c>
      <c r="F3" t="s">
        <v>187</v>
      </c>
      <c r="G3" t="s">
        <v>2362</v>
      </c>
      <c r="H3" t="s">
        <v>3467</v>
      </c>
      <c r="I3" t="s">
        <v>6916</v>
      </c>
    </row>
    <row r="4" spans="1:9" ht="15" customHeight="1" x14ac:dyDescent="0.25">
      <c r="A4" t="s">
        <v>6918</v>
      </c>
      <c r="B4">
        <v>3</v>
      </c>
      <c r="C4" t="s">
        <v>3518</v>
      </c>
      <c r="D4" t="s">
        <v>6919</v>
      </c>
      <c r="E4" t="s">
        <v>5448</v>
      </c>
      <c r="F4" t="s">
        <v>187</v>
      </c>
      <c r="G4" t="s">
        <v>2362</v>
      </c>
      <c r="H4" t="s">
        <v>3467</v>
      </c>
      <c r="I4" t="s">
        <v>6918</v>
      </c>
    </row>
    <row r="5" spans="1:9" ht="15" customHeight="1" x14ac:dyDescent="0.25">
      <c r="A5" t="s">
        <v>6920</v>
      </c>
      <c r="B5">
        <v>6</v>
      </c>
      <c r="C5" t="s">
        <v>3518</v>
      </c>
      <c r="D5" t="s">
        <v>6921</v>
      </c>
      <c r="E5" t="s">
        <v>3467</v>
      </c>
      <c r="F5" t="s">
        <v>187</v>
      </c>
      <c r="G5" t="s">
        <v>2362</v>
      </c>
      <c r="H5" t="s">
        <v>4295</v>
      </c>
      <c r="I5" t="s">
        <v>6920</v>
      </c>
    </row>
    <row r="6" spans="1:9" ht="15" customHeight="1" x14ac:dyDescent="0.25">
      <c r="A6" t="s">
        <v>4036</v>
      </c>
      <c r="B6">
        <v>1</v>
      </c>
      <c r="C6" t="s">
        <v>3530</v>
      </c>
      <c r="D6" t="s">
        <v>6922</v>
      </c>
      <c r="E6" t="s">
        <v>3467</v>
      </c>
      <c r="F6" t="s">
        <v>187</v>
      </c>
      <c r="G6" t="s">
        <v>2362</v>
      </c>
      <c r="H6" t="s">
        <v>4295</v>
      </c>
      <c r="I6" t="s">
        <v>4036</v>
      </c>
    </row>
    <row r="7" spans="1:9" ht="15" customHeight="1" x14ac:dyDescent="0.25">
      <c r="A7" t="s">
        <v>6923</v>
      </c>
      <c r="B7">
        <v>3</v>
      </c>
      <c r="C7" t="s">
        <v>3518</v>
      </c>
      <c r="D7" t="s">
        <v>6924</v>
      </c>
      <c r="E7" t="s">
        <v>3467</v>
      </c>
      <c r="F7" t="s">
        <v>187</v>
      </c>
      <c r="G7" t="s">
        <v>2362</v>
      </c>
      <c r="H7" t="s">
        <v>3467</v>
      </c>
      <c r="I7" t="s">
        <v>6923</v>
      </c>
    </row>
    <row r="8" spans="1:9" ht="15" customHeight="1" x14ac:dyDescent="0.25">
      <c r="A8" t="s">
        <v>6925</v>
      </c>
      <c r="B8">
        <v>1</v>
      </c>
      <c r="C8" t="s">
        <v>3530</v>
      </c>
      <c r="D8" t="s">
        <v>6926</v>
      </c>
      <c r="E8" t="s">
        <v>5446</v>
      </c>
      <c r="F8" t="s">
        <v>187</v>
      </c>
      <c r="G8" t="s">
        <v>2362</v>
      </c>
      <c r="H8" t="s">
        <v>3467</v>
      </c>
      <c r="I8" t="s">
        <v>6925</v>
      </c>
    </row>
    <row r="9" spans="1:9" ht="15" customHeight="1" x14ac:dyDescent="0.25">
      <c r="A9" t="s">
        <v>6927</v>
      </c>
      <c r="B9">
        <v>2</v>
      </c>
      <c r="C9" t="s">
        <v>41</v>
      </c>
      <c r="D9" t="s">
        <v>4592</v>
      </c>
      <c r="E9" t="s">
        <v>5463</v>
      </c>
      <c r="F9" t="s">
        <v>4031</v>
      </c>
      <c r="G9" t="s">
        <v>2362</v>
      </c>
      <c r="H9" t="s">
        <v>3467</v>
      </c>
      <c r="I9" t="s">
        <v>6927</v>
      </c>
    </row>
    <row r="10" spans="1:9" ht="15" customHeight="1" x14ac:dyDescent="0.25">
      <c r="A10" t="s">
        <v>6928</v>
      </c>
      <c r="B10">
        <v>1</v>
      </c>
      <c r="C10" t="s">
        <v>3518</v>
      </c>
      <c r="D10" t="s">
        <v>6929</v>
      </c>
      <c r="E10" t="s">
        <v>5446</v>
      </c>
      <c r="F10" t="s">
        <v>4031</v>
      </c>
      <c r="G10" t="s">
        <v>2362</v>
      </c>
      <c r="H10" t="s">
        <v>5417</v>
      </c>
      <c r="I10" t="s">
        <v>6928</v>
      </c>
    </row>
    <row r="11" spans="1:9" ht="15" customHeight="1" x14ac:dyDescent="0.25">
      <c r="A11" t="s">
        <v>6930</v>
      </c>
      <c r="B11">
        <v>15</v>
      </c>
      <c r="C11" t="s">
        <v>3518</v>
      </c>
      <c r="D11" t="s">
        <v>6931</v>
      </c>
      <c r="E11" t="s">
        <v>3467</v>
      </c>
      <c r="F11" t="s">
        <v>4031</v>
      </c>
      <c r="G11" t="s">
        <v>2362</v>
      </c>
      <c r="H11" t="s">
        <v>5420</v>
      </c>
      <c r="I11" t="s">
        <v>6930</v>
      </c>
    </row>
    <row r="12" spans="1:9" ht="15" customHeight="1" x14ac:dyDescent="0.25">
      <c r="A12" t="s">
        <v>6932</v>
      </c>
      <c r="B12">
        <v>2</v>
      </c>
      <c r="C12" t="s">
        <v>41</v>
      </c>
      <c r="D12" t="s">
        <v>6933</v>
      </c>
      <c r="E12" t="s">
        <v>3467</v>
      </c>
      <c r="F12" t="s">
        <v>4031</v>
      </c>
      <c r="G12" t="s">
        <v>2362</v>
      </c>
      <c r="H12" t="s">
        <v>5417</v>
      </c>
      <c r="I12" t="s">
        <v>6932</v>
      </c>
    </row>
    <row r="13" spans="1:9" ht="15" customHeight="1" x14ac:dyDescent="0.25">
      <c r="A13" t="s">
        <v>6934</v>
      </c>
      <c r="B13">
        <v>3</v>
      </c>
      <c r="C13" t="s">
        <v>3518</v>
      </c>
      <c r="D13" t="s">
        <v>6935</v>
      </c>
      <c r="E13" t="s">
        <v>3467</v>
      </c>
      <c r="F13" t="s">
        <v>187</v>
      </c>
      <c r="G13" t="s">
        <v>2362</v>
      </c>
      <c r="H13" t="s">
        <v>5288</v>
      </c>
      <c r="I13" t="s">
        <v>6934</v>
      </c>
    </row>
    <row r="14" spans="1:9" ht="15" customHeight="1" x14ac:dyDescent="0.25">
      <c r="A14" t="s">
        <v>6936</v>
      </c>
      <c r="B14">
        <v>1</v>
      </c>
      <c r="C14" t="s">
        <v>41</v>
      </c>
      <c r="D14" t="s">
        <v>6937</v>
      </c>
      <c r="E14" t="s">
        <v>5446</v>
      </c>
      <c r="F14" t="s">
        <v>187</v>
      </c>
      <c r="G14" t="s">
        <v>2362</v>
      </c>
      <c r="H14" t="s">
        <v>3467</v>
      </c>
      <c r="I14" t="s">
        <v>6936</v>
      </c>
    </row>
    <row r="15" spans="1:9" ht="15" customHeight="1" x14ac:dyDescent="0.25">
      <c r="A15" t="s">
        <v>6938</v>
      </c>
      <c r="B15">
        <v>2</v>
      </c>
      <c r="C15" t="s">
        <v>41</v>
      </c>
      <c r="D15" t="s">
        <v>6939</v>
      </c>
      <c r="E15" t="s">
        <v>5493</v>
      </c>
      <c r="F15" t="s">
        <v>187</v>
      </c>
      <c r="G15" t="s">
        <v>2362</v>
      </c>
      <c r="H15" t="s">
        <v>5423</v>
      </c>
      <c r="I15" t="s">
        <v>6938</v>
      </c>
    </row>
    <row r="16" spans="1:9" ht="15" customHeight="1" x14ac:dyDescent="0.25">
      <c r="A16" t="s">
        <v>6940</v>
      </c>
      <c r="B16">
        <v>2</v>
      </c>
      <c r="C16" t="s">
        <v>41</v>
      </c>
      <c r="D16" t="s">
        <v>6941</v>
      </c>
      <c r="E16" t="s">
        <v>5493</v>
      </c>
      <c r="F16" t="s">
        <v>187</v>
      </c>
      <c r="G16" t="s">
        <v>2362</v>
      </c>
      <c r="H16" t="s">
        <v>5423</v>
      </c>
      <c r="I16" t="s">
        <v>6940</v>
      </c>
    </row>
    <row r="17" spans="1:9" ht="15" customHeight="1" x14ac:dyDescent="0.25">
      <c r="A17" t="s">
        <v>6942</v>
      </c>
      <c r="B17">
        <v>3</v>
      </c>
      <c r="C17" t="s">
        <v>3530</v>
      </c>
      <c r="D17" t="s">
        <v>6943</v>
      </c>
      <c r="E17" t="s">
        <v>3467</v>
      </c>
      <c r="F17" t="s">
        <v>187</v>
      </c>
      <c r="G17" t="s">
        <v>2362</v>
      </c>
      <c r="H17" t="s">
        <v>5432</v>
      </c>
      <c r="I17" t="s">
        <v>6942</v>
      </c>
    </row>
    <row r="18" spans="1:9" ht="15" customHeight="1" x14ac:dyDescent="0.25">
      <c r="A18" t="s">
        <v>6944</v>
      </c>
      <c r="B18">
        <v>3</v>
      </c>
      <c r="C18" t="s">
        <v>41</v>
      </c>
      <c r="D18" t="s">
        <v>6945</v>
      </c>
      <c r="E18" t="s">
        <v>5493</v>
      </c>
      <c r="F18" t="s">
        <v>187</v>
      </c>
      <c r="G18" t="s">
        <v>2362</v>
      </c>
      <c r="H18" t="s">
        <v>4295</v>
      </c>
      <c r="I18" t="s">
        <v>6944</v>
      </c>
    </row>
    <row r="19" spans="1:9" ht="15" customHeight="1" x14ac:dyDescent="0.25">
      <c r="A19" t="s">
        <v>6946</v>
      </c>
      <c r="B19">
        <v>4</v>
      </c>
      <c r="C19" t="s">
        <v>41</v>
      </c>
      <c r="D19" t="s">
        <v>6947</v>
      </c>
      <c r="E19" t="s">
        <v>5441</v>
      </c>
      <c r="F19" t="s">
        <v>187</v>
      </c>
      <c r="G19" t="s">
        <v>2362</v>
      </c>
      <c r="H19" t="s">
        <v>5423</v>
      </c>
      <c r="I19" t="s">
        <v>6946</v>
      </c>
    </row>
    <row r="20" spans="1:9" ht="15" customHeight="1" x14ac:dyDescent="0.25">
      <c r="A20" t="s">
        <v>6948</v>
      </c>
      <c r="B20">
        <v>2</v>
      </c>
      <c r="C20" t="s">
        <v>3530</v>
      </c>
      <c r="D20" t="s">
        <v>6949</v>
      </c>
      <c r="E20" t="s">
        <v>5446</v>
      </c>
      <c r="F20" t="s">
        <v>4031</v>
      </c>
      <c r="G20" t="s">
        <v>2362</v>
      </c>
      <c r="H20" t="s">
        <v>5425</v>
      </c>
      <c r="I20" t="s">
        <v>6948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6950</v>
      </c>
      <c r="D1" t="s">
        <v>1</v>
      </c>
      <c r="E1" t="s">
        <v>7</v>
      </c>
    </row>
    <row r="2" spans="1:5" ht="15" customHeight="1" x14ac:dyDescent="0.25">
      <c r="A2" t="s">
        <v>6951</v>
      </c>
      <c r="B2" t="s">
        <v>41</v>
      </c>
      <c r="C2" t="s">
        <v>4409</v>
      </c>
      <c r="D2" t="s">
        <v>1295</v>
      </c>
      <c r="E2" t="s">
        <v>6952</v>
      </c>
    </row>
    <row r="3" spans="1:5" ht="15" customHeight="1" x14ac:dyDescent="0.25">
      <c r="A3" t="s">
        <v>6953</v>
      </c>
      <c r="B3" t="s">
        <v>3530</v>
      </c>
      <c r="C3" t="s">
        <v>4409</v>
      </c>
      <c r="D3" t="s">
        <v>1295</v>
      </c>
      <c r="E3" t="s">
        <v>6954</v>
      </c>
    </row>
    <row r="4" spans="1:5" ht="15" customHeight="1" x14ac:dyDescent="0.25">
      <c r="A4" t="s">
        <v>6955</v>
      </c>
      <c r="B4" t="s">
        <v>3518</v>
      </c>
      <c r="C4" t="s">
        <v>4409</v>
      </c>
      <c r="D4" t="s">
        <v>1295</v>
      </c>
      <c r="E4" t="s">
        <v>6956</v>
      </c>
    </row>
    <row r="5" spans="1:5" ht="15" customHeight="1" x14ac:dyDescent="0.25">
      <c r="A5" t="s">
        <v>6957</v>
      </c>
      <c r="B5" t="s">
        <v>41</v>
      </c>
      <c r="C5" t="s">
        <v>4407</v>
      </c>
      <c r="D5" t="s">
        <v>1295</v>
      </c>
      <c r="E5" t="s">
        <v>6958</v>
      </c>
    </row>
    <row r="6" spans="1:5" ht="15" customHeight="1" x14ac:dyDescent="0.25">
      <c r="A6" t="s">
        <v>6959</v>
      </c>
      <c r="B6" t="s">
        <v>3530</v>
      </c>
      <c r="C6" t="s">
        <v>4407</v>
      </c>
      <c r="D6" t="s">
        <v>1295</v>
      </c>
      <c r="E6" t="s">
        <v>6960</v>
      </c>
    </row>
    <row r="7" spans="1:5" ht="15" customHeight="1" x14ac:dyDescent="0.25">
      <c r="A7" t="s">
        <v>6961</v>
      </c>
      <c r="B7" t="s">
        <v>3518</v>
      </c>
      <c r="C7" t="s">
        <v>4407</v>
      </c>
      <c r="D7" t="s">
        <v>1295</v>
      </c>
      <c r="E7" t="s">
        <v>6962</v>
      </c>
    </row>
    <row r="8" spans="1:5" ht="15" customHeight="1" x14ac:dyDescent="0.25">
      <c r="A8" t="s">
        <v>6963</v>
      </c>
      <c r="B8" t="s">
        <v>41</v>
      </c>
      <c r="C8" t="s">
        <v>4416</v>
      </c>
      <c r="D8" t="s">
        <v>1295</v>
      </c>
      <c r="E8" t="s">
        <v>6964</v>
      </c>
    </row>
    <row r="9" spans="1:5" ht="15" customHeight="1" x14ac:dyDescent="0.25">
      <c r="A9" t="s">
        <v>6965</v>
      </c>
      <c r="B9" t="s">
        <v>3530</v>
      </c>
      <c r="C9" t="s">
        <v>4416</v>
      </c>
      <c r="D9" t="s">
        <v>1295</v>
      </c>
      <c r="E9" t="s">
        <v>6966</v>
      </c>
    </row>
    <row r="10" spans="1:5" ht="15" customHeight="1" x14ac:dyDescent="0.25">
      <c r="A10" t="s">
        <v>6967</v>
      </c>
      <c r="B10" t="s">
        <v>3518</v>
      </c>
      <c r="C10" t="s">
        <v>4416</v>
      </c>
      <c r="D10" t="s">
        <v>1295</v>
      </c>
      <c r="E10" t="s">
        <v>6968</v>
      </c>
    </row>
    <row r="11" spans="1:5" ht="15" customHeight="1" x14ac:dyDescent="0.25">
      <c r="A11" t="s">
        <v>6969</v>
      </c>
      <c r="B11" t="s">
        <v>41</v>
      </c>
      <c r="C11" t="s">
        <v>4398</v>
      </c>
      <c r="D11" t="s">
        <v>1295</v>
      </c>
      <c r="E11" t="s">
        <v>6970</v>
      </c>
    </row>
    <row r="12" spans="1:5" ht="15" customHeight="1" x14ac:dyDescent="0.25">
      <c r="A12" t="s">
        <v>6971</v>
      </c>
      <c r="B12" t="s">
        <v>3530</v>
      </c>
      <c r="C12" t="s">
        <v>4398</v>
      </c>
      <c r="D12" t="s">
        <v>1295</v>
      </c>
      <c r="E12" t="s">
        <v>6972</v>
      </c>
    </row>
    <row r="13" spans="1:5" ht="15" customHeight="1" x14ac:dyDescent="0.25">
      <c r="A13" t="s">
        <v>6973</v>
      </c>
      <c r="B13" t="s">
        <v>3518</v>
      </c>
      <c r="C13" t="s">
        <v>4398</v>
      </c>
      <c r="D13" t="s">
        <v>1295</v>
      </c>
      <c r="E13" t="s">
        <v>6974</v>
      </c>
    </row>
    <row r="14" spans="1:5" ht="15" customHeight="1" x14ac:dyDescent="0.25">
      <c r="A14" t="s">
        <v>6975</v>
      </c>
      <c r="B14" t="s">
        <v>41</v>
      </c>
      <c r="C14" t="s">
        <v>4423</v>
      </c>
      <c r="D14" t="s">
        <v>1295</v>
      </c>
      <c r="E14" t="s">
        <v>6976</v>
      </c>
    </row>
    <row r="15" spans="1:5" ht="15" customHeight="1" x14ac:dyDescent="0.25">
      <c r="A15" t="s">
        <v>6977</v>
      </c>
      <c r="B15" t="s">
        <v>3530</v>
      </c>
      <c r="C15" t="s">
        <v>4423</v>
      </c>
      <c r="D15" t="s">
        <v>1295</v>
      </c>
      <c r="E15" t="s">
        <v>6978</v>
      </c>
    </row>
    <row r="16" spans="1:5" ht="15" customHeight="1" x14ac:dyDescent="0.25">
      <c r="A16" t="s">
        <v>6979</v>
      </c>
      <c r="B16" t="s">
        <v>3518</v>
      </c>
      <c r="C16" t="s">
        <v>4423</v>
      </c>
      <c r="D16" t="s">
        <v>1295</v>
      </c>
      <c r="E16" t="s">
        <v>6980</v>
      </c>
    </row>
    <row r="17" spans="1:5" ht="15" customHeight="1" x14ac:dyDescent="0.25">
      <c r="A17" t="s">
        <v>6981</v>
      </c>
      <c r="B17" t="s">
        <v>41</v>
      </c>
      <c r="C17" t="s">
        <v>4430</v>
      </c>
      <c r="D17" t="s">
        <v>1295</v>
      </c>
      <c r="E17" t="s">
        <v>6982</v>
      </c>
    </row>
    <row r="18" spans="1:5" ht="15" customHeight="1" x14ac:dyDescent="0.25">
      <c r="A18" t="s">
        <v>6983</v>
      </c>
      <c r="B18" t="s">
        <v>3530</v>
      </c>
      <c r="C18" t="s">
        <v>4430</v>
      </c>
      <c r="D18" t="s">
        <v>1295</v>
      </c>
      <c r="E18" t="s">
        <v>6984</v>
      </c>
    </row>
    <row r="19" spans="1:5" ht="15" customHeight="1" x14ac:dyDescent="0.25">
      <c r="A19" t="s">
        <v>6985</v>
      </c>
      <c r="B19" t="s">
        <v>3518</v>
      </c>
      <c r="C19" t="s">
        <v>4430</v>
      </c>
      <c r="D19" t="s">
        <v>1295</v>
      </c>
      <c r="E19" t="s">
        <v>6986</v>
      </c>
    </row>
    <row r="20" spans="1:5" ht="15" customHeight="1" x14ac:dyDescent="0.25">
      <c r="A20" t="s">
        <v>6987</v>
      </c>
      <c r="B20" t="s">
        <v>41</v>
      </c>
      <c r="C20" t="s">
        <v>4430</v>
      </c>
      <c r="D20" t="s">
        <v>709</v>
      </c>
      <c r="E20" t="s">
        <v>6988</v>
      </c>
    </row>
    <row r="21" spans="1:5" ht="15" customHeight="1" x14ac:dyDescent="0.25">
      <c r="A21" t="s">
        <v>6989</v>
      </c>
      <c r="B21" t="s">
        <v>41</v>
      </c>
      <c r="C21" t="s">
        <v>4430</v>
      </c>
      <c r="D21" t="s">
        <v>709</v>
      </c>
      <c r="E21" t="s">
        <v>6990</v>
      </c>
    </row>
    <row r="22" spans="1:5" ht="15" customHeight="1" x14ac:dyDescent="0.25">
      <c r="A22" t="s">
        <v>6991</v>
      </c>
      <c r="B22" t="s">
        <v>3530</v>
      </c>
      <c r="C22" t="s">
        <v>4430</v>
      </c>
      <c r="D22" t="s">
        <v>709</v>
      </c>
      <c r="E22" t="s">
        <v>6992</v>
      </c>
    </row>
    <row r="23" spans="1:5" ht="15" customHeight="1" x14ac:dyDescent="0.25">
      <c r="A23" t="s">
        <v>6993</v>
      </c>
      <c r="B23" t="s">
        <v>3530</v>
      </c>
      <c r="C23" t="s">
        <v>4430</v>
      </c>
      <c r="D23" t="s">
        <v>709</v>
      </c>
      <c r="E23" t="s">
        <v>6994</v>
      </c>
    </row>
    <row r="24" spans="1:5" ht="15" customHeight="1" x14ac:dyDescent="0.25">
      <c r="A24" t="s">
        <v>6995</v>
      </c>
      <c r="B24" t="s">
        <v>3518</v>
      </c>
      <c r="C24" t="s">
        <v>4430</v>
      </c>
      <c r="D24" t="s">
        <v>709</v>
      </c>
      <c r="E24" t="s">
        <v>6996</v>
      </c>
    </row>
    <row r="25" spans="1:5" ht="15" customHeight="1" x14ac:dyDescent="0.25">
      <c r="A25" t="s">
        <v>6997</v>
      </c>
      <c r="B25" t="s">
        <v>3518</v>
      </c>
      <c r="C25" t="s">
        <v>4430</v>
      </c>
      <c r="D25" t="s">
        <v>709</v>
      </c>
      <c r="E25" t="s">
        <v>6998</v>
      </c>
    </row>
    <row r="26" spans="1:5" ht="15" customHeight="1" x14ac:dyDescent="0.25">
      <c r="A26" t="s">
        <v>6999</v>
      </c>
      <c r="B26" t="s">
        <v>3518</v>
      </c>
      <c r="C26" t="s">
        <v>4430</v>
      </c>
      <c r="D26" t="s">
        <v>709</v>
      </c>
      <c r="E26" t="s">
        <v>7000</v>
      </c>
    </row>
    <row r="27" spans="1:5" ht="15" customHeight="1" x14ac:dyDescent="0.25">
      <c r="A27" t="s">
        <v>7001</v>
      </c>
      <c r="B27" t="s">
        <v>3518</v>
      </c>
      <c r="C27" t="s">
        <v>4430</v>
      </c>
      <c r="D27" t="s">
        <v>709</v>
      </c>
      <c r="E27" t="s">
        <v>7002</v>
      </c>
    </row>
    <row r="28" spans="1:5" ht="15" customHeight="1" x14ac:dyDescent="0.25">
      <c r="A28" t="s">
        <v>7003</v>
      </c>
      <c r="B28" t="s">
        <v>3518</v>
      </c>
      <c r="C28" t="s">
        <v>4430</v>
      </c>
      <c r="D28" t="s">
        <v>709</v>
      </c>
      <c r="E28" t="s">
        <v>7004</v>
      </c>
    </row>
    <row r="29" spans="1:5" ht="15" customHeight="1" x14ac:dyDescent="0.25">
      <c r="A29" t="s">
        <v>7005</v>
      </c>
      <c r="B29" t="s">
        <v>3530</v>
      </c>
      <c r="C29" t="s">
        <v>4407</v>
      </c>
      <c r="D29" t="s">
        <v>919</v>
      </c>
      <c r="E29" t="s">
        <v>7006</v>
      </c>
    </row>
    <row r="30" spans="1:5" ht="15" customHeight="1" x14ac:dyDescent="0.25">
      <c r="A30" t="s">
        <v>7007</v>
      </c>
      <c r="B30" t="s">
        <v>3530</v>
      </c>
      <c r="C30" t="s">
        <v>7008</v>
      </c>
      <c r="D30" t="s">
        <v>919</v>
      </c>
      <c r="E30" t="s">
        <v>7009</v>
      </c>
    </row>
    <row r="31" spans="1:5" ht="15" customHeight="1" x14ac:dyDescent="0.25">
      <c r="A31" t="s">
        <v>7010</v>
      </c>
      <c r="B31" t="s">
        <v>41</v>
      </c>
      <c r="C31" t="s">
        <v>4436</v>
      </c>
      <c r="D31" t="s">
        <v>919</v>
      </c>
      <c r="E31" t="s">
        <v>7011</v>
      </c>
    </row>
    <row r="32" spans="1:5" ht="15" customHeight="1" x14ac:dyDescent="0.25">
      <c r="A32" t="s">
        <v>7012</v>
      </c>
      <c r="B32" t="s">
        <v>3518</v>
      </c>
      <c r="C32" t="s">
        <v>4430</v>
      </c>
      <c r="D32" t="s">
        <v>919</v>
      </c>
      <c r="E32" t="s">
        <v>7013</v>
      </c>
    </row>
    <row r="33" spans="1:5" ht="15" customHeight="1" x14ac:dyDescent="0.25">
      <c r="A33" t="s">
        <v>7014</v>
      </c>
      <c r="B33" t="s">
        <v>41</v>
      </c>
      <c r="C33" t="s">
        <v>4436</v>
      </c>
      <c r="D33" t="s">
        <v>919</v>
      </c>
      <c r="E33" t="s">
        <v>7015</v>
      </c>
    </row>
    <row r="34" spans="1:5" ht="15" customHeight="1" x14ac:dyDescent="0.25">
      <c r="A34" t="s">
        <v>7016</v>
      </c>
      <c r="B34" t="s">
        <v>3530</v>
      </c>
      <c r="C34" t="s">
        <v>4430</v>
      </c>
      <c r="D34" t="s">
        <v>919</v>
      </c>
      <c r="E34" t="s">
        <v>7017</v>
      </c>
    </row>
    <row r="35" spans="1:5" ht="15" customHeight="1" x14ac:dyDescent="0.25">
      <c r="A35" t="s">
        <v>7018</v>
      </c>
      <c r="B35" t="s">
        <v>41</v>
      </c>
      <c r="C35" t="s">
        <v>4430</v>
      </c>
      <c r="D35" t="s">
        <v>919</v>
      </c>
      <c r="E35" t="s">
        <v>7019</v>
      </c>
    </row>
    <row r="36" spans="1:5" ht="15" customHeight="1" x14ac:dyDescent="0.25">
      <c r="A36" t="s">
        <v>7020</v>
      </c>
      <c r="B36" t="s">
        <v>41</v>
      </c>
      <c r="C36" t="s">
        <v>4430</v>
      </c>
      <c r="D36" t="s">
        <v>919</v>
      </c>
      <c r="E36" t="s">
        <v>7021</v>
      </c>
    </row>
    <row r="37" spans="1:5" ht="15" customHeight="1" x14ac:dyDescent="0.25">
      <c r="A37" t="s">
        <v>7022</v>
      </c>
      <c r="B37" t="s">
        <v>41</v>
      </c>
      <c r="C37" t="s">
        <v>4409</v>
      </c>
      <c r="D37" t="s">
        <v>1299</v>
      </c>
      <c r="E37" t="s">
        <v>7023</v>
      </c>
    </row>
    <row r="38" spans="1:5" ht="15" customHeight="1" x14ac:dyDescent="0.25">
      <c r="A38" t="s">
        <v>7024</v>
      </c>
      <c r="B38" t="s">
        <v>3530</v>
      </c>
      <c r="C38" t="s">
        <v>4409</v>
      </c>
      <c r="D38" t="s">
        <v>1299</v>
      </c>
      <c r="E38" t="s">
        <v>7025</v>
      </c>
    </row>
    <row r="39" spans="1:5" ht="15" customHeight="1" x14ac:dyDescent="0.25">
      <c r="A39" t="s">
        <v>7026</v>
      </c>
      <c r="B39" t="s">
        <v>3518</v>
      </c>
      <c r="C39" t="s">
        <v>4409</v>
      </c>
      <c r="D39" t="s">
        <v>1299</v>
      </c>
      <c r="E39" t="s">
        <v>7027</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3751</v>
      </c>
      <c r="D1" t="s">
        <v>5051</v>
      </c>
      <c r="E1" s="9" t="s">
        <v>5052</v>
      </c>
      <c r="F1" s="9" t="s">
        <v>5053</v>
      </c>
      <c r="G1" t="s">
        <v>3756</v>
      </c>
      <c r="H1" t="s">
        <v>1</v>
      </c>
      <c r="I1" t="s">
        <v>5054</v>
      </c>
      <c r="J1" t="s">
        <v>7028</v>
      </c>
      <c r="K1" t="s">
        <v>171</v>
      </c>
      <c r="L1" t="s">
        <v>5056</v>
      </c>
      <c r="M1" t="s">
        <v>3757</v>
      </c>
    </row>
    <row r="2" spans="1:13" ht="15" customHeight="1" x14ac:dyDescent="0.25">
      <c r="A2" t="s">
        <v>7029</v>
      </c>
      <c r="B2" t="s">
        <v>4014</v>
      </c>
      <c r="C2" t="s">
        <v>4397</v>
      </c>
      <c r="D2">
        <v>2</v>
      </c>
      <c r="E2" s="9">
        <v>30</v>
      </c>
      <c r="F2" s="9">
        <v>34</v>
      </c>
      <c r="G2" t="s">
        <v>7030</v>
      </c>
      <c r="H2" t="s">
        <v>2133</v>
      </c>
      <c r="I2" t="s">
        <v>4430</v>
      </c>
      <c r="J2" t="s">
        <v>7031</v>
      </c>
      <c r="K2" t="s">
        <v>7029</v>
      </c>
      <c r="L2" t="s">
        <v>3467</v>
      </c>
    </row>
    <row r="3" spans="1:13" ht="15" customHeight="1" x14ac:dyDescent="0.25">
      <c r="A3" t="s">
        <v>7032</v>
      </c>
      <c r="B3" t="s">
        <v>4014</v>
      </c>
      <c r="C3" t="s">
        <v>4401</v>
      </c>
      <c r="D3">
        <v>2</v>
      </c>
      <c r="E3" s="9">
        <v>64</v>
      </c>
      <c r="F3" s="9">
        <v>70</v>
      </c>
      <c r="G3" t="s">
        <v>7030</v>
      </c>
      <c r="H3" t="s">
        <v>2133</v>
      </c>
      <c r="I3" t="s">
        <v>4430</v>
      </c>
      <c r="J3" t="s">
        <v>7033</v>
      </c>
      <c r="K3" t="s">
        <v>7034</v>
      </c>
      <c r="L3" t="s">
        <v>3467</v>
      </c>
    </row>
    <row r="4" spans="1:13" ht="15" customHeight="1" x14ac:dyDescent="0.25">
      <c r="A4" t="s">
        <v>7035</v>
      </c>
      <c r="B4" t="s">
        <v>4014</v>
      </c>
      <c r="C4" t="s">
        <v>5060</v>
      </c>
      <c r="D4">
        <v>7</v>
      </c>
      <c r="E4" s="9">
        <v>150</v>
      </c>
      <c r="F4" s="9">
        <v>160</v>
      </c>
      <c r="G4" t="s">
        <v>7030</v>
      </c>
      <c r="H4" t="s">
        <v>2133</v>
      </c>
      <c r="I4" t="s">
        <v>4430</v>
      </c>
      <c r="J4" t="s">
        <v>7036</v>
      </c>
      <c r="K4" t="s">
        <v>7037</v>
      </c>
      <c r="L4" t="s">
        <v>3467</v>
      </c>
    </row>
    <row r="5" spans="1:13" ht="15" customHeight="1" x14ac:dyDescent="0.25">
      <c r="A5" t="s">
        <v>5116</v>
      </c>
      <c r="B5" t="s">
        <v>4014</v>
      </c>
      <c r="C5" t="s">
        <v>4397</v>
      </c>
      <c r="D5" t="s">
        <v>3467</v>
      </c>
      <c r="E5" s="9">
        <v>20</v>
      </c>
      <c r="F5" s="9">
        <v>24</v>
      </c>
      <c r="G5" t="s">
        <v>3467</v>
      </c>
      <c r="H5" t="s">
        <v>160</v>
      </c>
      <c r="I5" t="s">
        <v>4430</v>
      </c>
      <c r="J5" t="s">
        <v>7038</v>
      </c>
      <c r="K5" t="s">
        <v>5116</v>
      </c>
      <c r="L5" t="s">
        <v>3467</v>
      </c>
    </row>
    <row r="6" spans="1:13" ht="15" customHeight="1" x14ac:dyDescent="0.25">
      <c r="A6" t="s">
        <v>5107</v>
      </c>
      <c r="B6" t="s">
        <v>4014</v>
      </c>
      <c r="C6" t="s">
        <v>4397</v>
      </c>
      <c r="D6">
        <v>2</v>
      </c>
      <c r="E6" s="9">
        <v>20</v>
      </c>
      <c r="F6" s="9">
        <v>24</v>
      </c>
      <c r="G6" t="s">
        <v>7039</v>
      </c>
      <c r="H6" t="s">
        <v>160</v>
      </c>
      <c r="I6" t="s">
        <v>4430</v>
      </c>
      <c r="J6" t="s">
        <v>7040</v>
      </c>
      <c r="K6" t="s">
        <v>5107</v>
      </c>
      <c r="L6" t="s">
        <v>3467</v>
      </c>
    </row>
    <row r="7" spans="1:13" ht="15" customHeight="1" x14ac:dyDescent="0.25">
      <c r="A7" t="s">
        <v>5114</v>
      </c>
      <c r="B7" t="s">
        <v>4014</v>
      </c>
      <c r="C7" t="s">
        <v>4397</v>
      </c>
      <c r="D7" t="s">
        <v>3467</v>
      </c>
      <c r="E7" s="9">
        <v>20</v>
      </c>
      <c r="F7" s="9">
        <v>24</v>
      </c>
      <c r="G7" t="s">
        <v>3467</v>
      </c>
      <c r="H7" t="s">
        <v>160</v>
      </c>
      <c r="I7" t="s">
        <v>4430</v>
      </c>
      <c r="J7" t="s">
        <v>7041</v>
      </c>
      <c r="K7" t="s">
        <v>5114</v>
      </c>
      <c r="L7" t="s">
        <v>3467</v>
      </c>
    </row>
    <row r="8" spans="1:13" ht="15" customHeight="1" x14ac:dyDescent="0.25">
      <c r="A8" t="s">
        <v>7042</v>
      </c>
      <c r="B8" t="s">
        <v>4014</v>
      </c>
      <c r="C8" t="s">
        <v>4401</v>
      </c>
      <c r="D8">
        <v>3</v>
      </c>
      <c r="E8" s="9">
        <v>48</v>
      </c>
      <c r="F8" s="9">
        <v>54</v>
      </c>
      <c r="G8" t="s">
        <v>3467</v>
      </c>
      <c r="H8" t="s">
        <v>160</v>
      </c>
      <c r="I8" t="s">
        <v>4430</v>
      </c>
      <c r="J8" t="s">
        <v>7043</v>
      </c>
      <c r="K8" t="s">
        <v>7044</v>
      </c>
      <c r="L8" t="s">
        <v>3467</v>
      </c>
    </row>
    <row r="9" spans="1:13" ht="15" customHeight="1" x14ac:dyDescent="0.25">
      <c r="A9" t="s">
        <v>7045</v>
      </c>
      <c r="B9" t="s">
        <v>4014</v>
      </c>
      <c r="C9" t="s">
        <v>5060</v>
      </c>
      <c r="D9">
        <v>7</v>
      </c>
      <c r="E9" s="9">
        <v>130</v>
      </c>
      <c r="F9" s="9">
        <v>140</v>
      </c>
      <c r="G9" t="s">
        <v>7046</v>
      </c>
      <c r="H9" t="s">
        <v>160</v>
      </c>
      <c r="I9" t="s">
        <v>4430</v>
      </c>
      <c r="J9" t="s">
        <v>7047</v>
      </c>
      <c r="K9" t="s">
        <v>7048</v>
      </c>
      <c r="L9" t="s">
        <v>3467</v>
      </c>
      <c r="M9" t="s">
        <v>4667</v>
      </c>
    </row>
    <row r="10" spans="1:13" ht="15" customHeight="1" x14ac:dyDescent="0.25">
      <c r="A10" t="s">
        <v>3868</v>
      </c>
      <c r="B10" t="s">
        <v>6902</v>
      </c>
      <c r="C10" t="s">
        <v>4397</v>
      </c>
      <c r="D10">
        <v>1</v>
      </c>
      <c r="E10" s="9">
        <v>20</v>
      </c>
      <c r="F10" s="9">
        <v>24</v>
      </c>
      <c r="G10" t="s">
        <v>5281</v>
      </c>
      <c r="H10" t="s">
        <v>501</v>
      </c>
      <c r="I10" t="s">
        <v>4433</v>
      </c>
      <c r="J10" t="s">
        <v>7049</v>
      </c>
      <c r="K10" t="s">
        <v>3868</v>
      </c>
      <c r="L10" t="s">
        <v>3467</v>
      </c>
    </row>
    <row r="11" spans="1:13" ht="15" customHeight="1" x14ac:dyDescent="0.25">
      <c r="A11" t="s">
        <v>7050</v>
      </c>
      <c r="B11" t="s">
        <v>6902</v>
      </c>
      <c r="C11" t="s">
        <v>4397</v>
      </c>
      <c r="D11">
        <v>2</v>
      </c>
      <c r="E11" s="9">
        <v>30</v>
      </c>
      <c r="F11" s="9">
        <v>34</v>
      </c>
      <c r="G11" t="s">
        <v>5281</v>
      </c>
      <c r="H11" t="s">
        <v>501</v>
      </c>
      <c r="I11" t="s">
        <v>4433</v>
      </c>
      <c r="J11" t="s">
        <v>7051</v>
      </c>
      <c r="K11" t="s">
        <v>7052</v>
      </c>
      <c r="L11" t="s">
        <v>3467</v>
      </c>
    </row>
    <row r="12" spans="1:13" ht="15" customHeight="1" x14ac:dyDescent="0.25">
      <c r="A12" t="s">
        <v>7053</v>
      </c>
      <c r="B12" t="s">
        <v>6902</v>
      </c>
      <c r="C12" t="s">
        <v>4397</v>
      </c>
      <c r="D12">
        <v>3</v>
      </c>
      <c r="E12" s="9">
        <v>40</v>
      </c>
      <c r="F12" s="9">
        <v>44</v>
      </c>
      <c r="G12" t="s">
        <v>7054</v>
      </c>
      <c r="H12" t="s">
        <v>501</v>
      </c>
      <c r="I12" t="s">
        <v>4433</v>
      </c>
      <c r="J12" t="s">
        <v>7055</v>
      </c>
      <c r="K12" t="s">
        <v>7056</v>
      </c>
      <c r="L12" t="s">
        <v>3467</v>
      </c>
    </row>
    <row r="13" spans="1:13" ht="15" customHeight="1" x14ac:dyDescent="0.25">
      <c r="A13" t="s">
        <v>7057</v>
      </c>
      <c r="B13" t="s">
        <v>6902</v>
      </c>
      <c r="C13" t="s">
        <v>4397</v>
      </c>
      <c r="D13" t="s">
        <v>3467</v>
      </c>
      <c r="E13" s="9">
        <v>12</v>
      </c>
      <c r="F13" s="9">
        <v>14</v>
      </c>
      <c r="G13" t="s">
        <v>5281</v>
      </c>
      <c r="H13" t="s">
        <v>501</v>
      </c>
      <c r="I13" t="s">
        <v>4433</v>
      </c>
      <c r="J13" t="s">
        <v>7058</v>
      </c>
      <c r="K13" t="s">
        <v>7057</v>
      </c>
      <c r="L13" t="s">
        <v>3467</v>
      </c>
    </row>
    <row r="14" spans="1:13" ht="15" customHeight="1" x14ac:dyDescent="0.25">
      <c r="A14" t="s">
        <v>3876</v>
      </c>
      <c r="B14" t="s">
        <v>6902</v>
      </c>
      <c r="C14" t="s">
        <v>4401</v>
      </c>
      <c r="D14">
        <v>3</v>
      </c>
      <c r="E14" s="9">
        <v>130</v>
      </c>
      <c r="F14" s="9">
        <v>140</v>
      </c>
      <c r="G14" t="s">
        <v>7059</v>
      </c>
      <c r="H14" t="s">
        <v>501</v>
      </c>
      <c r="I14" t="s">
        <v>4416</v>
      </c>
      <c r="J14" t="s">
        <v>7060</v>
      </c>
      <c r="K14" t="s">
        <v>3876</v>
      </c>
      <c r="L14" t="s">
        <v>3467</v>
      </c>
    </row>
    <row r="15" spans="1:13" ht="15" customHeight="1" x14ac:dyDescent="0.25">
      <c r="A15" t="s">
        <v>7061</v>
      </c>
      <c r="B15" t="s">
        <v>6902</v>
      </c>
      <c r="C15" t="s">
        <v>4401</v>
      </c>
      <c r="D15" t="s">
        <v>3467</v>
      </c>
      <c r="E15" s="9">
        <v>130</v>
      </c>
      <c r="F15" s="9">
        <v>140</v>
      </c>
      <c r="G15" t="s">
        <v>7059</v>
      </c>
      <c r="H15" t="s">
        <v>501</v>
      </c>
      <c r="I15" t="s">
        <v>4416</v>
      </c>
      <c r="J15" t="s">
        <v>7062</v>
      </c>
      <c r="K15" t="s">
        <v>7063</v>
      </c>
      <c r="L15" t="s">
        <v>3876</v>
      </c>
    </row>
    <row r="16" spans="1:13" ht="15" customHeight="1" x14ac:dyDescent="0.25">
      <c r="A16" t="s">
        <v>7064</v>
      </c>
      <c r="B16" t="s">
        <v>6902</v>
      </c>
      <c r="C16" t="s">
        <v>5060</v>
      </c>
      <c r="D16">
        <v>5</v>
      </c>
      <c r="E16" s="9">
        <v>100</v>
      </c>
      <c r="F16" s="9">
        <v>110</v>
      </c>
      <c r="G16" t="s">
        <v>7065</v>
      </c>
      <c r="H16" t="s">
        <v>501</v>
      </c>
      <c r="I16" t="s">
        <v>4423</v>
      </c>
      <c r="J16" t="s">
        <v>7066</v>
      </c>
      <c r="K16" t="s">
        <v>7067</v>
      </c>
      <c r="L16" t="s">
        <v>3467</v>
      </c>
    </row>
    <row r="17" spans="1:13" ht="15" customHeight="1" x14ac:dyDescent="0.25">
      <c r="A17" t="s">
        <v>7068</v>
      </c>
      <c r="B17" t="s">
        <v>4033</v>
      </c>
      <c r="C17" t="s">
        <v>4397</v>
      </c>
      <c r="D17">
        <v>1</v>
      </c>
      <c r="E17" s="9">
        <v>30</v>
      </c>
      <c r="F17" s="9">
        <v>34</v>
      </c>
      <c r="G17" t="s">
        <v>5294</v>
      </c>
      <c r="H17" t="s">
        <v>2155</v>
      </c>
      <c r="I17" t="s">
        <v>4430</v>
      </c>
      <c r="J17" t="s">
        <v>7069</v>
      </c>
      <c r="K17" t="s">
        <v>7068</v>
      </c>
      <c r="L17" t="s">
        <v>3467</v>
      </c>
      <c r="M17" t="s">
        <v>3867</v>
      </c>
    </row>
    <row r="18" spans="1:13" ht="15" customHeight="1" x14ac:dyDescent="0.25">
      <c r="A18" t="s">
        <v>7070</v>
      </c>
      <c r="B18" t="s">
        <v>4033</v>
      </c>
      <c r="C18" t="s">
        <v>4401</v>
      </c>
      <c r="D18">
        <v>3</v>
      </c>
      <c r="E18" s="9">
        <v>40</v>
      </c>
      <c r="F18" s="9">
        <v>46</v>
      </c>
      <c r="G18" t="s">
        <v>7071</v>
      </c>
      <c r="H18" t="s">
        <v>2155</v>
      </c>
      <c r="I18" t="s">
        <v>4430</v>
      </c>
      <c r="J18" t="s">
        <v>7072</v>
      </c>
      <c r="K18" t="s">
        <v>7070</v>
      </c>
      <c r="L18" t="s">
        <v>3467</v>
      </c>
    </row>
    <row r="19" spans="1:13" ht="15" customHeight="1" x14ac:dyDescent="0.25">
      <c r="A19" t="s">
        <v>7073</v>
      </c>
      <c r="B19" t="s">
        <v>4033</v>
      </c>
      <c r="C19" t="s">
        <v>4401</v>
      </c>
      <c r="D19">
        <v>4</v>
      </c>
      <c r="E19" s="9">
        <v>60</v>
      </c>
      <c r="F19" s="9">
        <v>66</v>
      </c>
      <c r="G19" t="s">
        <v>5294</v>
      </c>
      <c r="H19" t="s">
        <v>2155</v>
      </c>
      <c r="I19" t="s">
        <v>4430</v>
      </c>
      <c r="J19" t="s">
        <v>7074</v>
      </c>
      <c r="K19" t="s">
        <v>7073</v>
      </c>
      <c r="L19" t="s">
        <v>3467</v>
      </c>
    </row>
    <row r="20" spans="1:13" ht="15" customHeight="1" x14ac:dyDescent="0.25">
      <c r="A20" t="s">
        <v>4003</v>
      </c>
      <c r="B20" t="s">
        <v>4033</v>
      </c>
      <c r="C20" t="s">
        <v>5060</v>
      </c>
      <c r="D20">
        <v>9</v>
      </c>
      <c r="E20" s="9">
        <v>250</v>
      </c>
      <c r="F20" s="9">
        <v>270</v>
      </c>
      <c r="G20" t="s">
        <v>7075</v>
      </c>
      <c r="H20" t="s">
        <v>2155</v>
      </c>
      <c r="I20" t="s">
        <v>4430</v>
      </c>
      <c r="J20" t="s">
        <v>7076</v>
      </c>
      <c r="K20" t="s">
        <v>4003</v>
      </c>
      <c r="L20" t="s">
        <v>3467</v>
      </c>
      <c r="M20" t="s">
        <v>7077</v>
      </c>
    </row>
    <row r="21" spans="1:13" ht="15" customHeight="1" x14ac:dyDescent="0.25">
      <c r="A21" t="s">
        <v>3823</v>
      </c>
      <c r="B21" t="s">
        <v>5057</v>
      </c>
      <c r="C21" t="s">
        <v>4397</v>
      </c>
      <c r="D21">
        <v>2</v>
      </c>
      <c r="E21" s="9">
        <v>48</v>
      </c>
      <c r="F21" s="9">
        <v>54</v>
      </c>
      <c r="G21" t="s">
        <v>3467</v>
      </c>
      <c r="H21" t="s">
        <v>90</v>
      </c>
      <c r="I21" t="s">
        <v>4430</v>
      </c>
      <c r="J21" t="s">
        <v>7078</v>
      </c>
      <c r="K21" t="s">
        <v>3823</v>
      </c>
      <c r="L21" t="s">
        <v>3467</v>
      </c>
    </row>
    <row r="22" spans="1:13" ht="15" customHeight="1" x14ac:dyDescent="0.25">
      <c r="A22" t="s">
        <v>3852</v>
      </c>
      <c r="B22" t="s">
        <v>5057</v>
      </c>
      <c r="C22" t="s">
        <v>4401</v>
      </c>
      <c r="D22">
        <v>6</v>
      </c>
      <c r="E22" s="9">
        <v>114</v>
      </c>
      <c r="F22" s="9">
        <v>120</v>
      </c>
      <c r="G22" t="s">
        <v>3467</v>
      </c>
      <c r="H22" t="s">
        <v>90</v>
      </c>
      <c r="I22" t="s">
        <v>4430</v>
      </c>
      <c r="J22" t="s">
        <v>7079</v>
      </c>
      <c r="K22" t="s">
        <v>3852</v>
      </c>
      <c r="L22" t="s">
        <v>3467</v>
      </c>
    </row>
    <row r="23" spans="1:13" ht="15" customHeight="1" x14ac:dyDescent="0.25">
      <c r="A23" t="s">
        <v>3860</v>
      </c>
      <c r="B23" t="s">
        <v>5057</v>
      </c>
      <c r="C23" t="s">
        <v>5060</v>
      </c>
      <c r="D23">
        <v>9</v>
      </c>
      <c r="E23" s="9">
        <v>999</v>
      </c>
      <c r="F23" s="9">
        <v>999</v>
      </c>
      <c r="G23" t="s">
        <v>5061</v>
      </c>
      <c r="H23" t="s">
        <v>90</v>
      </c>
      <c r="I23" t="s">
        <v>4430</v>
      </c>
      <c r="J23" t="s">
        <v>7080</v>
      </c>
      <c r="K23" t="s">
        <v>3860</v>
      </c>
      <c r="L23" t="s">
        <v>3467</v>
      </c>
    </row>
    <row r="24" spans="1:13" ht="15" customHeight="1" x14ac:dyDescent="0.25">
      <c r="A24" t="s">
        <v>7081</v>
      </c>
      <c r="B24" t="s">
        <v>6902</v>
      </c>
      <c r="C24" t="s">
        <v>4397</v>
      </c>
      <c r="D24">
        <v>1</v>
      </c>
      <c r="E24" s="9">
        <v>20</v>
      </c>
      <c r="F24" s="9">
        <v>24</v>
      </c>
      <c r="G24" t="s">
        <v>7082</v>
      </c>
      <c r="H24" t="s">
        <v>2362</v>
      </c>
      <c r="I24" t="s">
        <v>4409</v>
      </c>
      <c r="J24" t="s">
        <v>7083</v>
      </c>
      <c r="K24" t="s">
        <v>7081</v>
      </c>
      <c r="L24" t="s">
        <v>3467</v>
      </c>
      <c r="M24" t="s">
        <v>3781</v>
      </c>
    </row>
    <row r="25" spans="1:13" ht="15" customHeight="1" x14ac:dyDescent="0.25">
      <c r="A25" t="s">
        <v>7084</v>
      </c>
      <c r="B25" t="s">
        <v>6902</v>
      </c>
      <c r="C25" t="s">
        <v>4401</v>
      </c>
      <c r="D25">
        <v>3</v>
      </c>
      <c r="E25" s="9">
        <v>48</v>
      </c>
      <c r="F25" s="9">
        <v>54</v>
      </c>
      <c r="G25" t="s">
        <v>3467</v>
      </c>
      <c r="H25" t="s">
        <v>2362</v>
      </c>
      <c r="I25" t="s">
        <v>4430</v>
      </c>
      <c r="J25" t="s">
        <v>7085</v>
      </c>
      <c r="K25" t="s">
        <v>7084</v>
      </c>
      <c r="L25" t="s">
        <v>3467</v>
      </c>
    </row>
    <row r="26" spans="1:13" ht="15" customHeight="1" x14ac:dyDescent="0.25">
      <c r="A26" t="s">
        <v>7086</v>
      </c>
      <c r="B26" t="s">
        <v>6902</v>
      </c>
      <c r="C26" t="s">
        <v>5060</v>
      </c>
      <c r="D26">
        <v>3</v>
      </c>
      <c r="E26" s="9">
        <v>60</v>
      </c>
      <c r="F26" s="9">
        <v>66</v>
      </c>
      <c r="G26" t="s">
        <v>7087</v>
      </c>
      <c r="H26" t="s">
        <v>2362</v>
      </c>
      <c r="I26" t="s">
        <v>4430</v>
      </c>
      <c r="J26" t="s">
        <v>7088</v>
      </c>
      <c r="K26" t="s">
        <v>7086</v>
      </c>
      <c r="L26" t="s">
        <v>3467</v>
      </c>
    </row>
    <row r="27" spans="1:13" ht="15" customHeight="1" x14ac:dyDescent="0.25">
      <c r="A27" t="s">
        <v>5063</v>
      </c>
      <c r="B27" t="s">
        <v>5057</v>
      </c>
      <c r="C27" t="s">
        <v>4397</v>
      </c>
      <c r="D27">
        <v>3</v>
      </c>
      <c r="E27" s="9">
        <v>40</v>
      </c>
      <c r="F27" s="9">
        <v>44</v>
      </c>
      <c r="G27" t="s">
        <v>3467</v>
      </c>
      <c r="H27" t="s">
        <v>90</v>
      </c>
      <c r="I27" t="s">
        <v>4430</v>
      </c>
      <c r="J27" t="s">
        <v>7089</v>
      </c>
      <c r="K27" t="s">
        <v>5065</v>
      </c>
      <c r="L27" t="s">
        <v>3467</v>
      </c>
    </row>
    <row r="28" spans="1:13" ht="15" customHeight="1" x14ac:dyDescent="0.25">
      <c r="A28" t="s">
        <v>5066</v>
      </c>
      <c r="B28" t="s">
        <v>5057</v>
      </c>
      <c r="C28" t="s">
        <v>4397</v>
      </c>
      <c r="D28">
        <v>1</v>
      </c>
      <c r="E28" s="9">
        <v>10</v>
      </c>
      <c r="F28" s="9">
        <v>15</v>
      </c>
      <c r="G28" t="s">
        <v>5067</v>
      </c>
      <c r="H28" t="s">
        <v>90</v>
      </c>
      <c r="I28" t="s">
        <v>4430</v>
      </c>
      <c r="J28" t="s">
        <v>7090</v>
      </c>
      <c r="K28" t="s">
        <v>5069</v>
      </c>
      <c r="L28" t="s">
        <v>3467</v>
      </c>
      <c r="M28" t="s">
        <v>4667</v>
      </c>
    </row>
    <row r="29" spans="1:13" ht="15" customHeight="1" x14ac:dyDescent="0.25">
      <c r="A29" t="s">
        <v>5070</v>
      </c>
      <c r="B29" t="s">
        <v>5057</v>
      </c>
      <c r="C29" t="s">
        <v>4397</v>
      </c>
      <c r="D29">
        <v>1</v>
      </c>
      <c r="E29" s="9">
        <v>11</v>
      </c>
      <c r="F29" s="9">
        <v>17</v>
      </c>
      <c r="G29" t="s">
        <v>5067</v>
      </c>
      <c r="H29" t="s">
        <v>90</v>
      </c>
      <c r="I29" t="s">
        <v>4430</v>
      </c>
      <c r="J29" t="s">
        <v>7091</v>
      </c>
      <c r="K29" t="s">
        <v>5072</v>
      </c>
      <c r="L29" t="s">
        <v>3467</v>
      </c>
      <c r="M29" t="s">
        <v>4667</v>
      </c>
    </row>
    <row r="30" spans="1:13" ht="15" customHeight="1" x14ac:dyDescent="0.25">
      <c r="A30" t="s">
        <v>5073</v>
      </c>
      <c r="B30" t="s">
        <v>5057</v>
      </c>
      <c r="C30" t="s">
        <v>4397</v>
      </c>
      <c r="D30">
        <v>4</v>
      </c>
      <c r="E30" s="9">
        <v>65</v>
      </c>
      <c r="F30" s="9">
        <v>69</v>
      </c>
      <c r="G30" t="s">
        <v>5074</v>
      </c>
      <c r="H30" t="s">
        <v>90</v>
      </c>
      <c r="I30" t="s">
        <v>4430</v>
      </c>
      <c r="J30" t="s">
        <v>7092</v>
      </c>
      <c r="K30" t="s">
        <v>5076</v>
      </c>
      <c r="L30" t="s">
        <v>3467</v>
      </c>
      <c r="M30" t="s">
        <v>3848</v>
      </c>
    </row>
    <row r="31" spans="1:13" ht="15" customHeight="1" x14ac:dyDescent="0.25">
      <c r="A31" t="s">
        <v>5077</v>
      </c>
      <c r="B31" t="s">
        <v>5057</v>
      </c>
      <c r="C31" t="s">
        <v>4397</v>
      </c>
      <c r="D31">
        <v>2</v>
      </c>
      <c r="E31" s="9">
        <v>28</v>
      </c>
      <c r="F31" s="9">
        <v>32</v>
      </c>
      <c r="G31" t="s">
        <v>3467</v>
      </c>
      <c r="H31" t="s">
        <v>90</v>
      </c>
      <c r="I31" t="s">
        <v>4430</v>
      </c>
      <c r="J31" t="s">
        <v>7093</v>
      </c>
      <c r="K31" t="s">
        <v>5079</v>
      </c>
      <c r="L31" t="s">
        <v>3467</v>
      </c>
      <c r="M31" t="s">
        <v>3848</v>
      </c>
    </row>
    <row r="32" spans="1:13" ht="15" customHeight="1" x14ac:dyDescent="0.25">
      <c r="A32" t="s">
        <v>5080</v>
      </c>
      <c r="B32" t="s">
        <v>5057</v>
      </c>
      <c r="C32" t="s">
        <v>4397</v>
      </c>
      <c r="D32">
        <v>1</v>
      </c>
      <c r="E32" s="9">
        <v>8</v>
      </c>
      <c r="F32" s="9">
        <v>12</v>
      </c>
      <c r="G32" t="s">
        <v>3467</v>
      </c>
      <c r="H32" t="s">
        <v>90</v>
      </c>
      <c r="I32" t="s">
        <v>4430</v>
      </c>
      <c r="J32" t="s">
        <v>7094</v>
      </c>
      <c r="K32" t="s">
        <v>5082</v>
      </c>
      <c r="L32" t="s">
        <v>3467</v>
      </c>
      <c r="M32" t="s">
        <v>3848</v>
      </c>
    </row>
    <row r="33" spans="1:13" ht="15" customHeight="1" x14ac:dyDescent="0.25">
      <c r="A33" t="s">
        <v>3845</v>
      </c>
      <c r="B33" t="s">
        <v>5057</v>
      </c>
      <c r="C33" t="s">
        <v>4397</v>
      </c>
      <c r="D33">
        <v>4</v>
      </c>
      <c r="E33" s="9">
        <v>64</v>
      </c>
      <c r="F33" s="9">
        <v>70</v>
      </c>
      <c r="G33" t="s">
        <v>5083</v>
      </c>
      <c r="H33" t="s">
        <v>90</v>
      </c>
      <c r="I33" t="s">
        <v>4430</v>
      </c>
      <c r="J33" t="s">
        <v>7095</v>
      </c>
      <c r="K33" t="s">
        <v>3847</v>
      </c>
      <c r="L33" t="s">
        <v>3467</v>
      </c>
      <c r="M33" t="s">
        <v>3848</v>
      </c>
    </row>
    <row r="34" spans="1:13" ht="15" customHeight="1" x14ac:dyDescent="0.25">
      <c r="A34" t="s">
        <v>5085</v>
      </c>
      <c r="B34" t="s">
        <v>5057</v>
      </c>
      <c r="C34" t="s">
        <v>4397</v>
      </c>
      <c r="D34">
        <v>2</v>
      </c>
      <c r="E34" s="9">
        <v>28</v>
      </c>
      <c r="F34" s="9">
        <v>32</v>
      </c>
      <c r="G34" t="s">
        <v>3467</v>
      </c>
      <c r="H34" t="s">
        <v>90</v>
      </c>
      <c r="I34" t="s">
        <v>4430</v>
      </c>
      <c r="J34" t="s">
        <v>7096</v>
      </c>
      <c r="K34" t="s">
        <v>5087</v>
      </c>
      <c r="L34" t="s">
        <v>3467</v>
      </c>
      <c r="M34" t="s">
        <v>3848</v>
      </c>
    </row>
    <row r="35" spans="1:13" ht="15" customHeight="1" x14ac:dyDescent="0.25">
      <c r="A35" t="s">
        <v>5088</v>
      </c>
      <c r="B35" t="s">
        <v>5057</v>
      </c>
      <c r="C35" t="s">
        <v>4397</v>
      </c>
      <c r="D35">
        <v>1</v>
      </c>
      <c r="E35" s="9">
        <v>10</v>
      </c>
      <c r="F35" s="9">
        <v>14</v>
      </c>
      <c r="G35" t="s">
        <v>3467</v>
      </c>
      <c r="H35" t="s">
        <v>90</v>
      </c>
      <c r="I35" t="s">
        <v>4430</v>
      </c>
      <c r="J35" t="s">
        <v>7097</v>
      </c>
      <c r="K35" t="s">
        <v>5090</v>
      </c>
      <c r="L35" t="s">
        <v>3467</v>
      </c>
      <c r="M35" t="s">
        <v>3848</v>
      </c>
    </row>
    <row r="36" spans="1:13" ht="15" customHeight="1" x14ac:dyDescent="0.25">
      <c r="A36" t="s">
        <v>7098</v>
      </c>
      <c r="B36" t="s">
        <v>6902</v>
      </c>
      <c r="C36" t="s">
        <v>5060</v>
      </c>
      <c r="D36">
        <v>1</v>
      </c>
      <c r="E36" s="9">
        <v>20</v>
      </c>
      <c r="F36" s="9">
        <v>24</v>
      </c>
      <c r="G36" t="s">
        <v>3467</v>
      </c>
      <c r="H36" t="s">
        <v>1650</v>
      </c>
      <c r="I36" t="s">
        <v>4409</v>
      </c>
      <c r="J36" t="s">
        <v>7099</v>
      </c>
      <c r="K36" t="s">
        <v>7098</v>
      </c>
      <c r="L36" t="s">
        <v>3467</v>
      </c>
      <c r="M36" t="s">
        <v>7100</v>
      </c>
    </row>
    <row r="37" spans="1:13" ht="15" customHeight="1" x14ac:dyDescent="0.25">
      <c r="A37" t="s">
        <v>7101</v>
      </c>
      <c r="B37" t="s">
        <v>6902</v>
      </c>
      <c r="C37" t="s">
        <v>4397</v>
      </c>
      <c r="D37">
        <v>0.5</v>
      </c>
      <c r="E37" s="9">
        <v>4</v>
      </c>
      <c r="F37" s="9">
        <v>6</v>
      </c>
      <c r="G37" t="s">
        <v>3467</v>
      </c>
      <c r="H37" t="s">
        <v>1650</v>
      </c>
      <c r="I37" t="s">
        <v>3467</v>
      </c>
      <c r="J37" t="s">
        <v>7102</v>
      </c>
      <c r="K37" t="s">
        <v>7101</v>
      </c>
      <c r="L37" t="s">
        <v>3467</v>
      </c>
      <c r="M37" t="s">
        <v>4667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5091</v>
      </c>
      <c r="C1" t="s">
        <v>3751</v>
      </c>
      <c r="D1" t="s">
        <v>5051</v>
      </c>
      <c r="E1" t="s">
        <v>1</v>
      </c>
      <c r="F1" t="s">
        <v>3757</v>
      </c>
      <c r="G1" t="s">
        <v>5052</v>
      </c>
      <c r="H1" t="s">
        <v>5053</v>
      </c>
      <c r="I1" t="s">
        <v>4019</v>
      </c>
      <c r="J1" t="s">
        <v>7103</v>
      </c>
      <c r="K1" t="s">
        <v>5095</v>
      </c>
      <c r="L1" t="s">
        <v>171</v>
      </c>
      <c r="M1" t="s">
        <v>7104</v>
      </c>
      <c r="N1" t="s">
        <v>7105</v>
      </c>
      <c r="O1" t="s">
        <v>3450</v>
      </c>
      <c r="P1" t="s">
        <v>7106</v>
      </c>
      <c r="Q1" t="s">
        <v>3756</v>
      </c>
    </row>
    <row r="2" spans="1:17" ht="15" customHeight="1" x14ac:dyDescent="0.25">
      <c r="A2" t="s">
        <v>7068</v>
      </c>
      <c r="B2" t="s">
        <v>7107</v>
      </c>
      <c r="C2" t="s">
        <v>4397</v>
      </c>
      <c r="D2">
        <v>2</v>
      </c>
      <c r="E2" t="s">
        <v>2155</v>
      </c>
      <c r="G2">
        <v>20</v>
      </c>
      <c r="H2">
        <v>24</v>
      </c>
      <c r="I2">
        <v>0</v>
      </c>
      <c r="J2" t="s">
        <v>7108</v>
      </c>
      <c r="K2" t="s">
        <v>7109</v>
      </c>
      <c r="M2">
        <v>1</v>
      </c>
      <c r="N2">
        <v>3</v>
      </c>
      <c r="O2" t="s">
        <v>7110</v>
      </c>
      <c r="P2" t="s">
        <v>7111</v>
      </c>
    </row>
    <row r="3" spans="1:17" ht="15" customHeight="1" x14ac:dyDescent="0.25">
      <c r="A3" t="s">
        <v>7112</v>
      </c>
      <c r="B3" t="s">
        <v>7113</v>
      </c>
      <c r="C3" t="s">
        <v>4401</v>
      </c>
      <c r="D3">
        <v>2</v>
      </c>
      <c r="E3" t="s">
        <v>2155</v>
      </c>
      <c r="F3" t="s">
        <v>4982</v>
      </c>
      <c r="G3">
        <v>12</v>
      </c>
      <c r="H3">
        <v>18</v>
      </c>
      <c r="I3">
        <v>4</v>
      </c>
      <c r="J3" t="s">
        <v>7114</v>
      </c>
      <c r="K3" t="s">
        <v>7115</v>
      </c>
      <c r="M3">
        <v>2</v>
      </c>
      <c r="N3">
        <v>3</v>
      </c>
      <c r="O3" t="s">
        <v>7116</v>
      </c>
      <c r="P3" t="s">
        <v>7117</v>
      </c>
    </row>
    <row r="4" spans="1:17" ht="15" customHeight="1" x14ac:dyDescent="0.25">
      <c r="A4" t="s">
        <v>7118</v>
      </c>
      <c r="B4" t="s">
        <v>7119</v>
      </c>
      <c r="C4" t="s">
        <v>4397</v>
      </c>
      <c r="D4">
        <v>1</v>
      </c>
      <c r="E4" t="s">
        <v>1796</v>
      </c>
      <c r="F4" t="s">
        <v>7120</v>
      </c>
      <c r="G4">
        <v>5</v>
      </c>
      <c r="H4">
        <v>5</v>
      </c>
      <c r="I4">
        <v>4</v>
      </c>
      <c r="J4" t="s">
        <v>7114</v>
      </c>
      <c r="K4" t="s">
        <v>7121</v>
      </c>
      <c r="L4" t="s">
        <v>7118</v>
      </c>
      <c r="M4">
        <v>1</v>
      </c>
      <c r="N4">
        <v>4</v>
      </c>
      <c r="O4" t="s">
        <v>7122</v>
      </c>
      <c r="P4" t="s">
        <v>7123</v>
      </c>
    </row>
    <row r="5" spans="1:17" ht="15" customHeight="1" x14ac:dyDescent="0.25">
      <c r="A5" t="s">
        <v>7124</v>
      </c>
      <c r="B5" t="s">
        <v>4982</v>
      </c>
      <c r="C5" t="s">
        <v>4397</v>
      </c>
      <c r="D5">
        <v>1</v>
      </c>
      <c r="E5" t="s">
        <v>2155</v>
      </c>
      <c r="F5" t="s">
        <v>4982</v>
      </c>
      <c r="G5">
        <v>8</v>
      </c>
      <c r="H5">
        <v>11</v>
      </c>
      <c r="I5">
        <v>4</v>
      </c>
      <c r="J5" t="s">
        <v>7125</v>
      </c>
      <c r="K5" t="s">
        <v>7126</v>
      </c>
      <c r="M5">
        <v>1</v>
      </c>
      <c r="N5">
        <v>4</v>
      </c>
      <c r="O5" t="s">
        <v>7127</v>
      </c>
      <c r="P5" t="s">
        <v>7128</v>
      </c>
    </row>
    <row r="6" spans="1:17" ht="15" customHeight="1" x14ac:dyDescent="0.25">
      <c r="A6" t="s">
        <v>7073</v>
      </c>
      <c r="B6" t="s">
        <v>7129</v>
      </c>
      <c r="C6" t="s">
        <v>4401</v>
      </c>
      <c r="D6">
        <v>5</v>
      </c>
      <c r="E6" t="s">
        <v>2155</v>
      </c>
      <c r="G6">
        <v>60</v>
      </c>
      <c r="H6">
        <v>66</v>
      </c>
      <c r="I6">
        <v>-4</v>
      </c>
      <c r="J6" t="s">
        <v>7130</v>
      </c>
      <c r="K6" t="s">
        <v>7131</v>
      </c>
      <c r="M6">
        <v>4</v>
      </c>
      <c r="N6">
        <v>1</v>
      </c>
      <c r="O6" t="s">
        <v>7132</v>
      </c>
      <c r="P6" t="s">
        <v>7133</v>
      </c>
      <c r="Q6" t="s">
        <v>7134</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7135</v>
      </c>
      <c r="C1" t="s">
        <v>7136</v>
      </c>
      <c r="D1" t="s">
        <v>7137</v>
      </c>
      <c r="E1" t="s">
        <v>7138</v>
      </c>
      <c r="F1" t="s">
        <v>7139</v>
      </c>
      <c r="G1" t="s">
        <v>7140</v>
      </c>
      <c r="H1" t="s">
        <v>7141</v>
      </c>
      <c r="I1" t="s">
        <v>1</v>
      </c>
    </row>
    <row r="2" spans="1:9" ht="15" customHeight="1" x14ac:dyDescent="0.25">
      <c r="A2" t="s">
        <v>5902</v>
      </c>
      <c r="B2">
        <v>6</v>
      </c>
      <c r="C2" t="s">
        <v>7142</v>
      </c>
      <c r="D2" t="s">
        <v>7143</v>
      </c>
      <c r="E2" t="s">
        <v>7144</v>
      </c>
      <c r="F2" t="s">
        <v>7144</v>
      </c>
      <c r="G2" t="s">
        <v>7142</v>
      </c>
      <c r="H2" t="s">
        <v>7143</v>
      </c>
      <c r="I2" t="s">
        <v>2362</v>
      </c>
    </row>
    <row r="3" spans="1:9" ht="15" customHeight="1" x14ac:dyDescent="0.25">
      <c r="A3" t="s">
        <v>5925</v>
      </c>
      <c r="B3">
        <v>6</v>
      </c>
      <c r="C3" t="s">
        <v>7145</v>
      </c>
      <c r="D3" t="s">
        <v>7146</v>
      </c>
      <c r="E3" t="s">
        <v>7147</v>
      </c>
      <c r="F3" t="s">
        <v>7147</v>
      </c>
      <c r="G3" t="s">
        <v>7148</v>
      </c>
      <c r="H3" t="s">
        <v>4251</v>
      </c>
      <c r="I3" t="s">
        <v>2362</v>
      </c>
    </row>
    <row r="4" spans="1:9" ht="15" customHeight="1" x14ac:dyDescent="0.25">
      <c r="A4" t="s">
        <v>5952</v>
      </c>
      <c r="B4">
        <v>6</v>
      </c>
      <c r="C4" t="s">
        <v>7149</v>
      </c>
      <c r="D4" t="s">
        <v>7150</v>
      </c>
      <c r="E4" t="s">
        <v>7151</v>
      </c>
      <c r="F4" t="s">
        <v>7151</v>
      </c>
      <c r="G4" t="s">
        <v>7152</v>
      </c>
      <c r="H4" t="s">
        <v>5980</v>
      </c>
      <c r="I4" t="s">
        <v>2362</v>
      </c>
    </row>
    <row r="5" spans="1:9" ht="15" customHeight="1" x14ac:dyDescent="0.25">
      <c r="A5" t="s">
        <v>5993</v>
      </c>
      <c r="B5">
        <v>6</v>
      </c>
      <c r="C5" t="s">
        <v>7153</v>
      </c>
      <c r="D5" t="s">
        <v>7154</v>
      </c>
      <c r="E5" t="s">
        <v>7155</v>
      </c>
      <c r="F5" t="s">
        <v>7155</v>
      </c>
      <c r="G5" t="s">
        <v>7156</v>
      </c>
      <c r="H5" t="s">
        <v>5980</v>
      </c>
      <c r="I5" t="s">
        <v>2362</v>
      </c>
    </row>
    <row r="6" spans="1:9" ht="15" customHeight="1" x14ac:dyDescent="0.25">
      <c r="A6" t="s">
        <v>6039</v>
      </c>
      <c r="B6">
        <v>6</v>
      </c>
      <c r="C6" t="s">
        <v>7157</v>
      </c>
      <c r="D6" t="s">
        <v>7157</v>
      </c>
      <c r="E6" t="s">
        <v>7151</v>
      </c>
      <c r="F6" t="s">
        <v>7151</v>
      </c>
      <c r="G6" t="s">
        <v>7152</v>
      </c>
      <c r="H6" t="s">
        <v>7152</v>
      </c>
      <c r="I6" t="s">
        <v>2362</v>
      </c>
    </row>
    <row r="7" spans="1:9" ht="15" customHeight="1" x14ac:dyDescent="0.25">
      <c r="A7" t="s">
        <v>6062</v>
      </c>
      <c r="B7">
        <v>6</v>
      </c>
      <c r="C7" t="s">
        <v>7158</v>
      </c>
      <c r="D7" t="s">
        <v>7146</v>
      </c>
      <c r="E7" t="s">
        <v>5980</v>
      </c>
      <c r="F7" t="s">
        <v>5980</v>
      </c>
      <c r="G7" t="s">
        <v>7159</v>
      </c>
      <c r="H7" t="s">
        <v>5980</v>
      </c>
      <c r="I7" t="s">
        <v>2362</v>
      </c>
    </row>
    <row r="8" spans="1:9" ht="15" customHeight="1" x14ac:dyDescent="0.25">
      <c r="A8" t="s">
        <v>6067</v>
      </c>
      <c r="B8">
        <v>6</v>
      </c>
      <c r="C8" t="s">
        <v>7160</v>
      </c>
      <c r="D8" t="s">
        <v>7161</v>
      </c>
      <c r="E8" t="s">
        <v>7162</v>
      </c>
      <c r="F8" t="s">
        <v>7162</v>
      </c>
      <c r="G8" t="s">
        <v>7150</v>
      </c>
      <c r="H8" t="s">
        <v>5980</v>
      </c>
      <c r="I8" t="s">
        <v>2362</v>
      </c>
    </row>
    <row r="9" spans="1:9" ht="15" customHeight="1" x14ac:dyDescent="0.25">
      <c r="A9" t="s">
        <v>6086</v>
      </c>
      <c r="B9">
        <v>6</v>
      </c>
      <c r="C9" t="s">
        <v>7155</v>
      </c>
      <c r="D9" t="s">
        <v>7163</v>
      </c>
      <c r="E9" t="s">
        <v>7164</v>
      </c>
      <c r="F9" t="s">
        <v>7164</v>
      </c>
      <c r="G9" t="s">
        <v>7163</v>
      </c>
      <c r="H9" t="s">
        <v>5980</v>
      </c>
      <c r="I9" t="s">
        <v>2362</v>
      </c>
    </row>
    <row r="10" spans="1:9" ht="15" customHeight="1" x14ac:dyDescent="0.25">
      <c r="A10" t="s">
        <v>5721</v>
      </c>
      <c r="B10">
        <v>6</v>
      </c>
      <c r="C10" t="s">
        <v>7165</v>
      </c>
      <c r="D10" t="s">
        <v>7166</v>
      </c>
      <c r="E10" t="s">
        <v>7167</v>
      </c>
      <c r="F10" t="s">
        <v>7168</v>
      </c>
      <c r="G10" t="s">
        <v>7169</v>
      </c>
      <c r="H10" t="s">
        <v>7170</v>
      </c>
      <c r="I10" t="s">
        <v>160</v>
      </c>
    </row>
    <row r="11" spans="1:9" ht="15" customHeight="1" x14ac:dyDescent="0.25">
      <c r="A11" t="s">
        <v>6132</v>
      </c>
      <c r="B11">
        <v>6</v>
      </c>
      <c r="C11" t="s">
        <v>7145</v>
      </c>
      <c r="D11" t="s">
        <v>7171</v>
      </c>
      <c r="E11" t="s">
        <v>7172</v>
      </c>
      <c r="F11" t="s">
        <v>7172</v>
      </c>
      <c r="G11" t="s">
        <v>7173</v>
      </c>
      <c r="H11" t="s">
        <v>5980</v>
      </c>
      <c r="I11" t="s">
        <v>2362</v>
      </c>
    </row>
    <row r="12" spans="1:9" ht="15" customHeight="1" x14ac:dyDescent="0.25">
      <c r="A12" t="s">
        <v>6139</v>
      </c>
      <c r="B12">
        <v>6</v>
      </c>
      <c r="C12" t="s">
        <v>7174</v>
      </c>
      <c r="D12" t="s">
        <v>7174</v>
      </c>
      <c r="E12" t="s">
        <v>7142</v>
      </c>
      <c r="F12" t="s">
        <v>7142</v>
      </c>
      <c r="G12" t="s">
        <v>7143</v>
      </c>
      <c r="H12" t="s">
        <v>5980</v>
      </c>
      <c r="I12" t="s">
        <v>2362</v>
      </c>
    </row>
    <row r="13" spans="1:9" ht="15" customHeight="1" x14ac:dyDescent="0.25">
      <c r="A13" t="s">
        <v>6140</v>
      </c>
      <c r="B13">
        <v>6</v>
      </c>
      <c r="C13" t="s">
        <v>7146</v>
      </c>
      <c r="D13" t="s">
        <v>5686</v>
      </c>
      <c r="E13" t="s">
        <v>5980</v>
      </c>
      <c r="F13" t="s">
        <v>5980</v>
      </c>
      <c r="G13" t="s">
        <v>5980</v>
      </c>
      <c r="H13" t="s">
        <v>5980</v>
      </c>
      <c r="I13" t="s">
        <v>2362</v>
      </c>
    </row>
    <row r="14" spans="1:9" ht="15" customHeight="1" x14ac:dyDescent="0.25">
      <c r="A14" t="s">
        <v>6159</v>
      </c>
      <c r="B14">
        <v>6</v>
      </c>
      <c r="C14" t="s">
        <v>7155</v>
      </c>
      <c r="D14" t="s">
        <v>7155</v>
      </c>
      <c r="E14" t="s">
        <v>7163</v>
      </c>
      <c r="F14" t="s">
        <v>7163</v>
      </c>
      <c r="G14" t="s">
        <v>5980</v>
      </c>
      <c r="H14" t="s">
        <v>5980</v>
      </c>
      <c r="I14" t="s">
        <v>2362</v>
      </c>
    </row>
    <row r="15" spans="1:9" ht="15" customHeight="1" x14ac:dyDescent="0.25">
      <c r="A15" t="s">
        <v>6176</v>
      </c>
      <c r="B15">
        <v>6</v>
      </c>
      <c r="C15" t="s">
        <v>7175</v>
      </c>
      <c r="D15" t="s">
        <v>7176</v>
      </c>
      <c r="E15" t="s">
        <v>7176</v>
      </c>
      <c r="F15" t="s">
        <v>7176</v>
      </c>
      <c r="G15" t="s">
        <v>7163</v>
      </c>
      <c r="H15" t="s">
        <v>5980</v>
      </c>
      <c r="I15" t="s">
        <v>2362</v>
      </c>
    </row>
    <row r="16" spans="1:9" ht="15" customHeight="1" x14ac:dyDescent="0.25">
      <c r="A16" t="s">
        <v>6245</v>
      </c>
      <c r="B16">
        <v>6</v>
      </c>
      <c r="C16" t="s">
        <v>7177</v>
      </c>
      <c r="D16" t="s">
        <v>7178</v>
      </c>
      <c r="E16" t="s">
        <v>7178</v>
      </c>
      <c r="F16" t="s">
        <v>7178</v>
      </c>
      <c r="G16" t="s">
        <v>7179</v>
      </c>
      <c r="H16" t="s">
        <v>5980</v>
      </c>
      <c r="I16" t="s">
        <v>2362</v>
      </c>
    </row>
    <row r="17" spans="1:9" ht="15" customHeight="1" x14ac:dyDescent="0.25">
      <c r="A17" t="s">
        <v>6322</v>
      </c>
      <c r="B17">
        <v>6</v>
      </c>
      <c r="C17" t="s">
        <v>7147</v>
      </c>
      <c r="D17" t="s">
        <v>7147</v>
      </c>
      <c r="E17" t="s">
        <v>7157</v>
      </c>
      <c r="F17" t="s">
        <v>7157</v>
      </c>
      <c r="G17" t="s">
        <v>7150</v>
      </c>
      <c r="H17" t="s">
        <v>7150</v>
      </c>
      <c r="I17" t="s">
        <v>2362</v>
      </c>
    </row>
    <row r="18" spans="1:9" ht="15" customHeight="1" x14ac:dyDescent="0.25">
      <c r="A18" t="s">
        <v>6379</v>
      </c>
      <c r="B18">
        <v>6</v>
      </c>
      <c r="C18" t="s">
        <v>7146</v>
      </c>
      <c r="D18" t="s">
        <v>7146</v>
      </c>
      <c r="E18" t="s">
        <v>7147</v>
      </c>
      <c r="F18" t="s">
        <v>7147</v>
      </c>
      <c r="G18" t="s">
        <v>7149</v>
      </c>
      <c r="H18" t="s">
        <v>7149</v>
      </c>
      <c r="I18" t="s">
        <v>2362</v>
      </c>
    </row>
    <row r="19" spans="1:9" ht="15" customHeight="1" x14ac:dyDescent="0.25">
      <c r="A19" t="s">
        <v>6383</v>
      </c>
      <c r="B19">
        <v>6</v>
      </c>
      <c r="C19" t="s">
        <v>5686</v>
      </c>
      <c r="D19" t="s">
        <v>7149</v>
      </c>
      <c r="E19" t="s">
        <v>7157</v>
      </c>
      <c r="F19" t="s">
        <v>7157</v>
      </c>
      <c r="G19" t="s">
        <v>7150</v>
      </c>
      <c r="H19" t="s">
        <v>7152</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7180</v>
      </c>
      <c r="D1" t="s">
        <v>171</v>
      </c>
      <c r="E1" t="s">
        <v>7181</v>
      </c>
    </row>
    <row r="2" spans="1:5" ht="15" customHeight="1" x14ac:dyDescent="0.25">
      <c r="A2" t="s">
        <v>7182</v>
      </c>
      <c r="B2">
        <v>2022</v>
      </c>
      <c r="C2" t="s">
        <v>2620</v>
      </c>
      <c r="D2" t="s">
        <v>7183</v>
      </c>
    </row>
    <row r="3" spans="1:5" ht="15" customHeight="1" x14ac:dyDescent="0.25">
      <c r="A3" t="s">
        <v>7184</v>
      </c>
      <c r="B3">
        <v>2022</v>
      </c>
      <c r="C3" t="s">
        <v>90</v>
      </c>
      <c r="D3" t="s">
        <v>7185</v>
      </c>
    </row>
    <row r="4" spans="1:5" ht="15" customHeight="1" x14ac:dyDescent="0.25">
      <c r="A4" t="s">
        <v>7186</v>
      </c>
      <c r="B4">
        <v>2024</v>
      </c>
      <c r="C4" t="s">
        <v>353</v>
      </c>
      <c r="D4" t="s">
        <v>7187</v>
      </c>
    </row>
    <row r="5" spans="1:5" ht="15" customHeight="1" x14ac:dyDescent="0.25">
      <c r="A5" t="s">
        <v>7188</v>
      </c>
      <c r="B5">
        <v>2020</v>
      </c>
      <c r="C5" t="s">
        <v>2133</v>
      </c>
      <c r="D5" t="s">
        <v>7189</v>
      </c>
    </row>
    <row r="6" spans="1:5" ht="15" customHeight="1" x14ac:dyDescent="0.25">
      <c r="A6" t="s">
        <v>7190</v>
      </c>
      <c r="B6">
        <v>2021</v>
      </c>
      <c r="C6" t="s">
        <v>2137</v>
      </c>
      <c r="D6" t="s">
        <v>7191</v>
      </c>
    </row>
    <row r="7" spans="1:5" ht="15" customHeight="1" x14ac:dyDescent="0.25">
      <c r="A7" t="s">
        <v>7192</v>
      </c>
      <c r="B7">
        <v>2024</v>
      </c>
      <c r="C7" t="s">
        <v>353</v>
      </c>
      <c r="D7" t="s">
        <v>7193</v>
      </c>
    </row>
    <row r="8" spans="1:5" x14ac:dyDescent="0.25">
      <c r="A8" t="s">
        <v>7194</v>
      </c>
      <c r="B8">
        <v>2024</v>
      </c>
      <c r="C8" t="s">
        <v>353</v>
      </c>
      <c r="E8" s="10" t="s">
        <v>7195</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7196</v>
      </c>
      <c r="B2" t="s">
        <v>7197</v>
      </c>
      <c r="C2" t="s">
        <v>4048</v>
      </c>
    </row>
    <row r="3" spans="1:3" ht="15" customHeight="1" x14ac:dyDescent="0.25">
      <c r="A3" t="s">
        <v>7198</v>
      </c>
      <c r="B3" t="s">
        <v>7199</v>
      </c>
      <c r="C3" t="s">
        <v>4048</v>
      </c>
    </row>
    <row r="4" spans="1:3" ht="15" customHeight="1" x14ac:dyDescent="0.25">
      <c r="A4" t="s">
        <v>4421</v>
      </c>
      <c r="B4" t="s">
        <v>7200</v>
      </c>
      <c r="C4" t="s">
        <v>4065</v>
      </c>
    </row>
    <row r="5" spans="1:3" ht="15" customHeight="1" x14ac:dyDescent="0.25">
      <c r="A5" t="s">
        <v>4025</v>
      </c>
      <c r="B5" t="s">
        <v>7201</v>
      </c>
      <c r="C5" t="s">
        <v>4048</v>
      </c>
    </row>
    <row r="6" spans="1:3" ht="15" customHeight="1" x14ac:dyDescent="0.25">
      <c r="A6" t="s">
        <v>7202</v>
      </c>
      <c r="B6" t="s">
        <v>7203</v>
      </c>
      <c r="C6" t="s">
        <v>4065</v>
      </c>
    </row>
    <row r="7" spans="1:3" ht="15" customHeight="1" x14ac:dyDescent="0.25">
      <c r="A7" t="s">
        <v>7204</v>
      </c>
      <c r="B7" t="s">
        <v>7205</v>
      </c>
      <c r="C7" t="s">
        <v>4048</v>
      </c>
    </row>
    <row r="8" spans="1:3" ht="15" customHeight="1" x14ac:dyDescent="0.25">
      <c r="A8" t="s">
        <v>7206</v>
      </c>
      <c r="B8" t="s">
        <v>7207</v>
      </c>
      <c r="C8" t="s">
        <v>4048</v>
      </c>
    </row>
    <row r="9" spans="1:3" ht="15" customHeight="1" x14ac:dyDescent="0.25">
      <c r="A9" t="s">
        <v>7208</v>
      </c>
      <c r="B9" t="s">
        <v>7209</v>
      </c>
      <c r="C9" t="s">
        <v>4048</v>
      </c>
    </row>
    <row r="10" spans="1:3" ht="15" customHeight="1" x14ac:dyDescent="0.25">
      <c r="A10" t="s">
        <v>7210</v>
      </c>
      <c r="B10" t="s">
        <v>7211</v>
      </c>
      <c r="C10" t="s">
        <v>4076</v>
      </c>
    </row>
    <row r="11" spans="1:3" ht="15" customHeight="1" x14ac:dyDescent="0.25">
      <c r="A11" t="s">
        <v>7212</v>
      </c>
      <c r="B11" t="s">
        <v>7213</v>
      </c>
      <c r="C11" t="s">
        <v>4048</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7214</v>
      </c>
      <c r="C1" t="s">
        <v>4631</v>
      </c>
      <c r="D1" t="s">
        <v>7215</v>
      </c>
      <c r="E1" t="s">
        <v>3461</v>
      </c>
      <c r="F1" t="s">
        <v>167</v>
      </c>
    </row>
    <row r="2" spans="1:6" ht="15" customHeight="1" x14ac:dyDescent="0.25">
      <c r="A2" t="s">
        <v>7216</v>
      </c>
      <c r="B2" t="s">
        <v>5057</v>
      </c>
      <c r="C2" t="s">
        <v>4397</v>
      </c>
      <c r="D2" t="s">
        <v>7217</v>
      </c>
      <c r="E2" t="s">
        <v>7218</v>
      </c>
      <c r="F2" t="s">
        <v>7219</v>
      </c>
    </row>
    <row r="3" spans="1:6" ht="15" customHeight="1" x14ac:dyDescent="0.25">
      <c r="A3" t="s">
        <v>7220</v>
      </c>
      <c r="B3" t="s">
        <v>5057</v>
      </c>
      <c r="C3" t="s">
        <v>4401</v>
      </c>
      <c r="D3" t="s">
        <v>7217</v>
      </c>
      <c r="E3" t="s">
        <v>7221</v>
      </c>
      <c r="F3" t="s">
        <v>7219</v>
      </c>
    </row>
    <row r="4" spans="1:6" ht="15" customHeight="1" x14ac:dyDescent="0.25">
      <c r="A4" t="s">
        <v>7222</v>
      </c>
      <c r="B4" t="s">
        <v>5057</v>
      </c>
      <c r="C4" t="s">
        <v>5060</v>
      </c>
      <c r="D4" t="s">
        <v>7217</v>
      </c>
      <c r="E4" t="s">
        <v>7223</v>
      </c>
      <c r="F4" t="s">
        <v>7219</v>
      </c>
    </row>
    <row r="5" spans="1:6" ht="15" customHeight="1" x14ac:dyDescent="0.25">
      <c r="A5" t="s">
        <v>7224</v>
      </c>
      <c r="B5" t="s">
        <v>5057</v>
      </c>
      <c r="C5" t="s">
        <v>4397</v>
      </c>
      <c r="D5" t="s">
        <v>7217</v>
      </c>
      <c r="E5" t="s">
        <v>7225</v>
      </c>
      <c r="F5" t="s">
        <v>7219</v>
      </c>
    </row>
    <row r="6" spans="1:6" ht="15" customHeight="1" x14ac:dyDescent="0.25">
      <c r="A6" t="s">
        <v>7226</v>
      </c>
      <c r="B6" t="s">
        <v>5057</v>
      </c>
      <c r="C6" t="s">
        <v>4401</v>
      </c>
      <c r="D6" t="s">
        <v>7217</v>
      </c>
      <c r="E6" t="s">
        <v>7227</v>
      </c>
      <c r="F6" t="s">
        <v>7219</v>
      </c>
    </row>
    <row r="7" spans="1:6" ht="15" customHeight="1" x14ac:dyDescent="0.25">
      <c r="A7" t="s">
        <v>7228</v>
      </c>
      <c r="B7" t="s">
        <v>5057</v>
      </c>
      <c r="C7" t="s">
        <v>5060</v>
      </c>
      <c r="D7" t="s">
        <v>7217</v>
      </c>
      <c r="E7" t="s">
        <v>7229</v>
      </c>
      <c r="F7" t="s">
        <v>7219</v>
      </c>
    </row>
    <row r="8" spans="1:6" ht="15" customHeight="1" x14ac:dyDescent="0.25">
      <c r="A8" t="s">
        <v>7230</v>
      </c>
      <c r="B8" t="s">
        <v>5057</v>
      </c>
      <c r="C8" t="s">
        <v>4397</v>
      </c>
      <c r="D8" t="s">
        <v>7231</v>
      </c>
      <c r="E8" t="s">
        <v>7232</v>
      </c>
      <c r="F8" t="s">
        <v>7219</v>
      </c>
    </row>
    <row r="9" spans="1:6" ht="15" customHeight="1" x14ac:dyDescent="0.25">
      <c r="A9" t="s">
        <v>7233</v>
      </c>
      <c r="B9" t="s">
        <v>5057</v>
      </c>
      <c r="C9" t="s">
        <v>4401</v>
      </c>
      <c r="D9" t="s">
        <v>7217</v>
      </c>
      <c r="E9" t="s">
        <v>7232</v>
      </c>
      <c r="F9" t="s">
        <v>7219</v>
      </c>
    </row>
    <row r="10" spans="1:6" ht="15" customHeight="1" x14ac:dyDescent="0.25">
      <c r="A10" t="s">
        <v>7234</v>
      </c>
      <c r="B10" t="s">
        <v>5057</v>
      </c>
      <c r="C10" t="s">
        <v>5060</v>
      </c>
      <c r="D10" t="s">
        <v>7235</v>
      </c>
      <c r="E10" t="s">
        <v>7232</v>
      </c>
      <c r="F10" t="s">
        <v>7219</v>
      </c>
    </row>
    <row r="11" spans="1:6" ht="15" customHeight="1" x14ac:dyDescent="0.25">
      <c r="A11" t="s">
        <v>7236</v>
      </c>
      <c r="B11" t="s">
        <v>4033</v>
      </c>
      <c r="C11" t="s">
        <v>4397</v>
      </c>
      <c r="D11" t="s">
        <v>7231</v>
      </c>
      <c r="E11" t="s">
        <v>7237</v>
      </c>
      <c r="F11" t="s">
        <v>7219</v>
      </c>
    </row>
    <row r="12" spans="1:6" ht="15" customHeight="1" x14ac:dyDescent="0.25">
      <c r="A12" t="s">
        <v>7238</v>
      </c>
      <c r="B12" t="s">
        <v>4033</v>
      </c>
      <c r="C12" t="s">
        <v>4401</v>
      </c>
      <c r="D12" t="s">
        <v>7231</v>
      </c>
      <c r="E12" t="s">
        <v>7239</v>
      </c>
      <c r="F12" t="s">
        <v>7219</v>
      </c>
    </row>
    <row r="13" spans="1:6" ht="15" customHeight="1" x14ac:dyDescent="0.25">
      <c r="A13" t="s">
        <v>7240</v>
      </c>
      <c r="B13" t="s">
        <v>4033</v>
      </c>
      <c r="C13" t="s">
        <v>5060</v>
      </c>
      <c r="D13" t="s">
        <v>7231</v>
      </c>
      <c r="E13" t="s">
        <v>7241</v>
      </c>
      <c r="F13" t="s">
        <v>7219</v>
      </c>
    </row>
    <row r="14" spans="1:6" ht="15" customHeight="1" x14ac:dyDescent="0.25">
      <c r="A14" t="s">
        <v>7242</v>
      </c>
      <c r="B14" t="s">
        <v>6902</v>
      </c>
      <c r="C14" t="s">
        <v>4397</v>
      </c>
      <c r="D14" t="s">
        <v>7243</v>
      </c>
      <c r="E14" t="s">
        <v>7244</v>
      </c>
      <c r="F14" t="s">
        <v>3853</v>
      </c>
    </row>
    <row r="15" spans="1:6" ht="15" customHeight="1" x14ac:dyDescent="0.25">
      <c r="A15" t="s">
        <v>7245</v>
      </c>
      <c r="B15" t="s">
        <v>6902</v>
      </c>
      <c r="C15" t="s">
        <v>4401</v>
      </c>
      <c r="D15" t="s">
        <v>7246</v>
      </c>
      <c r="E15" t="s">
        <v>7244</v>
      </c>
      <c r="F15" t="s">
        <v>3853</v>
      </c>
    </row>
    <row r="16" spans="1:6" ht="15" customHeight="1" x14ac:dyDescent="0.25">
      <c r="A16" t="s">
        <v>7247</v>
      </c>
      <c r="B16" t="s">
        <v>6902</v>
      </c>
      <c r="C16" t="s">
        <v>5060</v>
      </c>
      <c r="D16" t="s">
        <v>7248</v>
      </c>
      <c r="E16" t="s">
        <v>7244</v>
      </c>
      <c r="F16" t="s">
        <v>3853</v>
      </c>
    </row>
    <row r="17" spans="1:6" ht="15" customHeight="1" x14ac:dyDescent="0.25">
      <c r="A17" t="s">
        <v>7249</v>
      </c>
      <c r="B17" t="s">
        <v>6902</v>
      </c>
      <c r="C17" t="s">
        <v>4397</v>
      </c>
      <c r="D17" t="s">
        <v>7250</v>
      </c>
      <c r="E17" t="s">
        <v>7251</v>
      </c>
      <c r="F17" t="s">
        <v>7252</v>
      </c>
    </row>
    <row r="18" spans="1:6" ht="15" customHeight="1" x14ac:dyDescent="0.25">
      <c r="A18" t="s">
        <v>7253</v>
      </c>
      <c r="B18" t="s">
        <v>6902</v>
      </c>
      <c r="C18" t="s">
        <v>4401</v>
      </c>
      <c r="D18" t="s">
        <v>7250</v>
      </c>
      <c r="E18" t="s">
        <v>7254</v>
      </c>
      <c r="F18" t="s">
        <v>7252</v>
      </c>
    </row>
    <row r="19" spans="1:6" ht="15" customHeight="1" x14ac:dyDescent="0.25">
      <c r="A19" t="s">
        <v>7255</v>
      </c>
      <c r="B19" t="s">
        <v>6902</v>
      </c>
      <c r="C19" t="s">
        <v>5060</v>
      </c>
      <c r="D19" t="s">
        <v>7250</v>
      </c>
      <c r="E19" t="s">
        <v>7256</v>
      </c>
      <c r="F19" t="s">
        <v>7252</v>
      </c>
    </row>
    <row r="20" spans="1:6" ht="15" customHeight="1" x14ac:dyDescent="0.25">
      <c r="A20" t="s">
        <v>7257</v>
      </c>
      <c r="B20" t="s">
        <v>6902</v>
      </c>
      <c r="C20" t="s">
        <v>4397</v>
      </c>
      <c r="D20" t="s">
        <v>7258</v>
      </c>
      <c r="E20" t="s">
        <v>7259</v>
      </c>
      <c r="F20" t="s">
        <v>7252</v>
      </c>
    </row>
    <row r="21" spans="1:6" ht="15" customHeight="1" x14ac:dyDescent="0.25">
      <c r="A21" t="s">
        <v>7260</v>
      </c>
      <c r="B21" t="s">
        <v>6902</v>
      </c>
      <c r="C21" t="s">
        <v>4401</v>
      </c>
      <c r="D21" t="s">
        <v>7261</v>
      </c>
      <c r="E21" t="s">
        <v>7259</v>
      </c>
      <c r="F21" t="s">
        <v>7252</v>
      </c>
    </row>
    <row r="22" spans="1:6" ht="15" customHeight="1" x14ac:dyDescent="0.25">
      <c r="A22" t="s">
        <v>7262</v>
      </c>
      <c r="B22" t="s">
        <v>6902</v>
      </c>
      <c r="C22" t="s">
        <v>5060</v>
      </c>
      <c r="D22" t="s">
        <v>7263</v>
      </c>
      <c r="E22" t="s">
        <v>7259</v>
      </c>
      <c r="F22" t="s">
        <v>7252</v>
      </c>
    </row>
    <row r="23" spans="1:6" ht="15" customHeight="1" x14ac:dyDescent="0.25">
      <c r="A23" t="s">
        <v>7264</v>
      </c>
      <c r="B23" t="s">
        <v>4014</v>
      </c>
      <c r="C23" t="s">
        <v>4397</v>
      </c>
      <c r="D23" t="s">
        <v>7243</v>
      </c>
      <c r="E23" t="s">
        <v>7265</v>
      </c>
      <c r="F23" t="s">
        <v>3853</v>
      </c>
    </row>
    <row r="24" spans="1:6" ht="15" customHeight="1" x14ac:dyDescent="0.25">
      <c r="A24" t="s">
        <v>7266</v>
      </c>
      <c r="B24" t="s">
        <v>4014</v>
      </c>
      <c r="C24" t="s">
        <v>4401</v>
      </c>
      <c r="D24" t="s">
        <v>7243</v>
      </c>
      <c r="E24" t="s">
        <v>7267</v>
      </c>
      <c r="F24" t="s">
        <v>3853</v>
      </c>
    </row>
    <row r="25" spans="1:6" ht="15" customHeight="1" x14ac:dyDescent="0.25">
      <c r="A25" t="s">
        <v>7268</v>
      </c>
      <c r="B25" t="s">
        <v>4014</v>
      </c>
      <c r="C25" t="s">
        <v>5060</v>
      </c>
      <c r="D25" t="s">
        <v>7243</v>
      </c>
      <c r="E25" t="s">
        <v>7269</v>
      </c>
      <c r="F25" t="s">
        <v>3853</v>
      </c>
    </row>
    <row r="26" spans="1:6" ht="15" customHeight="1" x14ac:dyDescent="0.25">
      <c r="A26" t="s">
        <v>7270</v>
      </c>
      <c r="B26" t="s">
        <v>4014</v>
      </c>
      <c r="C26" t="s">
        <v>4397</v>
      </c>
      <c r="D26" t="s">
        <v>7271</v>
      </c>
      <c r="E26" t="s">
        <v>7272</v>
      </c>
      <c r="F26" t="s">
        <v>7252</v>
      </c>
    </row>
    <row r="27" spans="1:6" ht="15" customHeight="1" x14ac:dyDescent="0.25">
      <c r="A27" t="s">
        <v>7273</v>
      </c>
      <c r="B27" t="s">
        <v>4014</v>
      </c>
      <c r="C27" t="s">
        <v>4401</v>
      </c>
      <c r="D27" t="s">
        <v>7274</v>
      </c>
      <c r="E27" t="s">
        <v>7272</v>
      </c>
      <c r="F27" t="s">
        <v>7252</v>
      </c>
    </row>
    <row r="28" spans="1:6" ht="15" customHeight="1" x14ac:dyDescent="0.25">
      <c r="A28" t="s">
        <v>7275</v>
      </c>
      <c r="B28" t="s">
        <v>4014</v>
      </c>
      <c r="C28" t="s">
        <v>5060</v>
      </c>
      <c r="D28" t="s">
        <v>7276</v>
      </c>
      <c r="E28" t="s">
        <v>7272</v>
      </c>
      <c r="F28" t="s">
        <v>7252</v>
      </c>
    </row>
    <row r="29" spans="1:6" ht="15" customHeight="1" x14ac:dyDescent="0.25">
      <c r="A29" t="s">
        <v>7277</v>
      </c>
      <c r="B29" t="s">
        <v>4014</v>
      </c>
      <c r="C29" t="s">
        <v>4397</v>
      </c>
      <c r="D29" t="s">
        <v>7278</v>
      </c>
      <c r="E29" t="s">
        <v>7279</v>
      </c>
      <c r="F29" t="s">
        <v>7252</v>
      </c>
    </row>
    <row r="30" spans="1:6" ht="15" customHeight="1" x14ac:dyDescent="0.25">
      <c r="A30" t="s">
        <v>7280</v>
      </c>
      <c r="B30" t="s">
        <v>4014</v>
      </c>
      <c r="C30" t="s">
        <v>4401</v>
      </c>
      <c r="D30" t="s">
        <v>7281</v>
      </c>
      <c r="E30" t="s">
        <v>7279</v>
      </c>
      <c r="F30" t="s">
        <v>7252</v>
      </c>
    </row>
    <row r="31" spans="1:6" ht="15" customHeight="1" x14ac:dyDescent="0.25">
      <c r="A31" t="s">
        <v>7282</v>
      </c>
      <c r="B31" t="s">
        <v>4014</v>
      </c>
      <c r="C31" t="s">
        <v>5060</v>
      </c>
      <c r="D31" t="s">
        <v>7283</v>
      </c>
      <c r="E31" t="s">
        <v>7279</v>
      </c>
      <c r="F31" t="s">
        <v>7252</v>
      </c>
    </row>
    <row r="32" spans="1:6" ht="15" customHeight="1" x14ac:dyDescent="0.25">
      <c r="A32" t="s">
        <v>7284</v>
      </c>
      <c r="B32" t="s">
        <v>4033</v>
      </c>
      <c r="C32" t="s">
        <v>4397</v>
      </c>
      <c r="D32" t="s">
        <v>7285</v>
      </c>
      <c r="E32" t="s">
        <v>7286</v>
      </c>
      <c r="F32" t="s">
        <v>7252</v>
      </c>
    </row>
    <row r="33" spans="1:6" ht="15" customHeight="1" x14ac:dyDescent="0.25">
      <c r="A33" t="s">
        <v>7287</v>
      </c>
      <c r="B33" t="s">
        <v>4033</v>
      </c>
      <c r="C33" t="s">
        <v>4401</v>
      </c>
      <c r="D33" t="s">
        <v>7285</v>
      </c>
      <c r="E33" t="s">
        <v>7286</v>
      </c>
      <c r="F33" t="s">
        <v>7252</v>
      </c>
    </row>
    <row r="34" spans="1:6" ht="15" customHeight="1" x14ac:dyDescent="0.25">
      <c r="A34" t="s">
        <v>7288</v>
      </c>
      <c r="B34" t="s">
        <v>4033</v>
      </c>
      <c r="C34" t="s">
        <v>5060</v>
      </c>
      <c r="D34" t="s">
        <v>7285</v>
      </c>
      <c r="E34" t="s">
        <v>7286</v>
      </c>
      <c r="F34" t="s">
        <v>7252</v>
      </c>
    </row>
    <row r="35" spans="1:6" ht="15" customHeight="1" x14ac:dyDescent="0.25">
      <c r="A35" t="s">
        <v>7289</v>
      </c>
      <c r="B35" t="s">
        <v>5057</v>
      </c>
      <c r="C35" t="s">
        <v>4397</v>
      </c>
      <c r="D35" t="s">
        <v>7231</v>
      </c>
      <c r="E35" t="s">
        <v>7290</v>
      </c>
      <c r="F35" t="s">
        <v>7219</v>
      </c>
    </row>
    <row r="36" spans="1:6" ht="15" customHeight="1" x14ac:dyDescent="0.25">
      <c r="A36" t="s">
        <v>7291</v>
      </c>
      <c r="B36" t="s">
        <v>5057</v>
      </c>
      <c r="C36" t="s">
        <v>4401</v>
      </c>
      <c r="D36" t="s">
        <v>7217</v>
      </c>
      <c r="E36" t="s">
        <v>7290</v>
      </c>
      <c r="F36" t="s">
        <v>7219</v>
      </c>
    </row>
    <row r="37" spans="1:6" ht="15" customHeight="1" x14ac:dyDescent="0.25">
      <c r="A37" t="s">
        <v>7292</v>
      </c>
      <c r="B37" t="s">
        <v>5057</v>
      </c>
      <c r="C37" t="s">
        <v>5060</v>
      </c>
      <c r="D37" t="s">
        <v>7235</v>
      </c>
      <c r="E37" t="s">
        <v>7290</v>
      </c>
      <c r="F37" t="s">
        <v>7219</v>
      </c>
    </row>
    <row r="38" spans="1:6" ht="15" customHeight="1" x14ac:dyDescent="0.25">
      <c r="A38" t="s">
        <v>7293</v>
      </c>
      <c r="B38" t="s">
        <v>4033</v>
      </c>
      <c r="C38" t="s">
        <v>4397</v>
      </c>
      <c r="D38" t="s">
        <v>7231</v>
      </c>
      <c r="E38" t="s">
        <v>7294</v>
      </c>
      <c r="F38" t="s">
        <v>7219</v>
      </c>
    </row>
    <row r="39" spans="1:6" ht="15" customHeight="1" x14ac:dyDescent="0.25">
      <c r="A39" t="s">
        <v>7295</v>
      </c>
      <c r="B39" t="s">
        <v>4033</v>
      </c>
      <c r="C39" t="s">
        <v>4401</v>
      </c>
      <c r="D39" t="s">
        <v>7217</v>
      </c>
      <c r="E39" t="s">
        <v>7294</v>
      </c>
      <c r="F39" t="s">
        <v>7219</v>
      </c>
    </row>
    <row r="40" spans="1:6" ht="15" customHeight="1" x14ac:dyDescent="0.25">
      <c r="A40" t="s">
        <v>7296</v>
      </c>
      <c r="B40" t="s">
        <v>4033</v>
      </c>
      <c r="C40" t="s">
        <v>5060</v>
      </c>
      <c r="D40" t="s">
        <v>7235</v>
      </c>
      <c r="E40" t="s">
        <v>7294</v>
      </c>
      <c r="F40" t="s">
        <v>7219</v>
      </c>
    </row>
    <row r="41" spans="1:6" ht="15" customHeight="1" x14ac:dyDescent="0.25">
      <c r="A41" t="s">
        <v>7297</v>
      </c>
      <c r="B41" t="s">
        <v>5057</v>
      </c>
      <c r="C41" t="s">
        <v>4397</v>
      </c>
      <c r="D41" t="s">
        <v>7235</v>
      </c>
      <c r="E41" t="s">
        <v>7298</v>
      </c>
      <c r="F41" t="s">
        <v>7219</v>
      </c>
    </row>
    <row r="42" spans="1:6" ht="15" customHeight="1" x14ac:dyDescent="0.25">
      <c r="A42" t="s">
        <v>7299</v>
      </c>
      <c r="B42" t="s">
        <v>5057</v>
      </c>
      <c r="C42" t="s">
        <v>4401</v>
      </c>
      <c r="D42" t="s">
        <v>7235</v>
      </c>
      <c r="E42" t="s">
        <v>7300</v>
      </c>
      <c r="F42" t="s">
        <v>7219</v>
      </c>
    </row>
    <row r="43" spans="1:6" ht="15" customHeight="1" x14ac:dyDescent="0.25">
      <c r="A43" t="s">
        <v>7301</v>
      </c>
      <c r="B43" t="s">
        <v>5057</v>
      </c>
      <c r="C43" t="s">
        <v>5060</v>
      </c>
      <c r="D43" t="s">
        <v>7235</v>
      </c>
      <c r="E43" t="s">
        <v>7302</v>
      </c>
      <c r="F43" t="s">
        <v>7219</v>
      </c>
    </row>
    <row r="44" spans="1:6" ht="15" customHeight="1" x14ac:dyDescent="0.25">
      <c r="A44" t="s">
        <v>7303</v>
      </c>
      <c r="B44" t="s">
        <v>6902</v>
      </c>
      <c r="C44" t="s">
        <v>4397</v>
      </c>
      <c r="D44" t="s">
        <v>7231</v>
      </c>
      <c r="E44" t="s">
        <v>7304</v>
      </c>
      <c r="F44" t="s">
        <v>7219</v>
      </c>
    </row>
    <row r="45" spans="1:6" ht="15" customHeight="1" x14ac:dyDescent="0.25">
      <c r="A45" t="s">
        <v>7305</v>
      </c>
      <c r="B45" t="s">
        <v>6902</v>
      </c>
      <c r="C45" t="s">
        <v>4401</v>
      </c>
      <c r="D45" t="s">
        <v>7217</v>
      </c>
      <c r="E45" t="s">
        <v>7304</v>
      </c>
      <c r="F45" t="s">
        <v>7219</v>
      </c>
    </row>
    <row r="46" spans="1:6" ht="15" customHeight="1" x14ac:dyDescent="0.25">
      <c r="A46" t="s">
        <v>7306</v>
      </c>
      <c r="B46" t="s">
        <v>6902</v>
      </c>
      <c r="C46" t="s">
        <v>5060</v>
      </c>
      <c r="D46" t="s">
        <v>7235</v>
      </c>
      <c r="E46" t="s">
        <v>7304</v>
      </c>
      <c r="F46" t="s">
        <v>7219</v>
      </c>
    </row>
    <row r="47" spans="1:6" ht="15" customHeight="1" x14ac:dyDescent="0.25">
      <c r="A47" t="s">
        <v>7307</v>
      </c>
      <c r="B47" t="s">
        <v>4014</v>
      </c>
      <c r="C47" t="s">
        <v>4397</v>
      </c>
      <c r="D47" t="s">
        <v>7278</v>
      </c>
      <c r="E47" t="s">
        <v>7308</v>
      </c>
      <c r="F47" t="s">
        <v>7252</v>
      </c>
    </row>
    <row r="48" spans="1:6" ht="15" customHeight="1" x14ac:dyDescent="0.25">
      <c r="A48" t="s">
        <v>7309</v>
      </c>
      <c r="B48" t="s">
        <v>4014</v>
      </c>
      <c r="C48" t="s">
        <v>4401</v>
      </c>
      <c r="D48" t="s">
        <v>7281</v>
      </c>
      <c r="E48" t="s">
        <v>7310</v>
      </c>
      <c r="F48" t="s">
        <v>7252</v>
      </c>
    </row>
    <row r="49" spans="1:6" ht="15" customHeight="1" x14ac:dyDescent="0.25">
      <c r="A49" t="s">
        <v>7311</v>
      </c>
      <c r="B49" t="s">
        <v>4014</v>
      </c>
      <c r="C49" t="s">
        <v>5060</v>
      </c>
      <c r="D49" t="s">
        <v>7283</v>
      </c>
      <c r="E49" t="s">
        <v>7312</v>
      </c>
      <c r="F49" t="s">
        <v>7252</v>
      </c>
    </row>
    <row r="50" spans="1:6" ht="15" customHeight="1" x14ac:dyDescent="0.25">
      <c r="A50" t="s">
        <v>7313</v>
      </c>
      <c r="B50" t="s">
        <v>4033</v>
      </c>
      <c r="C50" t="s">
        <v>4397</v>
      </c>
      <c r="D50" t="s">
        <v>7231</v>
      </c>
      <c r="E50" t="s">
        <v>7314</v>
      </c>
      <c r="F50" t="s">
        <v>7219</v>
      </c>
    </row>
    <row r="51" spans="1:6" ht="15" customHeight="1" x14ac:dyDescent="0.25">
      <c r="A51" t="s">
        <v>7315</v>
      </c>
      <c r="B51" t="s">
        <v>4033</v>
      </c>
      <c r="C51" t="s">
        <v>4401</v>
      </c>
      <c r="D51" t="s">
        <v>7217</v>
      </c>
      <c r="E51" t="s">
        <v>7314</v>
      </c>
      <c r="F51" t="s">
        <v>7219</v>
      </c>
    </row>
    <row r="52" spans="1:6" ht="15" customHeight="1" x14ac:dyDescent="0.25">
      <c r="A52" t="s">
        <v>7316</v>
      </c>
      <c r="B52" t="s">
        <v>4033</v>
      </c>
      <c r="C52" t="s">
        <v>5060</v>
      </c>
      <c r="D52" t="s">
        <v>7235</v>
      </c>
      <c r="E52" t="s">
        <v>7314</v>
      </c>
      <c r="F52" t="s">
        <v>7219</v>
      </c>
    </row>
    <row r="53" spans="1:6" ht="15" customHeight="1" x14ac:dyDescent="0.25">
      <c r="A53" t="s">
        <v>7317</v>
      </c>
      <c r="B53" t="s">
        <v>4014</v>
      </c>
      <c r="C53" t="s">
        <v>4397</v>
      </c>
      <c r="D53" t="s">
        <v>7318</v>
      </c>
      <c r="E53" t="s">
        <v>7319</v>
      </c>
      <c r="F53" t="s">
        <v>7252</v>
      </c>
    </row>
    <row r="54" spans="1:6" ht="15" customHeight="1" x14ac:dyDescent="0.25">
      <c r="A54" t="s">
        <v>7320</v>
      </c>
      <c r="B54" t="s">
        <v>4014</v>
      </c>
      <c r="C54" t="s">
        <v>4401</v>
      </c>
      <c r="D54" t="s">
        <v>7321</v>
      </c>
      <c r="E54" t="s">
        <v>7319</v>
      </c>
      <c r="F54" t="s">
        <v>7252</v>
      </c>
    </row>
    <row r="55" spans="1:6" ht="15" customHeight="1" x14ac:dyDescent="0.25">
      <c r="A55" t="s">
        <v>7322</v>
      </c>
      <c r="B55" t="s">
        <v>4014</v>
      </c>
      <c r="C55" t="s">
        <v>5060</v>
      </c>
      <c r="D55" t="s">
        <v>7323</v>
      </c>
      <c r="E55" t="s">
        <v>7319</v>
      </c>
      <c r="F55" t="s">
        <v>7252</v>
      </c>
    </row>
    <row r="56" spans="1:6" ht="15" customHeight="1" x14ac:dyDescent="0.25">
      <c r="A56" t="s">
        <v>7324</v>
      </c>
      <c r="B56" t="s">
        <v>5057</v>
      </c>
      <c r="C56" t="s">
        <v>4397</v>
      </c>
      <c r="D56" t="s">
        <v>7325</v>
      </c>
      <c r="E56" t="s">
        <v>7326</v>
      </c>
      <c r="F56" t="s">
        <v>7252</v>
      </c>
    </row>
    <row r="57" spans="1:6" ht="15" customHeight="1" x14ac:dyDescent="0.25">
      <c r="A57" t="s">
        <v>7327</v>
      </c>
      <c r="B57" t="s">
        <v>5057</v>
      </c>
      <c r="C57" t="s">
        <v>4401</v>
      </c>
      <c r="D57" t="s">
        <v>7328</v>
      </c>
      <c r="E57" t="s">
        <v>7326</v>
      </c>
      <c r="F57" t="s">
        <v>7252</v>
      </c>
    </row>
    <row r="58" spans="1:6" ht="15" customHeight="1" x14ac:dyDescent="0.25">
      <c r="A58" t="s">
        <v>7329</v>
      </c>
      <c r="B58" t="s">
        <v>5057</v>
      </c>
      <c r="C58" t="s">
        <v>5060</v>
      </c>
      <c r="D58" t="s">
        <v>7330</v>
      </c>
      <c r="E58" t="s">
        <v>7326</v>
      </c>
      <c r="F58" t="s">
        <v>7252</v>
      </c>
    </row>
    <row r="59" spans="1:6" ht="15" customHeight="1" x14ac:dyDescent="0.25">
      <c r="A59" t="s">
        <v>7331</v>
      </c>
      <c r="B59" t="s">
        <v>5057</v>
      </c>
      <c r="C59" t="s">
        <v>4397</v>
      </c>
      <c r="D59" t="s">
        <v>7231</v>
      </c>
      <c r="E59" t="s">
        <v>7332</v>
      </c>
      <c r="F59" t="s">
        <v>3853</v>
      </c>
    </row>
    <row r="60" spans="1:6" ht="15" customHeight="1" x14ac:dyDescent="0.25">
      <c r="A60" t="s">
        <v>7333</v>
      </c>
      <c r="B60" t="s">
        <v>5057</v>
      </c>
      <c r="C60" t="s">
        <v>4401</v>
      </c>
      <c r="D60" t="s">
        <v>7217</v>
      </c>
      <c r="E60" t="s">
        <v>7332</v>
      </c>
      <c r="F60" t="s">
        <v>3853</v>
      </c>
    </row>
    <row r="61" spans="1:6" ht="15" customHeight="1" x14ac:dyDescent="0.25">
      <c r="A61" t="s">
        <v>7334</v>
      </c>
      <c r="B61" t="s">
        <v>5057</v>
      </c>
      <c r="C61" t="s">
        <v>5060</v>
      </c>
      <c r="D61" t="s">
        <v>7235</v>
      </c>
      <c r="E61" t="s">
        <v>7332</v>
      </c>
      <c r="F61" t="s">
        <v>3853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3755</v>
      </c>
      <c r="B1" t="s">
        <v>3751</v>
      </c>
    </row>
    <row r="2" spans="1:2" ht="15" customHeight="1" x14ac:dyDescent="0.25">
      <c r="A2" t="s">
        <v>7335</v>
      </c>
      <c r="B2" t="s">
        <v>4979</v>
      </c>
    </row>
    <row r="3" spans="1:2" ht="15" customHeight="1" x14ac:dyDescent="0.25">
      <c r="A3" t="s">
        <v>7336</v>
      </c>
      <c r="B3" t="s">
        <v>4979</v>
      </c>
    </row>
    <row r="4" spans="1:2" ht="15" customHeight="1" x14ac:dyDescent="0.25">
      <c r="A4" t="s">
        <v>7337</v>
      </c>
      <c r="B4" t="s">
        <v>4979</v>
      </c>
    </row>
    <row r="5" spans="1:2" ht="15" customHeight="1" x14ac:dyDescent="0.25">
      <c r="A5" t="s">
        <v>7338</v>
      </c>
      <c r="B5" t="s">
        <v>4979</v>
      </c>
    </row>
    <row r="6" spans="1:2" ht="15" customHeight="1" x14ac:dyDescent="0.25">
      <c r="A6" t="s">
        <v>3988</v>
      </c>
      <c r="B6" t="s">
        <v>4979</v>
      </c>
    </row>
    <row r="7" spans="1:2" ht="15" customHeight="1" x14ac:dyDescent="0.25">
      <c r="A7" t="s">
        <v>7339</v>
      </c>
      <c r="B7" t="s">
        <v>4979</v>
      </c>
    </row>
    <row r="8" spans="1:2" ht="15" customHeight="1" x14ac:dyDescent="0.25">
      <c r="A8" t="s">
        <v>7340</v>
      </c>
      <c r="B8" t="s">
        <v>4979</v>
      </c>
    </row>
    <row r="9" spans="1:2" ht="15" customHeight="1" x14ac:dyDescent="0.25">
      <c r="A9" t="s">
        <v>7341</v>
      </c>
      <c r="B9" t="s">
        <v>4979</v>
      </c>
    </row>
    <row r="10" spans="1:2" ht="15" customHeight="1" x14ac:dyDescent="0.25">
      <c r="A10" t="s">
        <v>7342</v>
      </c>
      <c r="B10" t="s">
        <v>4979</v>
      </c>
    </row>
    <row r="11" spans="1:2" ht="15" customHeight="1" x14ac:dyDescent="0.25">
      <c r="A11" t="s">
        <v>7343</v>
      </c>
      <c r="B11" t="s">
        <v>4979</v>
      </c>
    </row>
    <row r="12" spans="1:2" ht="15" customHeight="1" x14ac:dyDescent="0.25">
      <c r="A12" t="s">
        <v>7344</v>
      </c>
      <c r="B12" t="s">
        <v>4406</v>
      </c>
    </row>
    <row r="13" spans="1:2" ht="15" customHeight="1" x14ac:dyDescent="0.25">
      <c r="A13" t="s">
        <v>7345</v>
      </c>
      <c r="B13" t="s">
        <v>4406</v>
      </c>
    </row>
    <row r="14" spans="1:2" ht="15" customHeight="1" x14ac:dyDescent="0.25">
      <c r="A14" t="s">
        <v>7346</v>
      </c>
      <c r="B14" t="s">
        <v>4406</v>
      </c>
    </row>
    <row r="15" spans="1:2" ht="15" customHeight="1" x14ac:dyDescent="0.25">
      <c r="A15" t="s">
        <v>7347</v>
      </c>
      <c r="B15" t="s">
        <v>4406</v>
      </c>
    </row>
    <row r="16" spans="1:2" ht="15" customHeight="1" x14ac:dyDescent="0.25">
      <c r="A16" t="s">
        <v>7348</v>
      </c>
      <c r="B16" t="s">
        <v>4406</v>
      </c>
    </row>
    <row r="17" spans="1:2" ht="15" customHeight="1" x14ac:dyDescent="0.25">
      <c r="A17" t="s">
        <v>7349</v>
      </c>
      <c r="B17" t="s">
        <v>4406</v>
      </c>
    </row>
    <row r="18" spans="1:2" ht="15" customHeight="1" x14ac:dyDescent="0.25">
      <c r="A18" t="s">
        <v>7350</v>
      </c>
      <c r="B18" t="s">
        <v>7351</v>
      </c>
    </row>
    <row r="19" spans="1:2" ht="15" customHeight="1" x14ac:dyDescent="0.25">
      <c r="A19" t="s">
        <v>7352</v>
      </c>
      <c r="B19" t="s">
        <v>7351</v>
      </c>
    </row>
    <row r="20" spans="1:2" ht="15" customHeight="1" x14ac:dyDescent="0.25">
      <c r="A20" t="s">
        <v>7353</v>
      </c>
      <c r="B20" t="s">
        <v>7351</v>
      </c>
    </row>
    <row r="21" spans="1:2" ht="15" customHeight="1" x14ac:dyDescent="0.25">
      <c r="A21" t="s">
        <v>7354</v>
      </c>
      <c r="B21" t="s">
        <v>7351</v>
      </c>
    </row>
    <row r="22" spans="1:2" ht="15" customHeight="1" x14ac:dyDescent="0.25">
      <c r="A22" t="s">
        <v>7355</v>
      </c>
      <c r="B22" t="s">
        <v>7351</v>
      </c>
    </row>
    <row r="23" spans="1:2" ht="15" customHeight="1" x14ac:dyDescent="0.25">
      <c r="A23" t="s">
        <v>3985</v>
      </c>
      <c r="B23" t="s">
        <v>7351</v>
      </c>
    </row>
    <row r="24" spans="1:2" ht="15" customHeight="1" x14ac:dyDescent="0.25">
      <c r="A24" t="s">
        <v>7356</v>
      </c>
      <c r="B24" t="s">
        <v>7351</v>
      </c>
    </row>
    <row r="25" spans="1:2" ht="15" customHeight="1" x14ac:dyDescent="0.25">
      <c r="A25" t="s">
        <v>7357</v>
      </c>
      <c r="B25" t="s">
        <v>7351</v>
      </c>
    </row>
    <row r="26" spans="1:2" ht="15" customHeight="1" x14ac:dyDescent="0.25">
      <c r="A26" t="s">
        <v>7358</v>
      </c>
      <c r="B26" t="s">
        <v>7351</v>
      </c>
    </row>
    <row r="27" spans="1:2" ht="15" customHeight="1" x14ac:dyDescent="0.25">
      <c r="A27" t="s">
        <v>7359</v>
      </c>
      <c r="B27" t="s">
        <v>7351</v>
      </c>
    </row>
    <row r="28" spans="1:2" ht="15" customHeight="1" x14ac:dyDescent="0.25">
      <c r="A28" t="s">
        <v>7360</v>
      </c>
      <c r="B28" t="s">
        <v>7351</v>
      </c>
    </row>
    <row r="29" spans="1:2" ht="15" customHeight="1" x14ac:dyDescent="0.25">
      <c r="A29" t="s">
        <v>7361</v>
      </c>
      <c r="B29" t="s">
        <v>7351</v>
      </c>
    </row>
    <row r="30" spans="1:2" ht="15" customHeight="1" x14ac:dyDescent="0.25">
      <c r="A30" t="s">
        <v>7362</v>
      </c>
      <c r="B30" t="s">
        <v>7351</v>
      </c>
    </row>
    <row r="31" spans="1:2" ht="15" customHeight="1" x14ac:dyDescent="0.25">
      <c r="A31" t="s">
        <v>7363</v>
      </c>
      <c r="B31" t="s">
        <v>7351</v>
      </c>
    </row>
    <row r="32" spans="1:2" ht="15" customHeight="1" x14ac:dyDescent="0.25">
      <c r="A32" t="s">
        <v>7364</v>
      </c>
      <c r="B32" t="s">
        <v>7351</v>
      </c>
    </row>
    <row r="33" spans="1:2" ht="15" customHeight="1" x14ac:dyDescent="0.25">
      <c r="A33" t="s">
        <v>7365</v>
      </c>
      <c r="B33" t="s">
        <v>7351</v>
      </c>
    </row>
    <row r="34" spans="1:2" ht="15" customHeight="1" x14ac:dyDescent="0.25">
      <c r="A34" t="s">
        <v>7366</v>
      </c>
      <c r="B34" t="s">
        <v>7351</v>
      </c>
    </row>
    <row r="35" spans="1:2" ht="15" customHeight="1" x14ac:dyDescent="0.25">
      <c r="A35" t="s">
        <v>7367</v>
      </c>
      <c r="B35" t="s">
        <v>7351</v>
      </c>
    </row>
    <row r="36" spans="1:2" ht="15" customHeight="1" x14ac:dyDescent="0.25">
      <c r="A36" t="s">
        <v>7368</v>
      </c>
      <c r="B36" t="s">
        <v>7351</v>
      </c>
    </row>
    <row r="37" spans="1:2" ht="15" customHeight="1" x14ac:dyDescent="0.25">
      <c r="A37" t="s">
        <v>7369</v>
      </c>
      <c r="B37" t="s">
        <v>7351</v>
      </c>
    </row>
    <row r="38" spans="1:2" ht="15" customHeight="1" x14ac:dyDescent="0.25">
      <c r="A38" t="s">
        <v>7370</v>
      </c>
      <c r="B38" t="s">
        <v>7351</v>
      </c>
    </row>
    <row r="39" spans="1:2" ht="15" customHeight="1" x14ac:dyDescent="0.25">
      <c r="A39" t="s">
        <v>7371</v>
      </c>
      <c r="B39" t="s">
        <v>4406</v>
      </c>
    </row>
    <row r="40" spans="1:2" ht="15" customHeight="1" x14ac:dyDescent="0.25">
      <c r="A40" t="s">
        <v>7372</v>
      </c>
      <c r="B40" t="s">
        <v>7351</v>
      </c>
    </row>
    <row r="41" spans="1:2" ht="15" customHeight="1" x14ac:dyDescent="0.25">
      <c r="A41" t="s">
        <v>7373</v>
      </c>
      <c r="B41" t="s">
        <v>7351</v>
      </c>
    </row>
    <row r="42" spans="1:2" ht="15" customHeight="1" x14ac:dyDescent="0.25">
      <c r="A42" t="s">
        <v>7374</v>
      </c>
      <c r="B42" t="s">
        <v>7351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4341</v>
      </c>
      <c r="E1" s="14" t="s">
        <v>7375</v>
      </c>
      <c r="F1" s="14" t="s">
        <v>7376</v>
      </c>
      <c r="G1" s="14" t="s">
        <v>7377</v>
      </c>
      <c r="H1" s="14" t="s">
        <v>7378</v>
      </c>
      <c r="I1" s="14" t="s">
        <v>7379</v>
      </c>
      <c r="J1" s="14" t="s">
        <v>7380</v>
      </c>
      <c r="K1" s="14" t="s">
        <v>7381</v>
      </c>
      <c r="L1" s="14" t="s">
        <v>7382</v>
      </c>
      <c r="M1" s="14" t="s">
        <v>7383</v>
      </c>
      <c r="N1" s="14" t="s">
        <v>7384</v>
      </c>
      <c r="O1" s="14" t="s">
        <v>7385</v>
      </c>
      <c r="P1" s="14" t="s">
        <v>172</v>
      </c>
      <c r="Q1" s="14" t="s">
        <v>7386</v>
      </c>
      <c r="R1" s="14" t="s">
        <v>4343</v>
      </c>
      <c r="T1" s="14" t="s">
        <v>7387</v>
      </c>
      <c r="U1" s="14" t="s">
        <v>7388</v>
      </c>
      <c r="V1" s="14" t="s">
        <v>7389</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2</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2.0000529999999999</v>
      </c>
      <c r="P53" t="str">
        <f>IF(OR($A53="",games!$H53=""),"",games!$H53)</f>
        <v>Yes</v>
      </c>
      <c r="Q53">
        <f t="shared" si="11"/>
        <v>2.0000529999999999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Cadence of Hyrule</v>
      </c>
      <c r="B98">
        <f>IF($A98="","",games!$B98)</f>
        <v>2019</v>
      </c>
      <c r="C98" t="str">
        <f>IF($A98="","",games!$C98)</f>
        <v>Traditional</v>
      </c>
      <c r="D98">
        <f>IF($A98="","",COUNTIF(connections!$A$2:$A$1400,$A98)+COUNTIF(connections!$B$2:$B$1400,$A98))</f>
        <v>1</v>
      </c>
      <c r="E98">
        <f t="shared" si="13"/>
        <v>4</v>
      </c>
      <c r="F98">
        <f t="shared" si="14"/>
        <v>30</v>
      </c>
      <c r="G98" t="e">
        <f t="shared" si="15"/>
        <v>#N/A</v>
      </c>
      <c r="H98" t="e">
        <f t="shared" si="16"/>
        <v>#N/A</v>
      </c>
      <c r="I98" t="e">
        <f t="shared" si="17"/>
        <v>#N/A</v>
      </c>
      <c r="J98" t="e">
        <f t="shared" si="18"/>
        <v>#N/A</v>
      </c>
      <c r="K98" t="e">
        <f t="shared" si="19"/>
        <v>#N/A</v>
      </c>
      <c r="L98" t="e">
        <f t="shared" si="20"/>
        <v>#N/A</v>
      </c>
      <c r="M98">
        <f t="shared" si="21"/>
        <v>2019</v>
      </c>
      <c r="N98">
        <f t="shared" si="22"/>
        <v>4.6899999999999995</v>
      </c>
      <c r="O98">
        <f t="shared" si="23"/>
        <v>1.0000979999999999</v>
      </c>
      <c r="P98" t="str">
        <f>IF(OR($A98="",games!$H98=""),"",games!$H98)</f>
        <v/>
      </c>
      <c r="Q98" t="str">
        <f t="shared" si="24"/>
        <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Candies 'n Curses</v>
      </c>
      <c r="B99">
        <f>IF($A99="","",games!$B99)</f>
        <v>2018</v>
      </c>
      <c r="C99" t="str">
        <f>IF($A99="","",games!$C99)</f>
        <v>Action</v>
      </c>
      <c r="D99">
        <f>IF($A99="","",COUNTIF(connections!$A$2:$A$1400,$A99)+COUNTIF(connections!$B$2:$B$1400,$A99))</f>
        <v>1</v>
      </c>
      <c r="E99">
        <f t="shared" si="13"/>
        <v>1</v>
      </c>
      <c r="F99">
        <f t="shared" si="14"/>
        <v>31</v>
      </c>
      <c r="G99">
        <f t="shared" si="15"/>
        <v>2018</v>
      </c>
      <c r="H99">
        <f t="shared" si="16"/>
        <v>1.7130000000000001</v>
      </c>
      <c r="I99" t="e">
        <f t="shared" si="17"/>
        <v>#N/A</v>
      </c>
      <c r="J99" t="e">
        <f t="shared" si="18"/>
        <v>#N/A</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Captain Forever Remix</v>
      </c>
      <c r="B100">
        <f>IF($A100="","",games!$B100)</f>
        <v>2016</v>
      </c>
      <c r="C100" t="str">
        <f>IF($A100="","",games!$C100)</f>
        <v>Action</v>
      </c>
      <c r="D100">
        <f>IF($A100="","",COUNTIF(connections!$A$2:$A$1400,$A100)+COUNTIF(connections!$B$2:$B$1400,$A100))</f>
        <v>0</v>
      </c>
      <c r="E100">
        <f t="shared" si="13"/>
        <v>1</v>
      </c>
      <c r="F100">
        <f t="shared" si="14"/>
        <v>32</v>
      </c>
      <c r="G100">
        <f t="shared" si="15"/>
        <v>2016</v>
      </c>
      <c r="H100">
        <f t="shared" si="16"/>
        <v>1.736</v>
      </c>
      <c r="I100" t="e">
        <f t="shared" si="17"/>
        <v>#N/A</v>
      </c>
      <c r="J100" t="e">
        <f t="shared" si="18"/>
        <v>#N/A</v>
      </c>
      <c r="K100" t="e">
        <f t="shared" si="19"/>
        <v>#N/A</v>
      </c>
      <c r="L100" t="e">
        <f t="shared" si="20"/>
        <v>#N/A</v>
      </c>
      <c r="M100" t="e">
        <f t="shared" si="21"/>
        <v>#N/A</v>
      </c>
      <c r="N100" t="e">
        <f t="shared" si="22"/>
        <v>#N/A</v>
      </c>
      <c r="O100">
        <f t="shared" si="23"/>
        <v>1E-4</v>
      </c>
      <c r="P100" t="str">
        <f>IF(OR($A100="",games!$H100=""),"",games!$H100)</f>
        <v>Yes</v>
      </c>
      <c r="Q100">
        <f t="shared" si="24"/>
        <v>1E-4</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v>
      </c>
      <c r="B101">
        <f>IF($A101="","",games!$B101)</f>
        <v>2010</v>
      </c>
      <c r="C101" t="str">
        <f>IF($A101="","",games!$C101)</f>
        <v>Traditional</v>
      </c>
      <c r="D101">
        <f>IF($A101="","",COUNTIF(connections!$A$2:$A$1400,$A101)+COUNTIF(connections!$B$2:$B$1400,$A101))</f>
        <v>5</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2010</v>
      </c>
      <c r="N101">
        <f t="shared" si="22"/>
        <v>4.7590000000000003</v>
      </c>
      <c r="O101">
        <f t="shared" si="23"/>
        <v>5.0001009999999999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Cardinal Quest 2</v>
      </c>
      <c r="B102">
        <f>IF($A102="","",games!$B102)</f>
        <v>2014</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2014</v>
      </c>
      <c r="N102">
        <f t="shared" si="22"/>
        <v>4</v>
      </c>
      <c r="O102">
        <f t="shared" si="23"/>
        <v>1.000102</v>
      </c>
      <c r="P102" t="str">
        <f>IF(OR($A102="",games!$H102=""),"",games!$H102)</f>
        <v/>
      </c>
      <c r="Q102" t="str">
        <f t="shared" si="24"/>
        <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 of the Winds</v>
      </c>
      <c r="B103">
        <f>IF($A103="","",games!$B103)</f>
        <v>1994</v>
      </c>
      <c r="C103" t="str">
        <f>IF($A103="","",games!$C103)</f>
        <v>Traditional</v>
      </c>
      <c r="D103">
        <f>IF($A103="","",COUNTIF(connections!$A$2:$A$1400,$A103)+COUNTIF(connections!$B$2:$B$1400,$A103))</f>
        <v>2</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1994</v>
      </c>
      <c r="N103">
        <f t="shared" si="22"/>
        <v>4.0229999999999997</v>
      </c>
      <c r="O103">
        <f t="shared" si="23"/>
        <v>2.0001030000000002</v>
      </c>
      <c r="P103" t="str">
        <f>IF(OR($A103="",games!$H103=""),"",games!$H103)</f>
        <v>Yes</v>
      </c>
      <c r="Q103">
        <f t="shared" si="24"/>
        <v>2.0001030000000002</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CastlevaniaRL</v>
      </c>
      <c r="B104">
        <f>IF($A104="","",games!$B104)</f>
        <v>2005</v>
      </c>
      <c r="C104" t="str">
        <f>IF($A104="","",games!$C104)</f>
        <v>Traditional</v>
      </c>
      <c r="D104">
        <f>IF($A104="","",COUNTIF(connections!$A$2:$A$1400,$A104)+COUNTIF(connections!$B$2:$B$1400,$A104))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2005</v>
      </c>
      <c r="N104">
        <f t="shared" si="22"/>
        <v>4.0460000000000003</v>
      </c>
      <c r="O104">
        <f t="shared" si="23"/>
        <v>1.0001040000000001</v>
      </c>
      <c r="P104" t="str">
        <f>IF(OR($A104="",games!$H104=""),"",games!$H104)</f>
        <v>Yes</v>
      </c>
      <c r="Q104">
        <f t="shared" si="24"/>
        <v>1.0001040000000001</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 God Ranch</v>
      </c>
      <c r="B105">
        <f>IF($A105="","",games!$B105)</f>
        <v>2024</v>
      </c>
      <c r="C105" t="str">
        <f>IF($A105="","",games!$C105)</f>
        <v>Deckbuilder</v>
      </c>
      <c r="D105">
        <f>IF($A105="","",COUNTIF(connections!$A$2:$A$1400,$A105)+COUNTIF(connections!$B$2:$B$1400,$A105))</f>
        <v>1</v>
      </c>
      <c r="E105">
        <f t="shared" si="13"/>
        <v>3</v>
      </c>
      <c r="F105">
        <f t="shared" si="14"/>
        <v>3</v>
      </c>
      <c r="G105" t="e">
        <f t="shared" si="15"/>
        <v>#N/A</v>
      </c>
      <c r="H105" t="e">
        <f t="shared" si="16"/>
        <v>#N/A</v>
      </c>
      <c r="I105" t="e">
        <f t="shared" si="17"/>
        <v>#N/A</v>
      </c>
      <c r="J105" t="e">
        <f t="shared" si="18"/>
        <v>#N/A</v>
      </c>
      <c r="K105">
        <f t="shared" si="19"/>
        <v>2024</v>
      </c>
      <c r="L105">
        <f t="shared" si="20"/>
        <v>3.069</v>
      </c>
      <c r="M105" t="e">
        <f t="shared" si="21"/>
        <v>#N/A</v>
      </c>
      <c r="N105" t="e">
        <f t="shared" si="22"/>
        <v>#N/A</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v>
      </c>
      <c r="B106">
        <f>IF($A106="","",games!$B106)</f>
        <v>2010</v>
      </c>
      <c r="C106" t="str">
        <f>IF($A106="","",games!$C106)</f>
        <v>Traditional</v>
      </c>
      <c r="D106">
        <f>IF($A106="","",COUNTIF(connections!$A$2:$A$1400,$A106)+COUNTIF(connections!$B$2:$B$1400,$A106))</f>
        <v>4</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4.0001059999999997</v>
      </c>
      <c r="P106" t="str">
        <f>IF(OR($A106="",games!$H106=""),"",games!$H106)</f>
        <v>Yes</v>
      </c>
      <c r="Q106">
        <f t="shared" si="24"/>
        <v>4.0001059999999997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Bright Nights</v>
      </c>
      <c r="B107">
        <f>IF($A107="","",games!$B107)</f>
        <v>2020</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2020</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Dark Days Ahead</v>
      </c>
      <c r="B108">
        <f>IF($A108="","",games!$B108)</f>
        <v>2013</v>
      </c>
      <c r="C108" t="str">
        <f>IF($A108="","",games!$C108)</f>
        <v>Traditional</v>
      </c>
      <c r="D108">
        <f>IF($A108="","",COUNTIF(connections!$A$2:$A$1400,$A108)+COUNTIF(connections!$B$2:$B$1400,$A108))</f>
        <v>2</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2013</v>
      </c>
      <c r="N108">
        <f t="shared" si="22"/>
        <v>4.1379999999999999</v>
      </c>
      <c r="O108">
        <f t="shared" si="23"/>
        <v>2.000108</v>
      </c>
      <c r="P108" t="str">
        <f>IF(OR($A108="",games!$H108=""),"",games!$H108)</f>
        <v>Yes</v>
      </c>
      <c r="Q108">
        <f t="shared" si="24"/>
        <v>2.000108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The Last Generation</v>
      </c>
      <c r="B109">
        <f>IF($A109="","",games!$B109)</f>
        <v>2025</v>
      </c>
      <c r="C109" t="str">
        <f>IF($A109="","",games!$C109)</f>
        <v>Traditional</v>
      </c>
      <c r="D109">
        <f>IF($A109="","",COUNTIF(connections!$A$2:$A$1400,$A109)+COUNTIF(connections!$B$2:$B$1400,$A109))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2025</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Catacomb Kids</v>
      </c>
      <c r="B110">
        <f>IF($A110="","",games!$B110)</f>
        <v>2015</v>
      </c>
      <c r="C110" t="str">
        <f>IF($A110="","",games!$C110)</f>
        <v>Action</v>
      </c>
      <c r="D110">
        <f>IF($A110="","",COUNTIF(connections!$A$2:$A$1400,$A110)+COUNTIF(connections!$B$2:$B$1400,$A110))</f>
        <v>4</v>
      </c>
      <c r="E110">
        <f t="shared" si="13"/>
        <v>1</v>
      </c>
      <c r="F110">
        <f t="shared" si="14"/>
        <v>8</v>
      </c>
      <c r="G110">
        <f t="shared" si="15"/>
        <v>2015</v>
      </c>
      <c r="H110">
        <f t="shared" si="16"/>
        <v>1.1839999999999999</v>
      </c>
      <c r="I110" t="e">
        <f t="shared" si="17"/>
        <v>#N/A</v>
      </c>
      <c r="J110" t="e">
        <f t="shared" si="18"/>
        <v>#N/A</v>
      </c>
      <c r="K110" t="e">
        <f t="shared" si="19"/>
        <v>#N/A</v>
      </c>
      <c r="L110" t="e">
        <f t="shared" si="20"/>
        <v>#N/A</v>
      </c>
      <c r="M110" t="e">
        <f t="shared" si="21"/>
        <v>#N/A</v>
      </c>
      <c r="N110" t="e">
        <f t="shared" si="22"/>
        <v>#N/A</v>
      </c>
      <c r="O110">
        <f t="shared" si="23"/>
        <v>4.0001100000000003</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Cats &amp; Dice</v>
      </c>
      <c r="B111">
        <f>IF($A111="","",games!$B111)</f>
        <v>2025</v>
      </c>
      <c r="C111" t="str">
        <f>IF($A111="","",games!$C111)</f>
        <v>Deckbuilder</v>
      </c>
      <c r="D111">
        <f>IF($A111="","",COUNTIF(connections!$A$2:$A$1400,$A111)+COUNTIF(connections!$B$2:$B$1400,$A111))</f>
        <v>2</v>
      </c>
      <c r="E111">
        <f t="shared" si="13"/>
        <v>3</v>
      </c>
      <c r="F111">
        <f t="shared" si="14"/>
        <v>9</v>
      </c>
      <c r="G111" t="e">
        <f t="shared" si="15"/>
        <v>#N/A</v>
      </c>
      <c r="H111" t="e">
        <f t="shared" si="16"/>
        <v>#N/A</v>
      </c>
      <c r="I111" t="e">
        <f t="shared" si="17"/>
        <v>#N/A</v>
      </c>
      <c r="J111" t="e">
        <f t="shared" si="18"/>
        <v>#N/A</v>
      </c>
      <c r="K111">
        <f t="shared" si="19"/>
        <v>2025</v>
      </c>
      <c r="L111">
        <f t="shared" si="20"/>
        <v>3.2069999999999999</v>
      </c>
      <c r="M111" t="e">
        <f t="shared" si="21"/>
        <v>#N/A</v>
      </c>
      <c r="N111" t="e">
        <f t="shared" si="22"/>
        <v>#N/A</v>
      </c>
      <c r="O111">
        <f t="shared" si="23"/>
        <v>2.000111</v>
      </c>
      <c r="P111" t="str">
        <f>IF(OR($A111="",games!$H111=""),"",games!$H111)</f>
        <v/>
      </c>
      <c r="Q111" t="str">
        <f t="shared" si="24"/>
        <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 Noire</v>
      </c>
      <c r="B112">
        <f>IF($A112="","",games!$B112)</f>
        <v>1991</v>
      </c>
      <c r="C112" t="str">
        <f>IF($A112="","",games!$C112)</f>
        <v>Traditional</v>
      </c>
      <c r="D112">
        <f>IF($A112="","",COUNTIF(connections!$A$2:$A$1400,$A112)+COUNTIF(connections!$B$2:$B$1400,$A112))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1991</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Caveblazers</v>
      </c>
      <c r="B113">
        <f>IF($A113="","",games!$B113)</f>
        <v>2017</v>
      </c>
      <c r="C113" t="str">
        <f>IF($A113="","",games!$C113)</f>
        <v>Action</v>
      </c>
      <c r="D113">
        <f>IF($A113="","",COUNTIF(connections!$A$2:$A$1400,$A113)+COUNTIF(connections!$B$2:$B$1400,$A113))</f>
        <v>2</v>
      </c>
      <c r="E113">
        <f t="shared" si="13"/>
        <v>1</v>
      </c>
      <c r="F113">
        <f t="shared" si="14"/>
        <v>11</v>
      </c>
      <c r="G113">
        <f t="shared" si="15"/>
        <v>2017</v>
      </c>
      <c r="H113">
        <f t="shared" si="16"/>
        <v>1.2530000000000001</v>
      </c>
      <c r="I113" t="e">
        <f t="shared" si="17"/>
        <v>#N/A</v>
      </c>
      <c r="J113" t="e">
        <f t="shared" si="18"/>
        <v>#N/A</v>
      </c>
      <c r="K113" t="e">
        <f t="shared" si="19"/>
        <v>#N/A</v>
      </c>
      <c r="L113" t="e">
        <f t="shared" si="20"/>
        <v>#N/A</v>
      </c>
      <c r="M113" t="e">
        <f t="shared" si="21"/>
        <v>#N/A</v>
      </c>
      <c r="N113" t="e">
        <f t="shared" si="22"/>
        <v>#N/A</v>
      </c>
      <c r="O113">
        <f t="shared" si="23"/>
        <v>2.0001129999999998</v>
      </c>
      <c r="P113" t="str">
        <f>IF(OR($A113="",games!$H113=""),"",games!$H113)</f>
        <v>Yes</v>
      </c>
      <c r="Q113">
        <f t="shared" si="24"/>
        <v>2.0001129999999998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Caves of Qud</v>
      </c>
      <c r="B114">
        <f>IF($A114="","",games!$B114)</f>
        <v>2010</v>
      </c>
      <c r="C114" t="str">
        <f>IF($A114="","",games!$C114)</f>
        <v>Traditional</v>
      </c>
      <c r="D114">
        <f>IF($A114="","",COUNTIF(connections!$A$2:$A$1400,$A114)+COUNTIF(connections!$B$2:$B$1400,$A114))</f>
        <v>3</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2010</v>
      </c>
      <c r="N114">
        <f t="shared" si="22"/>
        <v>4.2759999999999998</v>
      </c>
      <c r="O114">
        <f t="shared" si="23"/>
        <v>3.0001139999999999</v>
      </c>
      <c r="P114" t="str">
        <f>IF(OR($A114="",games!$H114=""),"",games!$H114)</f>
        <v>Yes</v>
      </c>
      <c r="Q114">
        <f t="shared" si="24"/>
        <v>3.0001139999999999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Cavity Busters</v>
      </c>
      <c r="B115">
        <f>IF($A115="","",games!$B115)</f>
        <v>2020</v>
      </c>
      <c r="C115" t="str">
        <f>IF($A115="","",games!$C115)</f>
        <v>Action</v>
      </c>
      <c r="D115">
        <f>IF($A115="","",COUNTIF(connections!$A$2:$A$1400,$A115)+COUNTIF(connections!$B$2:$B$1400,$A115))</f>
        <v>1</v>
      </c>
      <c r="E115">
        <f t="shared" si="13"/>
        <v>1</v>
      </c>
      <c r="F115">
        <f t="shared" si="14"/>
        <v>13</v>
      </c>
      <c r="G115">
        <f t="shared" si="15"/>
        <v>2020</v>
      </c>
      <c r="H115">
        <f t="shared" si="16"/>
        <v>1.2989999999999999</v>
      </c>
      <c r="I115" t="e">
        <f t="shared" si="17"/>
        <v>#N/A</v>
      </c>
      <c r="J115" t="e">
        <f t="shared" si="18"/>
        <v>#N/A</v>
      </c>
      <c r="K115" t="e">
        <f t="shared" si="19"/>
        <v>#N/A</v>
      </c>
      <c r="L115" t="e">
        <f t="shared" si="20"/>
        <v>#N/A</v>
      </c>
      <c r="M115" t="e">
        <f t="shared" si="21"/>
        <v>#N/A</v>
      </c>
      <c r="N115" t="e">
        <f t="shared" si="22"/>
        <v>#N/A</v>
      </c>
      <c r="O115">
        <f t="shared" si="23"/>
        <v>1.0001150000000001</v>
      </c>
      <c r="P115" t="str">
        <f>IF(OR($A115="",games!$H115=""),"",games!$H115)</f>
        <v>Yes</v>
      </c>
      <c r="Q115">
        <f t="shared" si="24"/>
        <v>1.0001150000000001</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Cell Command</v>
      </c>
      <c r="B116">
        <f>IF($A116="","",games!$B116)</f>
        <v>2025</v>
      </c>
      <c r="C116" t="str">
        <f>IF($A116="","",games!$C116)</f>
        <v>Strategy</v>
      </c>
      <c r="D116">
        <f>IF($A116="","",COUNTIF(connections!$A$2:$A$1400,$A116)+COUNTIF(connections!$B$2:$B$1400,$A116))</f>
        <v>2</v>
      </c>
      <c r="E116">
        <f t="shared" si="13"/>
        <v>2</v>
      </c>
      <c r="F116">
        <f t="shared" si="14"/>
        <v>14</v>
      </c>
      <c r="G116" t="e">
        <f t="shared" si="15"/>
        <v>#N/A</v>
      </c>
      <c r="H116" t="e">
        <f t="shared" si="16"/>
        <v>#N/A</v>
      </c>
      <c r="I116">
        <f t="shared" si="17"/>
        <v>2025</v>
      </c>
      <c r="J116">
        <f t="shared" si="18"/>
        <v>2.3220000000000001</v>
      </c>
      <c r="K116" t="e">
        <f t="shared" si="19"/>
        <v>#N/A</v>
      </c>
      <c r="L116" t="e">
        <f t="shared" si="20"/>
        <v>#N/A</v>
      </c>
      <c r="M116" t="e">
        <f t="shared" si="21"/>
        <v>#N/A</v>
      </c>
      <c r="N116" t="e">
        <f t="shared" si="22"/>
        <v>#N/A</v>
      </c>
      <c r="O116">
        <f t="shared" si="23"/>
        <v>2.0001159999999998</v>
      </c>
      <c r="P116" t="str">
        <f>IF(OR($A116="",games!$H116=""),"",games!$H116)</f>
        <v/>
      </c>
      <c r="Q116" t="str">
        <f t="shared" si="24"/>
        <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Centipede Gun</v>
      </c>
      <c r="B117">
        <f>IF($A117="","",games!$B117)</f>
        <v>2023</v>
      </c>
      <c r="C117" t="str">
        <f>IF($A117="","",games!$C117)</f>
        <v>Action</v>
      </c>
      <c r="D117">
        <f>IF($A117="","",COUNTIF(connections!$A$2:$A$1400,$A117)+COUNTIF(connections!$B$2:$B$1400,$A117))</f>
        <v>2</v>
      </c>
      <c r="E117">
        <f t="shared" si="13"/>
        <v>1</v>
      </c>
      <c r="F117">
        <f t="shared" si="14"/>
        <v>15</v>
      </c>
      <c r="G117">
        <f t="shared" si="15"/>
        <v>2023</v>
      </c>
      <c r="H117">
        <f t="shared" si="16"/>
        <v>1.345</v>
      </c>
      <c r="I117" t="e">
        <f t="shared" si="17"/>
        <v>#N/A</v>
      </c>
      <c r="J117" t="e">
        <f t="shared" si="18"/>
        <v>#N/A</v>
      </c>
      <c r="K117" t="e">
        <f t="shared" si="19"/>
        <v>#N/A</v>
      </c>
      <c r="L117" t="e">
        <f t="shared" si="20"/>
        <v>#N/A</v>
      </c>
      <c r="M117" t="e">
        <f t="shared" si="21"/>
        <v>#N/A</v>
      </c>
      <c r="N117" t="e">
        <f t="shared" si="22"/>
        <v>#N/A</v>
      </c>
      <c r="O117">
        <f t="shared" si="23"/>
        <v>2.0001169999999999</v>
      </c>
      <c r="P117" t="str">
        <f>IF(OR($A117="",games!$H117=""),"",games!$H117)</f>
        <v>Yes</v>
      </c>
      <c r="Q117">
        <f t="shared" si="24"/>
        <v>2.0001169999999999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Chaos Zero Nightmare</v>
      </c>
      <c r="B118">
        <f>IF($A118="","",games!$B118)</f>
        <v>2025</v>
      </c>
      <c r="C118" t="str">
        <f>IF($A118="","",games!$C118)</f>
        <v>Deckbuilder</v>
      </c>
      <c r="D118">
        <f>IF($A118="","",COUNTIF(connections!$A$2:$A$1400,$A118)+COUNTIF(connections!$B$2:$B$1400,$A118))</f>
        <v>1</v>
      </c>
      <c r="E118">
        <f t="shared" si="13"/>
        <v>3</v>
      </c>
      <c r="F118">
        <f t="shared" si="14"/>
        <v>16</v>
      </c>
      <c r="G118" t="e">
        <f t="shared" si="15"/>
        <v>#N/A</v>
      </c>
      <c r="H118" t="e">
        <f t="shared" si="16"/>
        <v>#N/A</v>
      </c>
      <c r="I118" t="e">
        <f t="shared" si="17"/>
        <v>#N/A</v>
      </c>
      <c r="J118" t="e">
        <f t="shared" si="18"/>
        <v>#N/A</v>
      </c>
      <c r="K118">
        <f t="shared" si="19"/>
        <v>2025</v>
      </c>
      <c r="L118">
        <f t="shared" si="20"/>
        <v>3.3679999999999999</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Chess Survivors</v>
      </c>
      <c r="B119">
        <f>IF($A119="","",games!$B119)</f>
        <v>2022</v>
      </c>
      <c r="C119" t="str">
        <f>IF($A119="","",games!$C119)</f>
        <v>Action</v>
      </c>
      <c r="D119">
        <f>IF($A119="","",COUNTIF(connections!$A$2:$A$1400,$A119)+COUNTIF(connections!$B$2:$B$1400,$A119))</f>
        <v>5</v>
      </c>
      <c r="E119">
        <f t="shared" si="13"/>
        <v>1</v>
      </c>
      <c r="F119">
        <f t="shared" si="14"/>
        <v>17</v>
      </c>
      <c r="G119">
        <f t="shared" si="15"/>
        <v>2022</v>
      </c>
      <c r="H119">
        <f t="shared" si="16"/>
        <v>1.391</v>
      </c>
      <c r="I119" t="e">
        <f t="shared" si="17"/>
        <v>#N/A</v>
      </c>
      <c r="J119" t="e">
        <f t="shared" si="18"/>
        <v>#N/A</v>
      </c>
      <c r="K119" t="e">
        <f t="shared" si="19"/>
        <v>#N/A</v>
      </c>
      <c r="L119" t="e">
        <f t="shared" si="20"/>
        <v>#N/A</v>
      </c>
      <c r="M119" t="e">
        <f t="shared" si="21"/>
        <v>#N/A</v>
      </c>
      <c r="N119" t="e">
        <f t="shared" si="22"/>
        <v>#N/A</v>
      </c>
      <c r="O119">
        <f t="shared" si="23"/>
        <v>5.0001189999999998</v>
      </c>
      <c r="P119" t="str">
        <f>IF(OR($A119="",games!$H119=""),"",games!$H119)</f>
        <v/>
      </c>
      <c r="Q119" t="str">
        <f t="shared" si="24"/>
        <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Children of Morta</v>
      </c>
      <c r="B120">
        <f>IF($A120="","",games!$B120)</f>
        <v>2019</v>
      </c>
      <c r="C120" t="str">
        <f>IF($A120="","",games!$C120)</f>
        <v>Action</v>
      </c>
      <c r="D120">
        <f>IF($A120="","",COUNTIF(connections!$A$2:$A$1400,$A120)+COUNTIF(connections!$B$2:$B$1400,$A120))</f>
        <v>2</v>
      </c>
      <c r="E120">
        <f t="shared" si="13"/>
        <v>1</v>
      </c>
      <c r="F120">
        <f t="shared" si="14"/>
        <v>18</v>
      </c>
      <c r="G120">
        <f t="shared" si="15"/>
        <v>2019</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Dungeon 2</v>
      </c>
      <c r="B121">
        <f>IF($A121="","",games!$B121)</f>
        <v>1998</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1998</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Mysterious Dungeon</v>
      </c>
      <c r="B122">
        <f>IF($A122="","",games!$B122)</f>
        <v>1997</v>
      </c>
      <c r="C122" t="str">
        <f>IF($A122="","",games!$C122)</f>
        <v>Traditional</v>
      </c>
      <c r="D122">
        <f>IF($A122="","",COUNTIF(connections!$A$2:$A$1400,$A122)+COUNTIF(connections!$B$2:$B$1400,$A122))</f>
        <v>2</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1997</v>
      </c>
      <c r="N122">
        <f t="shared" si="22"/>
        <v>4.46</v>
      </c>
      <c r="O122">
        <f t="shared" si="23"/>
        <v>2.0001220000000002</v>
      </c>
      <c r="P122" t="str">
        <f>IF(OR($A122="",games!$H122=""),"",games!$H122)</f>
        <v>Yes</v>
      </c>
      <c r="Q122">
        <f t="shared" si="24"/>
        <v>2.0001220000000002</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Chocobo's Mystery Dungeon Every Buddy!</v>
      </c>
      <c r="B123">
        <f>IF($A123="","",games!$B123)</f>
        <v>2019</v>
      </c>
      <c r="C123" t="str">
        <f>IF($A123="","",games!$C123)</f>
        <v>Traditional</v>
      </c>
      <c r="D123">
        <f>IF($A123="","",COUNTIF(connections!$A$2:$A$1400,$A123)+COUNTIF(connections!$B$2:$B$1400,$A123))</f>
        <v>1</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2019</v>
      </c>
      <c r="N123">
        <f t="shared" si="22"/>
        <v>4.4829999999999997</v>
      </c>
      <c r="O123">
        <f t="shared" si="23"/>
        <v>1.0001230000000001</v>
      </c>
      <c r="P123" t="str">
        <f>IF(OR($A123="",games!$H123=""),"",games!$H123)</f>
        <v/>
      </c>
      <c r="Q123" t="str">
        <f t="shared" si="24"/>
        <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v>
      </c>
      <c r="B124">
        <f>IF($A124="","",games!$B124)</f>
        <v>2023</v>
      </c>
      <c r="C124" t="str">
        <f>IF($A124="","",games!$C124)</f>
        <v>Action</v>
      </c>
      <c r="D124">
        <f>IF($A124="","",COUNTIF(connections!$A$2:$A$1400,$A124)+COUNTIF(connections!$B$2:$B$1400,$A124))</f>
        <v>2</v>
      </c>
      <c r="E124">
        <f t="shared" si="13"/>
        <v>1</v>
      </c>
      <c r="F124">
        <f t="shared" si="14"/>
        <v>22</v>
      </c>
      <c r="G124">
        <f t="shared" si="15"/>
        <v>2023</v>
      </c>
      <c r="H124">
        <f t="shared" si="16"/>
        <v>1.506</v>
      </c>
      <c r="I124" t="e">
        <f t="shared" si="17"/>
        <v>#N/A</v>
      </c>
      <c r="J124" t="e">
        <f t="shared" si="18"/>
        <v>#N/A</v>
      </c>
      <c r="K124" t="e">
        <f t="shared" si="19"/>
        <v>#N/A</v>
      </c>
      <c r="L124" t="e">
        <f t="shared" si="20"/>
        <v>#N/A</v>
      </c>
      <c r="M124" t="e">
        <f t="shared" si="21"/>
        <v>#N/A</v>
      </c>
      <c r="N124" t="e">
        <f t="shared" si="22"/>
        <v>#N/A</v>
      </c>
      <c r="O124">
        <f t="shared" si="23"/>
        <v>2.000124</v>
      </c>
      <c r="P124" t="str">
        <f>IF(OR($A124="",games!$H124=""),"",games!$H124)</f>
        <v>Yes</v>
      </c>
      <c r="Q124">
        <f t="shared" si="24"/>
        <v>2.000124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Choo Choo Survivor 2</v>
      </c>
      <c r="B125">
        <f>IF($A125="","",games!$B125)</f>
        <v>2025</v>
      </c>
      <c r="C125" t="str">
        <f>IF($A125="","",games!$C125)</f>
        <v>Action</v>
      </c>
      <c r="D125">
        <f>IF($A125="","",COUNTIF(connections!$A$2:$A$1400,$A125)+COUNTIF(connections!$B$2:$B$1400,$A125))</f>
        <v>1</v>
      </c>
      <c r="E125">
        <f t="shared" si="13"/>
        <v>1</v>
      </c>
      <c r="F125">
        <f t="shared" si="14"/>
        <v>23</v>
      </c>
      <c r="G125">
        <f t="shared" si="15"/>
        <v>2025</v>
      </c>
      <c r="H125">
        <f t="shared" si="16"/>
        <v>1.5289999999999999</v>
      </c>
      <c r="I125" t="e">
        <f t="shared" si="17"/>
        <v>#N/A</v>
      </c>
      <c r="J125" t="e">
        <f t="shared" si="18"/>
        <v>#N/A</v>
      </c>
      <c r="K125" t="e">
        <f t="shared" si="19"/>
        <v>#N/A</v>
      </c>
      <c r="L125" t="e">
        <f t="shared" si="20"/>
        <v>#N/A</v>
      </c>
      <c r="M125" t="e">
        <f t="shared" si="21"/>
        <v>#N/A</v>
      </c>
      <c r="N125" t="e">
        <f t="shared" si="22"/>
        <v>#N/A</v>
      </c>
      <c r="O125">
        <f t="shared" si="23"/>
        <v>1.0001249999999999</v>
      </c>
      <c r="P125" t="str">
        <f>IF(OR($A125="",games!$H125=""),"",games!$H125)</f>
        <v>Yes</v>
      </c>
      <c r="Q125">
        <f t="shared" si="24"/>
        <v>1.0001249999999999</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Chosen Garden</v>
      </c>
      <c r="B126">
        <f>IF($A126="","",games!$B126)</f>
        <v>2026</v>
      </c>
      <c r="C126" t="str">
        <f>IF($A126="","",games!$C126)</f>
        <v>Deckbuilder</v>
      </c>
      <c r="D126">
        <f>IF($A126="","",COUNTIF(connections!$A$2:$A$1400,$A126)+COUNTIF(connections!$B$2:$B$1400,$A126))</f>
        <v>1</v>
      </c>
      <c r="E126">
        <f t="shared" si="13"/>
        <v>3</v>
      </c>
      <c r="F126">
        <f t="shared" si="14"/>
        <v>24</v>
      </c>
      <c r="G126" t="e">
        <f t="shared" si="15"/>
        <v>#N/A</v>
      </c>
      <c r="H126" t="e">
        <f t="shared" si="16"/>
        <v>#N/A</v>
      </c>
      <c r="I126" t="e">
        <f t="shared" si="17"/>
        <v>#N/A</v>
      </c>
      <c r="J126" t="e">
        <f t="shared" si="18"/>
        <v>#N/A</v>
      </c>
      <c r="K126">
        <f t="shared" si="19"/>
        <v>2026</v>
      </c>
      <c r="L126">
        <f t="shared" si="20"/>
        <v>3.552</v>
      </c>
      <c r="M126" t="e">
        <f t="shared" si="21"/>
        <v>#N/A</v>
      </c>
      <c r="N126" t="e">
        <f t="shared" si="22"/>
        <v>#N/A</v>
      </c>
      <c r="O126">
        <f t="shared" si="23"/>
        <v>1.0001260000000001</v>
      </c>
      <c r="P126" t="str">
        <f>IF(OR($A126="",games!$H126=""),"",games!$H126)</f>
        <v/>
      </c>
      <c r="Q126" t="str">
        <f t="shared" si="24"/>
        <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Chrono Ark</v>
      </c>
      <c r="B127">
        <f>IF($A127="","",games!$B127)</f>
        <v>2019</v>
      </c>
      <c r="C127" t="str">
        <f>IF($A127="","",games!$C127)</f>
        <v>Deckbuilder</v>
      </c>
      <c r="D127">
        <f>IF($A127="","",COUNTIF(connections!$A$2:$A$1400,$A127)+COUNTIF(connections!$B$2:$B$1400,$A127))</f>
        <v>2</v>
      </c>
      <c r="E127">
        <f t="shared" si="13"/>
        <v>3</v>
      </c>
      <c r="F127">
        <f t="shared" si="14"/>
        <v>25</v>
      </c>
      <c r="G127" t="e">
        <f t="shared" si="15"/>
        <v>#N/A</v>
      </c>
      <c r="H127" t="e">
        <f t="shared" si="16"/>
        <v>#N/A</v>
      </c>
      <c r="I127" t="e">
        <f t="shared" si="17"/>
        <v>#N/A</v>
      </c>
      <c r="J127" t="e">
        <f t="shared" si="18"/>
        <v>#N/A</v>
      </c>
      <c r="K127">
        <f t="shared" si="19"/>
        <v>2019</v>
      </c>
      <c r="L127">
        <f t="shared" si="20"/>
        <v>3.5750000000000002</v>
      </c>
      <c r="M127" t="e">
        <f t="shared" si="21"/>
        <v>#N/A</v>
      </c>
      <c r="N127" t="e">
        <f t="shared" si="22"/>
        <v>#N/A</v>
      </c>
      <c r="O127">
        <f t="shared" si="23"/>
        <v>2.000127</v>
      </c>
      <c r="P127" t="str">
        <f>IF(OR($A127="",games!$H127=""),"",games!$H127)</f>
        <v>Yes</v>
      </c>
      <c r="Q127">
        <f t="shared" si="24"/>
        <v>2.000127</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Cinderia</v>
      </c>
      <c r="B128">
        <f>IF($A128="","",games!$B128)</f>
        <v>2026</v>
      </c>
      <c r="C128" t="str">
        <f>IF($A128="","",games!$C128)</f>
        <v>Action</v>
      </c>
      <c r="D128">
        <f>IF($A128="","",COUNTIF(connections!$A$2:$A$1400,$A128)+COUNTIF(connections!$B$2:$B$1400,$A128))</f>
        <v>2</v>
      </c>
      <c r="E128">
        <f t="shared" si="13"/>
        <v>1</v>
      </c>
      <c r="F128">
        <f t="shared" si="14"/>
        <v>26</v>
      </c>
      <c r="G128">
        <f t="shared" si="15"/>
        <v>2026</v>
      </c>
      <c r="H128">
        <f t="shared" si="16"/>
        <v>1.5979999999999999</v>
      </c>
      <c r="I128" t="e">
        <f t="shared" si="17"/>
        <v>#N/A</v>
      </c>
      <c r="J128" t="e">
        <f t="shared" si="18"/>
        <v>#N/A</v>
      </c>
      <c r="K128" t="e">
        <f t="shared" si="19"/>
        <v>#N/A</v>
      </c>
      <c r="L128" t="e">
        <f t="shared" si="20"/>
        <v>#N/A</v>
      </c>
      <c r="M128" t="e">
        <f t="shared" si="21"/>
        <v>#N/A</v>
      </c>
      <c r="N128" t="e">
        <f t="shared" si="22"/>
        <v>#N/A</v>
      </c>
      <c r="O128">
        <f t="shared" si="23"/>
        <v>2.0001280000000001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CleanFall</v>
      </c>
      <c r="B129">
        <f>IF($A129="","",games!$B129)</f>
        <v>2025</v>
      </c>
      <c r="C129" t="str">
        <f>IF($A129="","",games!$C129)</f>
        <v>Action</v>
      </c>
      <c r="D129">
        <f>IF($A129="","",COUNTIF(connections!$A$2:$A$1400,$A129)+COUNTIF(connections!$B$2:$B$1400,$A129))</f>
        <v>3</v>
      </c>
      <c r="E129">
        <f t="shared" si="13"/>
        <v>1</v>
      </c>
      <c r="F129">
        <f t="shared" si="14"/>
        <v>27</v>
      </c>
      <c r="G129">
        <f t="shared" si="15"/>
        <v>2025</v>
      </c>
      <c r="H129">
        <f t="shared" si="16"/>
        <v>1.621</v>
      </c>
      <c r="I129" t="e">
        <f t="shared" si="17"/>
        <v>#N/A</v>
      </c>
      <c r="J129" t="e">
        <f t="shared" si="18"/>
        <v>#N/A</v>
      </c>
      <c r="K129" t="e">
        <f t="shared" si="19"/>
        <v>#N/A</v>
      </c>
      <c r="L129" t="e">
        <f t="shared" si="20"/>
        <v>#N/A</v>
      </c>
      <c r="M129" t="e">
        <f t="shared" si="21"/>
        <v>#N/A</v>
      </c>
      <c r="N129" t="e">
        <f t="shared" si="22"/>
        <v>#N/A</v>
      </c>
      <c r="O129">
        <f t="shared" si="23"/>
        <v>3.0001289999999998</v>
      </c>
      <c r="P129" t="str">
        <f>IF(OR($A129="",games!$H129=""),"",games!$H129)</f>
        <v/>
      </c>
      <c r="Q129" t="str">
        <f t="shared" si="24"/>
        <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CloverPit</v>
      </c>
      <c r="B130">
        <f>IF($A130="","",games!$B130)</f>
        <v>2025</v>
      </c>
      <c r="C130" t="str">
        <f>IF($A130="","",games!$C130)</f>
        <v>Strategy</v>
      </c>
      <c r="D130">
        <f>IF($A130="","",COUNTIF(connections!$A$2:$A$1400,$A130)+COUNTIF(connections!$B$2:$B$1400,$A130))</f>
        <v>4</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4.0001300000000004</v>
      </c>
      <c r="P130" t="str">
        <f>IF(OR($A130="",games!$H130=""),"",games!$H130)</f>
        <v>Yes</v>
      </c>
      <c r="Q130">
        <f t="shared" ref="Q130:Q193" si="37">IF(OR($A130="",$P130&lt;&gt;"Yes"),"",$D130+ROW()/1000000)</f>
        <v>4.0001300000000004</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Cluckmech Oasis</v>
      </c>
      <c r="B131">
        <f>IF($A131="","",games!$B131)</f>
        <v>2024</v>
      </c>
      <c r="C131" t="str">
        <f>IF($A131="","",games!$C131)</f>
        <v>Strategy</v>
      </c>
      <c r="D131">
        <f>IF($A131="","",COUNTIF(connections!$A$2:$A$1400,$A131)+COUNTIF(connections!$B$2:$B$1400,$A131))</f>
        <v>3</v>
      </c>
      <c r="E131">
        <f t="shared" si="26"/>
        <v>2</v>
      </c>
      <c r="F131">
        <f t="shared" si="27"/>
        <v>29</v>
      </c>
      <c r="G131" t="e">
        <f t="shared" si="28"/>
        <v>#N/A</v>
      </c>
      <c r="H131" t="e">
        <f t="shared" si="29"/>
        <v>#N/A</v>
      </c>
      <c r="I131">
        <f t="shared" si="30"/>
        <v>2024</v>
      </c>
      <c r="J131">
        <f t="shared" si="31"/>
        <v>2.6669999999999998</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Clutchtime: Basketball Deckbuilder</v>
      </c>
      <c r="B132">
        <f>IF($A132="","",games!$B132)</f>
        <v>2025</v>
      </c>
      <c r="C132" t="str">
        <f>IF($A132="","",games!$C132)</f>
        <v>Deckbuilder</v>
      </c>
      <c r="D132">
        <f>IF($A132="","",COUNTIF(connections!$A$2:$A$1400,$A132)+COUNTIF(connections!$B$2:$B$1400,$A132))</f>
        <v>1</v>
      </c>
      <c r="E132">
        <f t="shared" si="26"/>
        <v>3</v>
      </c>
      <c r="F132">
        <f t="shared" si="27"/>
        <v>30</v>
      </c>
      <c r="G132" t="e">
        <f t="shared" si="28"/>
        <v>#N/A</v>
      </c>
      <c r="H132" t="e">
        <f t="shared" si="29"/>
        <v>#N/A</v>
      </c>
      <c r="I132" t="e">
        <f t="shared" si="30"/>
        <v>#N/A</v>
      </c>
      <c r="J132" t="e">
        <f t="shared" si="31"/>
        <v>#N/A</v>
      </c>
      <c r="K132">
        <f t="shared" si="32"/>
        <v>2025</v>
      </c>
      <c r="L132">
        <f t="shared" si="33"/>
        <v>3.69</v>
      </c>
      <c r="M132" t="e">
        <f t="shared" si="34"/>
        <v>#N/A</v>
      </c>
      <c r="N132" t="e">
        <f t="shared" si="35"/>
        <v>#N/A</v>
      </c>
      <c r="O132">
        <f t="shared" si="36"/>
        <v>1.000132</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Coal LLC</v>
      </c>
      <c r="B133">
        <f>IF($A133="","",games!$B133)</f>
        <v>2025</v>
      </c>
      <c r="C133" t="str">
        <f>IF($A133="","",games!$C133)</f>
        <v>Strategy</v>
      </c>
      <c r="D133">
        <f>IF($A133="","",COUNTIF(connections!$A$2:$A$1400,$A133)+COUNTIF(connections!$B$2:$B$1400,$A133))</f>
        <v>0</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1.3300000000000001E-4</v>
      </c>
      <c r="P133" t="str">
        <f>IF(OR($A133="",games!$H133=""),"",games!$H133)</f>
        <v/>
      </c>
      <c r="Q133" t="str">
        <f t="shared" si="37"/>
        <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Cobalt Core</v>
      </c>
      <c r="B134">
        <f>IF($A134="","",games!$B134)</f>
        <v>2023</v>
      </c>
      <c r="C134" t="str">
        <f>IF($A134="","",games!$C134)</f>
        <v>Deckbuilder</v>
      </c>
      <c r="D134">
        <f>IF($A134="","",COUNTIF(connections!$A$2:$A$1400,$A134)+COUNTIF(connections!$B$2:$B$1400,$A134))</f>
        <v>2</v>
      </c>
      <c r="E134">
        <f t="shared" si="26"/>
        <v>3</v>
      </c>
      <c r="F134">
        <f t="shared" si="27"/>
        <v>32</v>
      </c>
      <c r="G134" t="e">
        <f t="shared" si="28"/>
        <v>#N/A</v>
      </c>
      <c r="H134" t="e">
        <f t="shared" si="29"/>
        <v>#N/A</v>
      </c>
      <c r="I134" t="e">
        <f t="shared" si="30"/>
        <v>#N/A</v>
      </c>
      <c r="J134" t="e">
        <f t="shared" si="31"/>
        <v>#N/A</v>
      </c>
      <c r="K134">
        <f t="shared" si="32"/>
        <v>2023</v>
      </c>
      <c r="L134">
        <f t="shared" si="33"/>
        <v>3.7359999999999998</v>
      </c>
      <c r="M134" t="e">
        <f t="shared" si="34"/>
        <v>#N/A</v>
      </c>
      <c r="N134" t="e">
        <f t="shared" si="35"/>
        <v>#N/A</v>
      </c>
      <c r="O134">
        <f t="shared" si="36"/>
        <v>2.0001340000000001</v>
      </c>
      <c r="P134" t="str">
        <f>IF(OR($A134="",games!$H134=""),"",games!$H134)</f>
        <v>Yes</v>
      </c>
      <c r="Q134">
        <f t="shared" si="37"/>
        <v>2.0001340000000001</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Cogmind</v>
      </c>
      <c r="B135">
        <f>IF($A135="","",games!$B135)</f>
        <v>2017</v>
      </c>
      <c r="C135" t="str">
        <f>IF($A135="","",games!$C135)</f>
        <v>Traditional</v>
      </c>
      <c r="D135">
        <f>IF($A135="","",COUNTIF(connections!$A$2:$A$1400,$A135)+COUNTIF(connections!$B$2:$B$1400,$A135))</f>
        <v>3</v>
      </c>
      <c r="E135">
        <f t="shared" si="26"/>
        <v>4</v>
      </c>
      <c r="F135">
        <f t="shared" si="27"/>
        <v>33</v>
      </c>
      <c r="G135" t="e">
        <f t="shared" si="28"/>
        <v>#N/A</v>
      </c>
      <c r="H135" t="e">
        <f t="shared" si="29"/>
        <v>#N/A</v>
      </c>
      <c r="I135" t="e">
        <f t="shared" si="30"/>
        <v>#N/A</v>
      </c>
      <c r="J135" t="e">
        <f t="shared" si="31"/>
        <v>#N/A</v>
      </c>
      <c r="K135" t="e">
        <f t="shared" si="32"/>
        <v>#N/A</v>
      </c>
      <c r="L135" t="e">
        <f t="shared" si="33"/>
        <v>#N/A</v>
      </c>
      <c r="M135">
        <f t="shared" si="34"/>
        <v>2017</v>
      </c>
      <c r="N135">
        <f t="shared" si="35"/>
        <v>4.7590000000000003</v>
      </c>
      <c r="O135">
        <f t="shared" si="36"/>
        <v>3.0001350000000002</v>
      </c>
      <c r="P135" t="str">
        <f>IF(OR($A135="",games!$H135=""),"",games!$H135)</f>
        <v/>
      </c>
      <c r="Q135" t="str">
        <f t="shared" si="37"/>
        <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Coin Crypt</v>
      </c>
      <c r="B136">
        <f>IF($A136="","",games!$B136)</f>
        <v>2013</v>
      </c>
      <c r="C136" t="str">
        <f>IF($A136="","",games!$C136)</f>
        <v>Deckbuilder</v>
      </c>
      <c r="D136">
        <f>IF($A136="","",COUNTIF(connections!$A$2:$A$1400,$A136)+COUNTIF(connections!$B$2:$B$1400,$A136))</f>
        <v>1</v>
      </c>
      <c r="E136">
        <f t="shared" si="26"/>
        <v>3</v>
      </c>
      <c r="F136">
        <f t="shared" si="27"/>
        <v>0</v>
      </c>
      <c r="G136" t="e">
        <f t="shared" si="28"/>
        <v>#N/A</v>
      </c>
      <c r="H136" t="e">
        <f t="shared" si="29"/>
        <v>#N/A</v>
      </c>
      <c r="I136" t="e">
        <f t="shared" si="30"/>
        <v>#N/A</v>
      </c>
      <c r="J136" t="e">
        <f t="shared" si="31"/>
        <v>#N/A</v>
      </c>
      <c r="K136">
        <f t="shared" si="32"/>
        <v>2013</v>
      </c>
      <c r="L136">
        <f t="shared" si="33"/>
        <v>3</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Colt Canyon</v>
      </c>
      <c r="B137">
        <f>IF($A137="","",games!$B137)</f>
        <v>2020</v>
      </c>
      <c r="C137" t="str">
        <f>IF($A137="","",games!$C137)</f>
        <v>Action</v>
      </c>
      <c r="D137">
        <f>IF($A137="","",COUNTIF(connections!$A$2:$A$1400,$A137)+COUNTIF(connections!$B$2:$B$1400,$A137))</f>
        <v>1</v>
      </c>
      <c r="E137">
        <f t="shared" si="26"/>
        <v>1</v>
      </c>
      <c r="F137">
        <f t="shared" si="27"/>
        <v>1</v>
      </c>
      <c r="G137">
        <f t="shared" si="28"/>
        <v>2020</v>
      </c>
      <c r="H137">
        <f t="shared" si="29"/>
        <v>1.0229999999999999</v>
      </c>
      <c r="I137" t="e">
        <f t="shared" si="30"/>
        <v>#N/A</v>
      </c>
      <c r="J137" t="e">
        <f t="shared" si="31"/>
        <v>#N/A</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Combolands</v>
      </c>
      <c r="B138">
        <f>IF($A138="","",games!$B138)</f>
        <v>2026</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2026</v>
      </c>
      <c r="J138">
        <f t="shared" si="31"/>
        <v>2.0459999999999998</v>
      </c>
      <c r="K138" t="e">
        <f t="shared" si="32"/>
        <v>#N/A</v>
      </c>
      <c r="L138" t="e">
        <f t="shared" si="33"/>
        <v>#N/A</v>
      </c>
      <c r="M138" t="e">
        <f t="shared" si="34"/>
        <v>#N/A</v>
      </c>
      <c r="N138" t="e">
        <f t="shared" si="35"/>
        <v>#N/A</v>
      </c>
      <c r="O138">
        <f t="shared" si="36"/>
        <v>2.0001380000000002</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Commander Quest</v>
      </c>
      <c r="B139">
        <f>IF($A139="","",games!$B139)</f>
        <v>2025</v>
      </c>
      <c r="C139" t="str">
        <f>IF($A139="","",games!$C139)</f>
        <v>Deckbuilder</v>
      </c>
      <c r="D139">
        <f>IF($A139="","",COUNTIF(connections!$A$2:$A$1400,$A139)+COUNTIF(connections!$B$2:$B$1400,$A139))</f>
        <v>1</v>
      </c>
      <c r="E139">
        <f t="shared" si="26"/>
        <v>3</v>
      </c>
      <c r="F139">
        <f t="shared" si="27"/>
        <v>3</v>
      </c>
      <c r="G139" t="e">
        <f t="shared" si="28"/>
        <v>#N/A</v>
      </c>
      <c r="H139" t="e">
        <f t="shared" si="29"/>
        <v>#N/A</v>
      </c>
      <c r="I139" t="e">
        <f t="shared" si="30"/>
        <v>#N/A</v>
      </c>
      <c r="J139" t="e">
        <f t="shared" si="31"/>
        <v>#N/A</v>
      </c>
      <c r="K139">
        <f t="shared" si="32"/>
        <v>2025</v>
      </c>
      <c r="L139">
        <f t="shared" si="33"/>
        <v>3.069</v>
      </c>
      <c r="M139" t="e">
        <f t="shared" si="34"/>
        <v>#N/A</v>
      </c>
      <c r="N139" t="e">
        <f t="shared" si="35"/>
        <v>#N/A</v>
      </c>
      <c r="O139">
        <f t="shared" si="36"/>
        <v>1.0001389999999999</v>
      </c>
      <c r="P139" t="str">
        <f>IF(OR($A139="",games!$H139=""),"",games!$H139)</f>
        <v/>
      </c>
      <c r="Q139" t="str">
        <f t="shared" si="37"/>
        <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Conan Chop Chop</v>
      </c>
      <c r="B140">
        <f>IF($A140="","",games!$B140)</f>
        <v>2022</v>
      </c>
      <c r="C140" t="str">
        <f>IF($A140="","",games!$C140)</f>
        <v>Action</v>
      </c>
      <c r="D140">
        <f>IF($A140="","",COUNTIF(connections!$A$2:$A$1400,$A140)+COUNTIF(connections!$B$2:$B$1400,$A140))</f>
        <v>1</v>
      </c>
      <c r="E140">
        <f t="shared" si="26"/>
        <v>1</v>
      </c>
      <c r="F140">
        <f t="shared" si="27"/>
        <v>4</v>
      </c>
      <c r="G140">
        <f t="shared" si="28"/>
        <v>2022</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Convoy</v>
      </c>
      <c r="B141">
        <f>IF($A141="","",games!$B141)</f>
        <v>2015</v>
      </c>
      <c r="C141" t="str">
        <f>IF($A141="","",games!$C141)</f>
        <v>Strategy</v>
      </c>
      <c r="D141">
        <f>IF($A141="","",COUNTIF(connections!$A$2:$A$1400,$A141)+COUNTIF(connections!$B$2:$B$1400,$A141))</f>
        <v>1</v>
      </c>
      <c r="E141">
        <f t="shared" si="26"/>
        <v>2</v>
      </c>
      <c r="F141">
        <f t="shared" si="27"/>
        <v>5</v>
      </c>
      <c r="G141" t="e">
        <f t="shared" si="28"/>
        <v>#N/A</v>
      </c>
      <c r="H141" t="e">
        <f t="shared" si="29"/>
        <v>#N/A</v>
      </c>
      <c r="I141">
        <f t="shared" si="30"/>
        <v>2015</v>
      </c>
      <c r="J141">
        <f t="shared" si="31"/>
        <v>2.1150000000000002</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Core Defense</v>
      </c>
      <c r="B142">
        <f>IF($A142="","",games!$B142)</f>
        <v>2020</v>
      </c>
      <c r="C142" t="str">
        <f>IF($A142="","",games!$C142)</f>
        <v>Strategy</v>
      </c>
      <c r="D142">
        <f>IF($A142="","",COUNTIF(connections!$A$2:$A$1400,$A142)+COUNTIF(connections!$B$2:$B$1400,$A142))</f>
        <v>2</v>
      </c>
      <c r="E142">
        <f t="shared" si="26"/>
        <v>2</v>
      </c>
      <c r="F142">
        <f t="shared" si="27"/>
        <v>6</v>
      </c>
      <c r="G142" t="e">
        <f t="shared" si="28"/>
        <v>#N/A</v>
      </c>
      <c r="H142" t="e">
        <f t="shared" si="29"/>
        <v>#N/A</v>
      </c>
      <c r="I142">
        <f t="shared" si="30"/>
        <v>2020</v>
      </c>
      <c r="J142">
        <f t="shared" si="31"/>
        <v>2.1379999999999999</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Corpse Keeper</v>
      </c>
      <c r="B143">
        <f>IF($A143="","",games!$B143)</f>
        <v>2023</v>
      </c>
      <c r="C143" t="str">
        <f>IF($A143="","",games!$C143)</f>
        <v>Action</v>
      </c>
      <c r="D143">
        <f>IF($A143="","",COUNTIF(connections!$A$2:$A$1400,$A143)+COUNTIF(connections!$B$2:$B$1400,$A143))</f>
        <v>1</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 Champions</v>
      </c>
      <c r="B144">
        <f>IF($A144="","",games!$B144)</f>
        <v>2023</v>
      </c>
      <c r="C144" t="str">
        <f>IF($A144="","",games!$C144)</f>
        <v>Action</v>
      </c>
      <c r="D144">
        <f>IF($A144="","",COUNTIF(connections!$A$2:$A$1400,$A144)+COUNTIF(connections!$B$2:$B$1400,$A144))</f>
        <v>2</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Crablike</v>
      </c>
      <c r="B145">
        <f>IF($A145="","",games!$B145)</f>
        <v>2025</v>
      </c>
      <c r="C145" t="str">
        <f>IF($A145="","",games!$C145)</f>
        <v>Traditional</v>
      </c>
      <c r="D145">
        <f>IF($A145="","",COUNTIF(connections!$A$2:$A$1400,$A145)+COUNTIF(connections!$B$2:$B$1400,$A145))</f>
        <v>2</v>
      </c>
      <c r="E145">
        <f t="shared" si="26"/>
        <v>4</v>
      </c>
      <c r="F145">
        <f t="shared" si="27"/>
        <v>9</v>
      </c>
      <c r="G145" t="e">
        <f t="shared" si="28"/>
        <v>#N/A</v>
      </c>
      <c r="H145" t="e">
        <f t="shared" si="29"/>
        <v>#N/A</v>
      </c>
      <c r="I145" t="e">
        <f t="shared" si="30"/>
        <v>#N/A</v>
      </c>
      <c r="J145" t="e">
        <f t="shared" si="31"/>
        <v>#N/A</v>
      </c>
      <c r="K145" t="e">
        <f t="shared" si="32"/>
        <v>#N/A</v>
      </c>
      <c r="L145" t="e">
        <f t="shared" si="33"/>
        <v>#N/A</v>
      </c>
      <c r="M145">
        <f t="shared" si="34"/>
        <v>2025</v>
      </c>
      <c r="N145">
        <f t="shared" si="35"/>
        <v>4.2069999999999999</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Crafty Survivors</v>
      </c>
      <c r="B146">
        <f>IF($A146="","",games!$B146)</f>
        <v>2023</v>
      </c>
      <c r="C146" t="str">
        <f>IF($A146="","",games!$C146)</f>
        <v>Action</v>
      </c>
      <c r="D146">
        <f>IF($A146="","",COUNTIF(connections!$A$2:$A$1400,$A146)+COUNTIF(connections!$B$2:$B$1400,$A146))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Crawl</v>
      </c>
      <c r="B147">
        <f>IF($A147="","",games!$B147)</f>
        <v>2017</v>
      </c>
      <c r="C147" t="str">
        <f>IF($A147="","",games!$C147)</f>
        <v>Action</v>
      </c>
      <c r="D147">
        <f>IF($A147="","",COUNTIF(connections!$A$2:$A$1400,$A147)+COUNTIF(connections!$B$2:$B$1400,$A147))</f>
        <v>0</v>
      </c>
      <c r="E147">
        <f t="shared" si="26"/>
        <v>1</v>
      </c>
      <c r="F147">
        <f t="shared" si="27"/>
        <v>11</v>
      </c>
      <c r="G147">
        <f t="shared" si="28"/>
        <v>2017</v>
      </c>
      <c r="H147">
        <f t="shared" si="29"/>
        <v>1.2530000000000001</v>
      </c>
      <c r="I147" t="e">
        <f t="shared" si="30"/>
        <v>#N/A</v>
      </c>
      <c r="J147" t="e">
        <f t="shared" si="31"/>
        <v>#N/A</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 Rotation</v>
      </c>
      <c r="B148">
        <f>IF($A148="","",games!$B148)</f>
        <v>2023</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Cropdeck</v>
      </c>
      <c r="B149">
        <f>IF($A149="","",games!$B149)</f>
        <v>2026</v>
      </c>
      <c r="C149" t="str">
        <f>IF($A149="","",games!$C149)</f>
        <v>Deckbuilder</v>
      </c>
      <c r="D149">
        <f>IF($A149="","",COUNTIF(connections!$A$2:$A$1400,$A149)+COUNTIF(connections!$B$2:$B$1400,$A149))</f>
        <v>3</v>
      </c>
      <c r="E149">
        <f t="shared" si="26"/>
        <v>3</v>
      </c>
      <c r="F149">
        <f t="shared" si="27"/>
        <v>13</v>
      </c>
      <c r="G149" t="e">
        <f t="shared" si="28"/>
        <v>#N/A</v>
      </c>
      <c r="H149" t="e">
        <f t="shared" si="29"/>
        <v>#N/A</v>
      </c>
      <c r="I149" t="e">
        <f t="shared" si="30"/>
        <v>#N/A</v>
      </c>
      <c r="J149" t="e">
        <f t="shared" si="31"/>
        <v>#N/A</v>
      </c>
      <c r="K149">
        <f t="shared" si="32"/>
        <v>2026</v>
      </c>
      <c r="L149">
        <f t="shared" si="33"/>
        <v>3.2989999999999999</v>
      </c>
      <c r="M149" t="e">
        <f t="shared" si="34"/>
        <v>#N/A</v>
      </c>
      <c r="N149" t="e">
        <f t="shared" si="35"/>
        <v>#N/A</v>
      </c>
      <c r="O149">
        <f t="shared" si="36"/>
        <v>3.000149</v>
      </c>
      <c r="P149" t="str">
        <f>IF(OR($A149="",games!$H149=""),"",games!$H149)</f>
        <v/>
      </c>
      <c r="Q149" t="str">
        <f t="shared" si="37"/>
        <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Cross Blitz</v>
      </c>
      <c r="B150">
        <f>IF($A150="","",games!$B150)</f>
        <v>2023</v>
      </c>
      <c r="C150" t="str">
        <f>IF($A150="","",games!$C150)</f>
        <v>Deckbuilder</v>
      </c>
      <c r="D150">
        <f>IF($A150="","",COUNTIF(connections!$A$2:$A$1400,$A150)+COUNTIF(connections!$B$2:$B$1400,$A150))</f>
        <v>2</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Crown Trick</v>
      </c>
      <c r="B151">
        <f>IF($A151="","",games!$B151)</f>
        <v>2020</v>
      </c>
      <c r="C151" t="str">
        <f>IF($A151="","",games!$C151)</f>
        <v>Strategy</v>
      </c>
      <c r="D151">
        <f>IF($A151="","",COUNTIF(connections!$A$2:$A$1400,$A151)+COUNTIF(connections!$B$2:$B$1400,$A151))</f>
        <v>0</v>
      </c>
      <c r="E151">
        <f t="shared" si="26"/>
        <v>2</v>
      </c>
      <c r="F151">
        <f t="shared" si="27"/>
        <v>15</v>
      </c>
      <c r="G151" t="e">
        <f t="shared" si="28"/>
        <v>#N/A</v>
      </c>
      <c r="H151" t="e">
        <f t="shared" si="29"/>
        <v>#N/A</v>
      </c>
      <c r="I151">
        <f t="shared" si="30"/>
        <v>2020</v>
      </c>
      <c r="J151">
        <f t="shared" si="31"/>
        <v>2.3449999999999998</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Crush the Industry</v>
      </c>
      <c r="B152">
        <f>IF($A152="","",games!$B152)</f>
        <v>2025</v>
      </c>
      <c r="C152" t="str">
        <f>IF($A152="","",games!$C152)</f>
        <v>Deckbuilder</v>
      </c>
      <c r="D152">
        <f>IF($A152="","",COUNTIF(connections!$A$2:$A$1400,$A152)+COUNTIF(connections!$B$2:$B$1400,$A152))</f>
        <v>1</v>
      </c>
      <c r="E152">
        <f t="shared" si="26"/>
        <v>3</v>
      </c>
      <c r="F152">
        <f t="shared" si="27"/>
        <v>16</v>
      </c>
      <c r="G152" t="e">
        <f t="shared" si="28"/>
        <v>#N/A</v>
      </c>
      <c r="H152" t="e">
        <f t="shared" si="29"/>
        <v>#N/A</v>
      </c>
      <c r="I152" t="e">
        <f t="shared" si="30"/>
        <v>#N/A</v>
      </c>
      <c r="J152" t="e">
        <f t="shared" si="31"/>
        <v>#N/A</v>
      </c>
      <c r="K152">
        <f t="shared" si="32"/>
        <v>2025</v>
      </c>
      <c r="L152">
        <f t="shared" si="33"/>
        <v>3.3679999999999999</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Crying Suns</v>
      </c>
      <c r="B153">
        <f>IF($A153="","",games!$B153)</f>
        <v>2019</v>
      </c>
      <c r="C153" t="str">
        <f>IF($A153="","",games!$C153)</f>
        <v>Strategy</v>
      </c>
      <c r="D153">
        <f>IF($A153="","",COUNTIF(connections!$A$2:$A$1400,$A153)+COUNTIF(connections!$B$2:$B$1400,$A153))</f>
        <v>1</v>
      </c>
      <c r="E153">
        <f t="shared" si="26"/>
        <v>2</v>
      </c>
      <c r="F153">
        <f t="shared" si="27"/>
        <v>17</v>
      </c>
      <c r="G153" t="e">
        <f t="shared" si="28"/>
        <v>#N/A</v>
      </c>
      <c r="H153" t="e">
        <f t="shared" si="29"/>
        <v>#N/A</v>
      </c>
      <c r="I153">
        <f t="shared" si="30"/>
        <v>2019</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 of the NecroDancer</v>
      </c>
      <c r="B154">
        <f>IF($A154="","",games!$B154)</f>
        <v>2015</v>
      </c>
      <c r="C154" t="str">
        <f>IF($A154="","",games!$C154)</f>
        <v>Traditional</v>
      </c>
      <c r="D154">
        <f>IF($A154="","",COUNTIF(connections!$A$2:$A$1400,$A154)+COUNTIF(connections!$B$2:$B$1400,$A154))</f>
        <v>13</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2015</v>
      </c>
      <c r="N154">
        <f t="shared" si="35"/>
        <v>4.4139999999999997</v>
      </c>
      <c r="O154">
        <f t="shared" si="36"/>
        <v>13.000154</v>
      </c>
      <c r="P154" t="str">
        <f>IF(OR($A154="",games!$H154=""),"",games!$H154)</f>
        <v>Yes</v>
      </c>
      <c r="Q154">
        <f t="shared" si="37"/>
        <v>13.000154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Cryptark</v>
      </c>
      <c r="B155">
        <f>IF($A155="","",games!$B155)</f>
        <v>2017</v>
      </c>
      <c r="C155" t="str">
        <f>IF($A155="","",games!$C155)</f>
        <v>Action</v>
      </c>
      <c r="D155">
        <f>IF($A155="","",COUNTIF(connections!$A$2:$A$1400,$A155)+COUNTIF(connections!$B$2:$B$1400,$A155))</f>
        <v>0</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1.55E-4</v>
      </c>
      <c r="P155" t="str">
        <f>IF(OR($A155="",games!$H155=""),"",games!$H155)</f>
        <v>Yes</v>
      </c>
      <c r="Q155">
        <f t="shared" si="37"/>
        <v>1.55E-4</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Cthangband</v>
      </c>
      <c r="B156">
        <f>IF($A156="","",games!$B156)</f>
        <v>1998</v>
      </c>
      <c r="C156" t="str">
        <f>IF($A156="","",games!$C156)</f>
        <v>Traditional</v>
      </c>
      <c r="D156">
        <f>IF($A156="","",COUNTIF(connections!$A$2:$A$1400,$A156)+COUNTIF(connections!$B$2:$B$1400,$A156))</f>
        <v>1</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1998</v>
      </c>
      <c r="N156">
        <f t="shared" si="35"/>
        <v>4.46</v>
      </c>
      <c r="O156">
        <f t="shared" si="36"/>
        <v>1.000156</v>
      </c>
      <c r="P156" t="str">
        <f>IF(OR($A156="",games!$H156=""),"",games!$H156)</f>
        <v>Yes</v>
      </c>
      <c r="Q156">
        <f t="shared" si="37"/>
        <v>1.000156</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Cube Chaos</v>
      </c>
      <c r="B157">
        <f>IF($A157="","",games!$B157)</f>
        <v>2023</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Cubic Cosmos</v>
      </c>
      <c r="B158">
        <f>IF($A158="","",games!$B158)</f>
        <v>2025</v>
      </c>
      <c r="C158" t="str">
        <f>IF($A158="","",games!$C158)</f>
        <v>Deckbuilder</v>
      </c>
      <c r="D158">
        <f>IF($A158="","",COUNTIF(connections!$A$2:$A$1400,$A158)+COUNTIF(connections!$B$2:$B$1400,$A158))</f>
        <v>0</v>
      </c>
      <c r="E158">
        <f t="shared" si="26"/>
        <v>3</v>
      </c>
      <c r="F158">
        <f t="shared" si="27"/>
        <v>22</v>
      </c>
      <c r="G158" t="e">
        <f t="shared" si="28"/>
        <v>#N/A</v>
      </c>
      <c r="H158" t="e">
        <f t="shared" si="29"/>
        <v>#N/A</v>
      </c>
      <c r="I158" t="e">
        <f t="shared" si="30"/>
        <v>#N/A</v>
      </c>
      <c r="J158" t="e">
        <f t="shared" si="31"/>
        <v>#N/A</v>
      </c>
      <c r="K158">
        <f t="shared" si="32"/>
        <v>2025</v>
      </c>
      <c r="L158">
        <f t="shared" si="33"/>
        <v>3.5060000000000002</v>
      </c>
      <c r="M158" t="e">
        <f t="shared" si="34"/>
        <v>#N/A</v>
      </c>
      <c r="N158" t="e">
        <f t="shared" si="35"/>
        <v>#N/A</v>
      </c>
      <c r="O158">
        <f t="shared" si="36"/>
        <v>1.5799999999999999E-4</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PiN</v>
      </c>
      <c r="B159">
        <f>IF($A159="","",games!$B159)</f>
        <v>2026</v>
      </c>
      <c r="C159" t="str">
        <f>IF($A159="","",games!$C159)</f>
        <v>Deckbuilder</v>
      </c>
      <c r="D159">
        <f>IF($A159="","",COUNTIF(connections!$A$2:$A$1400,$A159)+COUNTIF(connections!$B$2:$B$1400,$A159))</f>
        <v>2</v>
      </c>
      <c r="E159">
        <f t="shared" si="26"/>
        <v>3</v>
      </c>
      <c r="F159">
        <f t="shared" si="27"/>
        <v>23</v>
      </c>
      <c r="G159" t="e">
        <f t="shared" si="28"/>
        <v>#N/A</v>
      </c>
      <c r="H159" t="e">
        <f t="shared" si="29"/>
        <v>#N/A</v>
      </c>
      <c r="I159" t="e">
        <f t="shared" si="30"/>
        <v>#N/A</v>
      </c>
      <c r="J159" t="e">
        <f t="shared" si="31"/>
        <v>#N/A</v>
      </c>
      <c r="K159">
        <f t="shared" si="32"/>
        <v>2026</v>
      </c>
      <c r="L159">
        <f t="shared" si="33"/>
        <v>3.5289999999999999</v>
      </c>
      <c r="M159" t="e">
        <f t="shared" si="34"/>
        <v>#N/A</v>
      </c>
      <c r="N159" t="e">
        <f t="shared" si="35"/>
        <v>#N/A</v>
      </c>
      <c r="O159">
        <f t="shared" si="36"/>
        <v>2.000159</v>
      </c>
      <c r="P159" t="str">
        <f>IF(OR($A159="",games!$H159=""),"",games!$H159)</f>
        <v/>
      </c>
      <c r="Q159" t="str">
        <f t="shared" si="37"/>
        <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 of the Lamb</v>
      </c>
      <c r="B160">
        <f>IF($A160="","",games!$B160)</f>
        <v>2022</v>
      </c>
      <c r="C160" t="str">
        <f>IF($A160="","",games!$C160)</f>
        <v>Action</v>
      </c>
      <c r="D160">
        <f>IF($A160="","",COUNTIF(connections!$A$2:$A$1400,$A160)+COUNTIF(connections!$B$2:$B$1400,$A160))</f>
        <v>7</v>
      </c>
      <c r="E160">
        <f t="shared" si="26"/>
        <v>1</v>
      </c>
      <c r="F160">
        <f t="shared" si="27"/>
        <v>24</v>
      </c>
      <c r="G160">
        <f t="shared" si="28"/>
        <v>2022</v>
      </c>
      <c r="H160">
        <f t="shared" si="29"/>
        <v>1.552</v>
      </c>
      <c r="I160" t="e">
        <f t="shared" si="30"/>
        <v>#N/A</v>
      </c>
      <c r="J160" t="e">
        <f t="shared" si="31"/>
        <v>#N/A</v>
      </c>
      <c r="K160" t="e">
        <f t="shared" si="32"/>
        <v>#N/A</v>
      </c>
      <c r="L160" t="e">
        <f t="shared" si="33"/>
        <v>#N/A</v>
      </c>
      <c r="M160" t="e">
        <f t="shared" si="34"/>
        <v>#N/A</v>
      </c>
      <c r="N160" t="e">
        <f t="shared" si="35"/>
        <v>#N/A</v>
      </c>
      <c r="O160">
        <f t="shared" si="36"/>
        <v>7.0001600000000002</v>
      </c>
      <c r="P160" t="str">
        <f>IF(OR($A160="",games!$H160=""),"",games!$H160)</f>
        <v>Yes</v>
      </c>
      <c r="Q160">
        <f t="shared" si="37"/>
        <v>7.0001600000000002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Cultist Simulator</v>
      </c>
      <c r="B161">
        <f>IF($A161="","",games!$B161)</f>
        <v>2018</v>
      </c>
      <c r="C161" t="str">
        <f>IF($A161="","",games!$C161)</f>
        <v>Strategy</v>
      </c>
      <c r="D161">
        <f>IF($A161="","",COUNTIF(connections!$A$2:$A$1400,$A161)+COUNTIF(connections!$B$2:$B$1400,$A161))</f>
        <v>2</v>
      </c>
      <c r="E161">
        <f t="shared" si="26"/>
        <v>2</v>
      </c>
      <c r="F161">
        <f t="shared" si="27"/>
        <v>25</v>
      </c>
      <c r="G161" t="e">
        <f t="shared" si="28"/>
        <v>#N/A</v>
      </c>
      <c r="H161" t="e">
        <f t="shared" si="29"/>
        <v>#N/A</v>
      </c>
      <c r="I161">
        <f t="shared" si="30"/>
        <v>2018</v>
      </c>
      <c r="J161">
        <f t="shared" si="31"/>
        <v>2.5750000000000002</v>
      </c>
      <c r="K161" t="e">
        <f t="shared" si="32"/>
        <v>#N/A</v>
      </c>
      <c r="L161" t="e">
        <f t="shared" si="33"/>
        <v>#N/A</v>
      </c>
      <c r="M161" t="e">
        <f t="shared" si="34"/>
        <v>#N/A</v>
      </c>
      <c r="N161" t="e">
        <f t="shared" si="35"/>
        <v>#N/A</v>
      </c>
      <c r="O161">
        <f t="shared" si="36"/>
        <v>2.0001609999999999</v>
      </c>
      <c r="P161" t="str">
        <f>IF(OR($A161="",games!$H161=""),"",games!$H161)</f>
        <v>Yes</v>
      </c>
      <c r="Q161">
        <f t="shared" si="37"/>
        <v>2.0001609999999999</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Cupiclaw</v>
      </c>
      <c r="B162">
        <f>IF($A162="","",games!$B162)</f>
        <v>2024</v>
      </c>
      <c r="C162" t="str">
        <f>IF($A162="","",games!$C162)</f>
        <v>Deckbuilder</v>
      </c>
      <c r="D162">
        <f>IF($A162="","",COUNTIF(connections!$A$2:$A$1400,$A162)+COUNTIF(connections!$B$2:$B$1400,$A162))</f>
        <v>2</v>
      </c>
      <c r="E162">
        <f t="shared" si="26"/>
        <v>3</v>
      </c>
      <c r="F162">
        <f t="shared" si="27"/>
        <v>26</v>
      </c>
      <c r="G162" t="e">
        <f t="shared" si="28"/>
        <v>#N/A</v>
      </c>
      <c r="H162" t="e">
        <f t="shared" si="29"/>
        <v>#N/A</v>
      </c>
      <c r="I162" t="e">
        <f t="shared" si="30"/>
        <v>#N/A</v>
      </c>
      <c r="J162" t="e">
        <f t="shared" si="31"/>
        <v>#N/A</v>
      </c>
      <c r="K162">
        <f t="shared" si="32"/>
        <v>2024</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v>
      </c>
      <c r="B163">
        <f>IF($A163="","",games!$B163)</f>
        <v>2016</v>
      </c>
      <c r="C163" t="str">
        <f>IF($A163="","",games!$C163)</f>
        <v>Strategy</v>
      </c>
      <c r="D163">
        <f>IF($A163="","",COUNTIF(connections!$A$2:$A$1400,$A163)+COUNTIF(connections!$B$2:$B$1400,$A163))</f>
        <v>3</v>
      </c>
      <c r="E163">
        <f t="shared" si="26"/>
        <v>2</v>
      </c>
      <c r="F163">
        <f t="shared" si="27"/>
        <v>27</v>
      </c>
      <c r="G163" t="e">
        <f t="shared" si="28"/>
        <v>#N/A</v>
      </c>
      <c r="H163" t="e">
        <f t="shared" si="29"/>
        <v>#N/A</v>
      </c>
      <c r="I163">
        <f t="shared" si="30"/>
        <v>2016</v>
      </c>
      <c r="J163">
        <f t="shared" si="31"/>
        <v>2.621</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Curious Expedition 2</v>
      </c>
      <c r="B164">
        <f>IF($A164="","",games!$B164)</f>
        <v>2020</v>
      </c>
      <c r="C164" t="str">
        <f>IF($A164="","",games!$C164)</f>
        <v>Strategy</v>
      </c>
      <c r="D164">
        <f>IF($A164="","",COUNTIF(connections!$A$2:$A$1400,$A164)+COUNTIF(connections!$B$2:$B$1400,$A164))</f>
        <v>1</v>
      </c>
      <c r="E164">
        <f t="shared" si="26"/>
        <v>2</v>
      </c>
      <c r="F164">
        <f t="shared" si="27"/>
        <v>28</v>
      </c>
      <c r="G164" t="e">
        <f t="shared" si="28"/>
        <v>#N/A</v>
      </c>
      <c r="H164" t="e">
        <f t="shared" si="29"/>
        <v>#N/A</v>
      </c>
      <c r="I164">
        <f t="shared" si="30"/>
        <v>2020</v>
      </c>
      <c r="J164">
        <f t="shared" si="31"/>
        <v>2.6440000000000001</v>
      </c>
      <c r="K164" t="e">
        <f t="shared" si="32"/>
        <v>#N/A</v>
      </c>
      <c r="L164" t="e">
        <f t="shared" si="33"/>
        <v>#N/A</v>
      </c>
      <c r="M164" t="e">
        <f t="shared" si="34"/>
        <v>#N/A</v>
      </c>
      <c r="N164" t="e">
        <f t="shared" si="35"/>
        <v>#N/A</v>
      </c>
      <c r="O164">
        <f t="shared" si="36"/>
        <v>1.0001640000000001</v>
      </c>
      <c r="P164" t="str">
        <f>IF(OR($A164="",games!$H164=""),"",games!$H164)</f>
        <v/>
      </c>
      <c r="Q164" t="str">
        <f t="shared" si="37"/>
        <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 of Pirates</v>
      </c>
      <c r="B165">
        <f>IF($A165="","",games!$B165)</f>
        <v>2026</v>
      </c>
      <c r="C165" t="str">
        <f>IF($A165="","",games!$C165)</f>
        <v>Action</v>
      </c>
      <c r="D165">
        <f>IF($A165="","",COUNTIF(connections!$A$2:$A$1400,$A165)+COUNTIF(connections!$B$2:$B$1400,$A165))</f>
        <v>2</v>
      </c>
      <c r="E165">
        <f t="shared" si="26"/>
        <v>1</v>
      </c>
      <c r="F165">
        <f t="shared" si="27"/>
        <v>29</v>
      </c>
      <c r="G165">
        <f t="shared" si="28"/>
        <v>2026</v>
      </c>
      <c r="H165">
        <f t="shared" si="29"/>
        <v>1.667</v>
      </c>
      <c r="I165" t="e">
        <f t="shared" si="30"/>
        <v>#N/A</v>
      </c>
      <c r="J165" t="e">
        <f t="shared" si="31"/>
        <v>#N/A</v>
      </c>
      <c r="K165" t="e">
        <f t="shared" si="32"/>
        <v>#N/A</v>
      </c>
      <c r="L165" t="e">
        <f t="shared" si="33"/>
        <v>#N/A</v>
      </c>
      <c r="M165" t="e">
        <f t="shared" si="34"/>
        <v>#N/A</v>
      </c>
      <c r="N165" t="e">
        <f t="shared" si="35"/>
        <v>#N/A</v>
      </c>
      <c r="O165">
        <f t="shared" si="36"/>
        <v>2.000165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Curse of the Dead Gods</v>
      </c>
      <c r="B166">
        <f>IF($A166="","",games!$B166)</f>
        <v>2020</v>
      </c>
      <c r="C166" t="str">
        <f>IF($A166="","",games!$C166)</f>
        <v>Action</v>
      </c>
      <c r="D166">
        <f>IF($A166="","",COUNTIF(connections!$A$2:$A$1400,$A166)+COUNTIF(connections!$B$2:$B$1400,$A166))</f>
        <v>3</v>
      </c>
      <c r="E166">
        <f t="shared" si="26"/>
        <v>1</v>
      </c>
      <c r="F166">
        <f t="shared" si="27"/>
        <v>30</v>
      </c>
      <c r="G166">
        <f t="shared" si="28"/>
        <v>2020</v>
      </c>
      <c r="H166">
        <f t="shared" si="29"/>
        <v>1.69</v>
      </c>
      <c r="I166" t="e">
        <f t="shared" si="30"/>
        <v>#N/A</v>
      </c>
      <c r="J166" t="e">
        <f t="shared" si="31"/>
        <v>#N/A</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Cursed Words</v>
      </c>
      <c r="B167">
        <f>IF($A167="","",games!$B167)</f>
        <v>2026</v>
      </c>
      <c r="C167" t="str">
        <f>IF($A167="","",games!$C167)</f>
        <v>Strategy</v>
      </c>
      <c r="D167">
        <f>IF($A167="","",COUNTIF(connections!$A$2:$A$1400,$A167)+COUNTIF(connections!$B$2:$B$1400,$A167))</f>
        <v>5</v>
      </c>
      <c r="E167">
        <f t="shared" si="26"/>
        <v>2</v>
      </c>
      <c r="F167">
        <f t="shared" si="27"/>
        <v>31</v>
      </c>
      <c r="G167" t="e">
        <f t="shared" si="28"/>
        <v>#N/A</v>
      </c>
      <c r="H167" t="e">
        <f t="shared" si="29"/>
        <v>#N/A</v>
      </c>
      <c r="I167">
        <f t="shared" si="30"/>
        <v>2026</v>
      </c>
      <c r="J167">
        <f t="shared" si="31"/>
        <v>2.7130000000000001</v>
      </c>
      <c r="K167" t="e">
        <f t="shared" si="32"/>
        <v>#N/A</v>
      </c>
      <c r="L167" t="e">
        <f t="shared" si="33"/>
        <v>#N/A</v>
      </c>
      <c r="M167" t="e">
        <f t="shared" si="34"/>
        <v>#N/A</v>
      </c>
      <c r="N167" t="e">
        <f t="shared" si="35"/>
        <v>#N/A</v>
      </c>
      <c r="O167">
        <f t="shared" si="36"/>
        <v>5.0001670000000003</v>
      </c>
      <c r="P167" t="str">
        <f>IF(OR($A167="",games!$H167=""),"",games!$H167)</f>
        <v/>
      </c>
      <c r="Q167" t="str">
        <f t="shared" si="37"/>
        <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Cursorblade</v>
      </c>
      <c r="B168">
        <f>IF($A168="","",games!$B168)</f>
        <v>2023</v>
      </c>
      <c r="C168" t="str">
        <f>IF($A168="","",games!$C168)</f>
        <v>Action</v>
      </c>
      <c r="D168">
        <f>IF($A168="","",COUNTIF(connections!$A$2:$A$1400,$A168)+COUNTIF(connections!$B$2:$B$1400,$A168))</f>
        <v>0</v>
      </c>
      <c r="E168">
        <f t="shared" si="26"/>
        <v>1</v>
      </c>
      <c r="F168">
        <f t="shared" si="27"/>
        <v>32</v>
      </c>
      <c r="G168">
        <f t="shared" si="28"/>
        <v>2023</v>
      </c>
      <c r="H168">
        <f t="shared" si="29"/>
        <v>1.736</v>
      </c>
      <c r="I168" t="e">
        <f t="shared" si="30"/>
        <v>#N/A</v>
      </c>
      <c r="J168" t="e">
        <f t="shared" si="31"/>
        <v>#N/A</v>
      </c>
      <c r="K168" t="e">
        <f t="shared" si="32"/>
        <v>#N/A</v>
      </c>
      <c r="L168" t="e">
        <f t="shared" si="33"/>
        <v>#N/A</v>
      </c>
      <c r="M168" t="e">
        <f t="shared" si="34"/>
        <v>#N/A</v>
      </c>
      <c r="N168" t="e">
        <f t="shared" si="35"/>
        <v>#N/A</v>
      </c>
      <c r="O168">
        <f t="shared" si="36"/>
        <v>1.6799999999999999E-4</v>
      </c>
      <c r="P168" t="str">
        <f>IF(OR($A168="",games!$H168=""),"",games!$H168)</f>
        <v>Yes</v>
      </c>
      <c r="Q168">
        <f t="shared" si="37"/>
        <v>1.6799999999999999E-4</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 Devotion</v>
      </c>
      <c r="B169">
        <f>IF($A169="","",games!$B169)</f>
        <v>2019</v>
      </c>
      <c r="C169" t="str">
        <f>IF($A169="","",games!$C169)</f>
        <v>Action</v>
      </c>
      <c r="D169">
        <f>IF($A169="","",COUNTIF(connections!$A$2:$A$1400,$A169)+COUNTIF(connections!$B$2:$B$1400,$A169))</f>
        <v>2</v>
      </c>
      <c r="E169">
        <f t="shared" si="26"/>
        <v>1</v>
      </c>
      <c r="F169">
        <f t="shared" si="27"/>
        <v>33</v>
      </c>
      <c r="G169">
        <f t="shared" si="28"/>
        <v>2019</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 Light: Survivor</v>
      </c>
      <c r="B170">
        <f>IF($A170="","",games!$B170)</f>
        <v>2026</v>
      </c>
      <c r="C170" t="str">
        <f>IF($A170="","",games!$C170)</f>
        <v>Action</v>
      </c>
      <c r="D170">
        <f>IF($A170="","",COUNTIF(connections!$A$2:$A$1400,$A170)+COUNTIF(connections!$B$2:$B$1400,$A170))</f>
        <v>4</v>
      </c>
      <c r="E170">
        <f t="shared" si="26"/>
        <v>1</v>
      </c>
      <c r="F170">
        <f t="shared" si="27"/>
        <v>0</v>
      </c>
      <c r="G170">
        <f t="shared" si="28"/>
        <v>2026</v>
      </c>
      <c r="H170">
        <f t="shared" si="29"/>
        <v>1</v>
      </c>
      <c r="I170" t="e">
        <f t="shared" si="30"/>
        <v>#N/A</v>
      </c>
      <c r="J170" t="e">
        <f t="shared" si="31"/>
        <v>#N/A</v>
      </c>
      <c r="K170" t="e">
        <f t="shared" si="32"/>
        <v>#N/A</v>
      </c>
      <c r="L170" t="e">
        <f t="shared" si="33"/>
        <v>#N/A</v>
      </c>
      <c r="M170" t="e">
        <f t="shared" si="34"/>
        <v>#N/A</v>
      </c>
      <c r="N170" t="e">
        <f t="shared" si="35"/>
        <v>#N/A</v>
      </c>
      <c r="O170">
        <f t="shared" si="36"/>
        <v>4.0001699999999998</v>
      </c>
      <c r="P170" t="str">
        <f>IF(OR($A170="",games!$H170=""),"",games!$H170)</f>
        <v/>
      </c>
      <c r="Q170" t="str">
        <f t="shared" si="37"/>
        <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Darkblade Ascent</v>
      </c>
      <c r="B171">
        <f>IF($A171="","",games!$B171)</f>
        <v>2025</v>
      </c>
      <c r="C171" t="str">
        <f>IF($A171="","",games!$C171)</f>
        <v>Action</v>
      </c>
      <c r="D171">
        <f>IF($A171="","",COUNTIF(connections!$A$2:$A$1400,$A171)+COUNTIF(connections!$B$2:$B$1400,$A171))</f>
        <v>2</v>
      </c>
      <c r="E171">
        <f t="shared" si="26"/>
        <v>1</v>
      </c>
      <c r="F171">
        <f t="shared" si="27"/>
        <v>1</v>
      </c>
      <c r="G171">
        <f t="shared" si="28"/>
        <v>2025</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
      </c>
      <c r="Q171" t="str">
        <f t="shared" si="37"/>
        <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Darkest Dungeon</v>
      </c>
      <c r="B172">
        <f>IF($A172="","",games!$B172)</f>
        <v>2015</v>
      </c>
      <c r="C172" t="str">
        <f>IF($A172="","",games!$C172)</f>
        <v>Strategy</v>
      </c>
      <c r="D172">
        <f>IF($A172="","",COUNTIF(connections!$A$2:$A$1400,$A172)+COUNTIF(connections!$B$2:$B$1400,$A172))</f>
        <v>24</v>
      </c>
      <c r="E172">
        <f t="shared" si="26"/>
        <v>2</v>
      </c>
      <c r="F172">
        <f t="shared" si="27"/>
        <v>2</v>
      </c>
      <c r="G172" t="e">
        <f t="shared" si="28"/>
        <v>#N/A</v>
      </c>
      <c r="H172" t="e">
        <f t="shared" si="29"/>
        <v>#N/A</v>
      </c>
      <c r="I172">
        <f t="shared" si="30"/>
        <v>2015</v>
      </c>
      <c r="J172">
        <f t="shared" si="31"/>
        <v>2.0459999999999998</v>
      </c>
      <c r="K172" t="e">
        <f t="shared" si="32"/>
        <v>#N/A</v>
      </c>
      <c r="L172" t="e">
        <f t="shared" si="33"/>
        <v>#N/A</v>
      </c>
      <c r="M172" t="e">
        <f t="shared" si="34"/>
        <v>#N/A</v>
      </c>
      <c r="N172" t="e">
        <f t="shared" si="35"/>
        <v>#N/A</v>
      </c>
      <c r="O172">
        <f t="shared" si="36"/>
        <v>24.000171999999999</v>
      </c>
      <c r="P172" t="str">
        <f>IF(OR($A172="",games!$H172=""),"",games!$H172)</f>
        <v>Yes</v>
      </c>
      <c r="Q172">
        <f t="shared" si="37"/>
        <v>24.000171999999999</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Darkest Dungeon 2</v>
      </c>
      <c r="B173">
        <f>IF($A173="","",games!$B173)</f>
        <v>2023</v>
      </c>
      <c r="C173" t="str">
        <f>IF($A173="","",games!$C173)</f>
        <v>Strategy</v>
      </c>
      <c r="D173">
        <f>IF($A173="","",COUNTIF(connections!$A$2:$A$1400,$A173)+COUNTIF(connections!$B$2:$B$1400,$A173))</f>
        <v>1</v>
      </c>
      <c r="E173">
        <f t="shared" si="26"/>
        <v>2</v>
      </c>
      <c r="F173">
        <f t="shared" si="27"/>
        <v>3</v>
      </c>
      <c r="G173" t="e">
        <f t="shared" si="28"/>
        <v>#N/A</v>
      </c>
      <c r="H173" t="e">
        <f t="shared" si="29"/>
        <v>#N/A</v>
      </c>
      <c r="I173">
        <f t="shared" si="30"/>
        <v>2023</v>
      </c>
      <c r="J173">
        <f t="shared" si="31"/>
        <v>2.069</v>
      </c>
      <c r="K173" t="e">
        <f t="shared" si="32"/>
        <v>#N/A</v>
      </c>
      <c r="L173" t="e">
        <f t="shared" si="33"/>
        <v>#N/A</v>
      </c>
      <c r="M173" t="e">
        <f t="shared" si="34"/>
        <v>#N/A</v>
      </c>
      <c r="N173" t="e">
        <f t="shared" si="35"/>
        <v>#N/A</v>
      </c>
      <c r="O173">
        <f t="shared" si="36"/>
        <v>1.000173</v>
      </c>
      <c r="P173" t="str">
        <f>IF(OR($A173="",games!$H173=""),"",games!$H173)</f>
        <v>Yes</v>
      </c>
      <c r="Q173">
        <f t="shared" si="37"/>
        <v>1.000173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Dave the Diver</v>
      </c>
      <c r="B174">
        <f>IF($A174="","",games!$B174)</f>
        <v>2022</v>
      </c>
      <c r="C174" t="str">
        <f>IF($A174="","",games!$C174)</f>
        <v>Action</v>
      </c>
      <c r="D174">
        <f>IF($A174="","",COUNTIF(connections!$A$2:$A$1400,$A174)+COUNTIF(connections!$B$2:$B$1400,$A174))</f>
        <v>2</v>
      </c>
      <c r="E174">
        <f t="shared" si="26"/>
        <v>1</v>
      </c>
      <c r="F174">
        <f t="shared" si="27"/>
        <v>4</v>
      </c>
      <c r="G174">
        <f t="shared" si="28"/>
        <v>2022</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Cells</v>
      </c>
      <c r="B175">
        <f>IF($A175="","",games!$B175)</f>
        <v>2018</v>
      </c>
      <c r="C175" t="str">
        <f>IF($A175="","",games!$C175)</f>
        <v>Action</v>
      </c>
      <c r="D175">
        <f>IF($A175="","",COUNTIF(connections!$A$2:$A$1400,$A175)+COUNTIF(connections!$B$2:$B$1400,$A175))</f>
        <v>28</v>
      </c>
      <c r="E175">
        <f t="shared" si="26"/>
        <v>1</v>
      </c>
      <c r="F175">
        <f t="shared" si="27"/>
        <v>5</v>
      </c>
      <c r="G175">
        <f t="shared" si="28"/>
        <v>2018</v>
      </c>
      <c r="H175">
        <f t="shared" si="29"/>
        <v>1.115</v>
      </c>
      <c r="I175" t="e">
        <f t="shared" si="30"/>
        <v>#N/A</v>
      </c>
      <c r="J175" t="e">
        <f t="shared" si="31"/>
        <v>#N/A</v>
      </c>
      <c r="K175" t="e">
        <f t="shared" si="32"/>
        <v>#N/A</v>
      </c>
      <c r="L175" t="e">
        <f t="shared" si="33"/>
        <v>#N/A</v>
      </c>
      <c r="M175" t="e">
        <f t="shared" si="34"/>
        <v>#N/A</v>
      </c>
      <c r="N175" t="e">
        <f t="shared" si="35"/>
        <v>#N/A</v>
      </c>
      <c r="O175">
        <f t="shared" si="36"/>
        <v>28.000174999999999</v>
      </c>
      <c r="P175" t="str">
        <f>IF(OR($A175="",games!$H175=""),"",games!$H175)</f>
        <v>Yes</v>
      </c>
      <c r="Q175">
        <f t="shared" si="37"/>
        <v>28.000174999999999</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Estate</v>
      </c>
      <c r="B176">
        <f>IF($A176="","",games!$B176)</f>
        <v>2020</v>
      </c>
      <c r="C176" t="str">
        <f>IF($A176="","",games!$C176)</f>
        <v>Action</v>
      </c>
      <c r="D176">
        <f>IF($A176="","",COUNTIF(connections!$A$2:$A$1400,$A176)+COUNTIF(connections!$B$2:$B$1400,$A176))</f>
        <v>2</v>
      </c>
      <c r="E176">
        <f t="shared" si="26"/>
        <v>1</v>
      </c>
      <c r="F176">
        <f t="shared" si="27"/>
        <v>6</v>
      </c>
      <c r="G176">
        <f t="shared" si="28"/>
        <v>2020</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 Finger Dice</v>
      </c>
      <c r="B177">
        <f>IF($A177="","",games!$B177)</f>
        <v>2025</v>
      </c>
      <c r="C177" t="str">
        <f>IF($A177="","",games!$C177)</f>
        <v>Deckbuilder</v>
      </c>
      <c r="D177">
        <f>IF($A177="","",COUNTIF(connections!$A$2:$A$1400,$A177)+COUNTIF(connections!$B$2:$B$1400,$A177))</f>
        <v>1</v>
      </c>
      <c r="E177">
        <f t="shared" si="26"/>
        <v>3</v>
      </c>
      <c r="F177">
        <f t="shared" si="27"/>
        <v>7</v>
      </c>
      <c r="G177" t="e">
        <f t="shared" si="28"/>
        <v>#N/A</v>
      </c>
      <c r="H177" t="e">
        <f t="shared" si="29"/>
        <v>#N/A</v>
      </c>
      <c r="I177" t="e">
        <f t="shared" si="30"/>
        <v>#N/A</v>
      </c>
      <c r="J177" t="e">
        <f t="shared" si="31"/>
        <v>#N/A</v>
      </c>
      <c r="K177">
        <f t="shared" si="32"/>
        <v>2025</v>
      </c>
      <c r="L177">
        <f t="shared" si="33"/>
        <v>3.161</v>
      </c>
      <c r="M177" t="e">
        <f t="shared" si="34"/>
        <v>#N/A</v>
      </c>
      <c r="N177" t="e">
        <f t="shared" si="35"/>
        <v>#N/A</v>
      </c>
      <c r="O177">
        <f t="shared" si="36"/>
        <v>1.0001770000000001</v>
      </c>
      <c r="P177" t="str">
        <f>IF(OR($A177="",games!$H177=""),"",games!$H177)</f>
        <v>Yes</v>
      </c>
      <c r="Q177">
        <f t="shared" si="37"/>
        <v>1.0001770000000001</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Dead Weight</v>
      </c>
      <c r="B178">
        <f>IF($A178="","",games!$B178)</f>
        <v>2026</v>
      </c>
      <c r="C178" t="str">
        <f>IF($A178="","",games!$C178)</f>
        <v>Strategy</v>
      </c>
      <c r="D178">
        <f>IF($A178="","",COUNTIF(connections!$A$2:$A$1400,$A178)+COUNTIF(connections!$B$2:$B$1400,$A178))</f>
        <v>1</v>
      </c>
      <c r="E178">
        <f t="shared" si="26"/>
        <v>2</v>
      </c>
      <c r="F178">
        <f t="shared" si="27"/>
        <v>8</v>
      </c>
      <c r="G178" t="e">
        <f t="shared" si="28"/>
        <v>#N/A</v>
      </c>
      <c r="H178" t="e">
        <f t="shared" si="29"/>
        <v>#N/A</v>
      </c>
      <c r="I178">
        <f t="shared" si="30"/>
        <v>2026</v>
      </c>
      <c r="J178">
        <f t="shared" si="31"/>
        <v>2.1840000000000002</v>
      </c>
      <c r="K178" t="e">
        <f t="shared" si="32"/>
        <v>#N/A</v>
      </c>
      <c r="L178" t="e">
        <f t="shared" si="33"/>
        <v>#N/A</v>
      </c>
      <c r="M178" t="e">
        <f t="shared" si="34"/>
        <v>#N/A</v>
      </c>
      <c r="N178" t="e">
        <f t="shared" si="35"/>
        <v>#N/A</v>
      </c>
      <c r="O178">
        <f t="shared" si="36"/>
        <v>1.000178</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Deadzone: Rogue</v>
      </c>
      <c r="B179">
        <f>IF($A179="","",games!$B179)</f>
        <v>2025</v>
      </c>
      <c r="C179" t="str">
        <f>IF($A179="","",games!$C179)</f>
        <v>Action</v>
      </c>
      <c r="D179">
        <f>IF($A179="","",COUNTIF(connections!$A$2:$A$1400,$A179)+COUNTIF(connections!$B$2:$B$1400,$A179))</f>
        <v>0</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
      </c>
      <c r="Q179" t="str">
        <f t="shared" si="37"/>
        <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by Scrolling</v>
      </c>
      <c r="B180">
        <f>IF($A180="","",games!$B180)</f>
        <v>2025</v>
      </c>
      <c r="C180" t="str">
        <f>IF($A180="","",games!$C180)</f>
        <v>Action</v>
      </c>
      <c r="D180">
        <f>IF($A180="","",COUNTIF(connections!$A$2:$A$1400,$A180)+COUNTIF(connections!$B$2:$B$1400,$A180))</f>
        <v>0</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
      </c>
      <c r="Q180" t="str">
        <f t="shared" si="37"/>
        <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Must Die</v>
      </c>
      <c r="B181">
        <f>IF($A181="","",games!$B181)</f>
        <v>2023</v>
      </c>
      <c r="C181" t="str">
        <f>IF($A181="","",games!$C181)</f>
        <v>Action</v>
      </c>
      <c r="D181">
        <f>IF($A181="","",COUNTIF(connections!$A$2:$A$1400,$A181)+COUNTIF(connections!$B$2:$B$1400,$A181))</f>
        <v>8</v>
      </c>
      <c r="E181">
        <f t="shared" si="26"/>
        <v>1</v>
      </c>
      <c r="F181">
        <f t="shared" si="27"/>
        <v>11</v>
      </c>
      <c r="G181">
        <f t="shared" si="28"/>
        <v>2023</v>
      </c>
      <c r="H181">
        <f t="shared" si="29"/>
        <v>1.2530000000000001</v>
      </c>
      <c r="I181" t="e">
        <f t="shared" si="30"/>
        <v>#N/A</v>
      </c>
      <c r="J181" t="e">
        <f t="shared" si="31"/>
        <v>#N/A</v>
      </c>
      <c r="K181" t="e">
        <f t="shared" si="32"/>
        <v>#N/A</v>
      </c>
      <c r="L181" t="e">
        <f t="shared" si="33"/>
        <v>#N/A</v>
      </c>
      <c r="M181" t="e">
        <f t="shared" si="34"/>
        <v>#N/A</v>
      </c>
      <c r="N181" t="e">
        <f t="shared" si="35"/>
        <v>#N/A</v>
      </c>
      <c r="O181">
        <f t="shared" si="36"/>
        <v>8.0001809999999995</v>
      </c>
      <c r="P181" t="str">
        <f>IF(OR($A181="",games!$H181=""),"",games!$H181)</f>
        <v>Yes</v>
      </c>
      <c r="Q181">
        <f t="shared" si="37"/>
        <v>8.0001809999999995</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Road to Canada</v>
      </c>
      <c r="B182">
        <f>IF($A182="","",games!$B182)</f>
        <v>2016</v>
      </c>
      <c r="C182" t="str">
        <f>IF($A182="","",games!$C182)</f>
        <v>Action</v>
      </c>
      <c r="D182">
        <f>IF($A182="","",COUNTIF(connections!$A$2:$A$1400,$A182)+COUNTIF(connections!$B$2:$B$1400,$A182))</f>
        <v>0</v>
      </c>
      <c r="E182">
        <f t="shared" si="26"/>
        <v>1</v>
      </c>
      <c r="F182">
        <f t="shared" si="27"/>
        <v>12</v>
      </c>
      <c r="G182">
        <f t="shared" si="28"/>
        <v>2016</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Yes</v>
      </c>
      <c r="Q182">
        <f t="shared" si="37"/>
        <v>1.8200000000000001E-4</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Death Roads: Tournament</v>
      </c>
      <c r="B183">
        <f>IF($A183="","",games!$B183)</f>
        <v>2023</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2023</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Death Skid Marks</v>
      </c>
      <c r="B184">
        <f>IF($A184="","",games!$B184)</f>
        <v>2014</v>
      </c>
      <c r="C184" t="str">
        <f>IF($A184="","",games!$C184)</f>
        <v>Action</v>
      </c>
      <c r="D184">
        <f>IF($A184="","",COUNTIF(connections!$A$2:$A$1400,$A184)+COUNTIF(connections!$B$2:$B$1400,$A184))</f>
        <v>1</v>
      </c>
      <c r="E184">
        <f t="shared" si="26"/>
        <v>1</v>
      </c>
      <c r="F184">
        <f t="shared" si="27"/>
        <v>14</v>
      </c>
      <c r="G184">
        <f t="shared" si="28"/>
        <v>2014</v>
      </c>
      <c r="H184">
        <f t="shared" si="29"/>
        <v>1.3220000000000001</v>
      </c>
      <c r="I184" t="e">
        <f t="shared" si="30"/>
        <v>#N/A</v>
      </c>
      <c r="J184" t="e">
        <f t="shared" si="31"/>
        <v>#N/A</v>
      </c>
      <c r="K184" t="e">
        <f t="shared" si="32"/>
        <v>#N/A</v>
      </c>
      <c r="L184" t="e">
        <f t="shared" si="33"/>
        <v>#N/A</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 of Ashes</v>
      </c>
      <c r="B185">
        <f>IF($A185="","",games!$B185)</f>
        <v>2019</v>
      </c>
      <c r="C185" t="str">
        <f>IF($A185="","",games!$C185)</f>
        <v>Deckbuilder</v>
      </c>
      <c r="D185">
        <f>IF($A185="","",COUNTIF(connections!$A$2:$A$1400,$A185)+COUNTIF(connections!$B$2:$B$1400,$A185))</f>
        <v>4</v>
      </c>
      <c r="E185">
        <f t="shared" si="26"/>
        <v>3</v>
      </c>
      <c r="F185">
        <f t="shared" si="27"/>
        <v>15</v>
      </c>
      <c r="G185" t="e">
        <f t="shared" si="28"/>
        <v>#N/A</v>
      </c>
      <c r="H185" t="e">
        <f t="shared" si="29"/>
        <v>#N/A</v>
      </c>
      <c r="I185" t="e">
        <f t="shared" si="30"/>
        <v>#N/A</v>
      </c>
      <c r="J185" t="e">
        <f t="shared" si="31"/>
        <v>#N/A</v>
      </c>
      <c r="K185">
        <f t="shared" si="32"/>
        <v>2019</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Deck of Haunts</v>
      </c>
      <c r="B186">
        <f>IF($A186="","",games!$B186)</f>
        <v>2025</v>
      </c>
      <c r="C186" t="str">
        <f>IF($A186="","",games!$C186)</f>
        <v>Deckbuilder</v>
      </c>
      <c r="D186">
        <f>IF($A186="","",COUNTIF(connections!$A$2:$A$1400,$A186)+COUNTIF(connections!$B$2:$B$1400,$A186))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Decktamer</v>
      </c>
      <c r="B187">
        <f>IF($A187="","",games!$B187)</f>
        <v>2025</v>
      </c>
      <c r="C187" t="str">
        <f>IF($A187="","",games!$C187)</f>
        <v>Deckbuilder</v>
      </c>
      <c r="D187">
        <f>IF($A187="","",COUNTIF(connections!$A$2:$A$1400,$A187)+COUNTIF(connections!$B$2:$B$1400,$A187))</f>
        <v>2</v>
      </c>
      <c r="E187">
        <f t="shared" si="26"/>
        <v>3</v>
      </c>
      <c r="F187">
        <f t="shared" si="27"/>
        <v>17</v>
      </c>
      <c r="G187" t="e">
        <f t="shared" si="28"/>
        <v>#N/A</v>
      </c>
      <c r="H187" t="e">
        <f t="shared" si="29"/>
        <v>#N/A</v>
      </c>
      <c r="I187" t="e">
        <f t="shared" si="30"/>
        <v>#N/A</v>
      </c>
      <c r="J187" t="e">
        <f t="shared" si="31"/>
        <v>#N/A</v>
      </c>
      <c r="K187">
        <f t="shared" si="32"/>
        <v>2025</v>
      </c>
      <c r="L187">
        <f t="shared" si="33"/>
        <v>3.391</v>
      </c>
      <c r="M187" t="e">
        <f t="shared" si="34"/>
        <v>#N/A</v>
      </c>
      <c r="N187" t="e">
        <f t="shared" si="35"/>
        <v>#N/A</v>
      </c>
      <c r="O187">
        <f t="shared" si="36"/>
        <v>2.0001869999999999</v>
      </c>
      <c r="P187" t="str">
        <f>IF(OR($A187="",games!$H187=""),"",games!$H187)</f>
        <v>Yes</v>
      </c>
      <c r="Q187">
        <f t="shared" si="37"/>
        <v>2.0001869999999999</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Dungeons of Doom</v>
      </c>
      <c r="B188">
        <f>IF($A188="","",games!$B188)</f>
        <v>2014</v>
      </c>
      <c r="C188" t="str">
        <f>IF($A188="","",games!$C188)</f>
        <v>Action</v>
      </c>
      <c r="D188">
        <f>IF($A188="","",COUNTIF(connections!$A$2:$A$1400,$A188)+COUNTIF(connections!$B$2:$B$1400,$A188))</f>
        <v>1</v>
      </c>
      <c r="E188">
        <f t="shared" si="26"/>
        <v>1</v>
      </c>
      <c r="F188">
        <f t="shared" si="27"/>
        <v>18</v>
      </c>
      <c r="G188">
        <f t="shared" si="28"/>
        <v>2014</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 Rock Galactic: Survivor</v>
      </c>
      <c r="B189">
        <f>IF($A189="","",games!$B189)</f>
        <v>2024</v>
      </c>
      <c r="C189" t="str">
        <f>IF($A189="","",games!$C189)</f>
        <v>Action</v>
      </c>
      <c r="D189">
        <f>IF($A189="","",COUNTIF(connections!$A$2:$A$1400,$A189)+COUNTIF(connections!$B$2:$B$1400,$A189))</f>
        <v>5</v>
      </c>
      <c r="E189">
        <f t="shared" si="26"/>
        <v>1</v>
      </c>
      <c r="F189">
        <f t="shared" si="27"/>
        <v>19</v>
      </c>
      <c r="G189">
        <f t="shared" si="28"/>
        <v>2024</v>
      </c>
      <c r="H189">
        <f t="shared" si="29"/>
        <v>1.4370000000000001</v>
      </c>
      <c r="I189" t="e">
        <f t="shared" si="30"/>
        <v>#N/A</v>
      </c>
      <c r="J189" t="e">
        <f t="shared" si="31"/>
        <v>#N/A</v>
      </c>
      <c r="K189" t="e">
        <f t="shared" si="32"/>
        <v>#N/A</v>
      </c>
      <c r="L189" t="e">
        <f t="shared" si="33"/>
        <v>#N/A</v>
      </c>
      <c r="M189" t="e">
        <f t="shared" si="34"/>
        <v>#N/A</v>
      </c>
      <c r="N189" t="e">
        <f t="shared" si="35"/>
        <v>#N/A</v>
      </c>
      <c r="O189">
        <f t="shared" si="36"/>
        <v>5.0001889999999998</v>
      </c>
      <c r="P189" t="str">
        <f>IF(OR($A189="",games!$H189=""),"",games!$H189)</f>
        <v/>
      </c>
      <c r="Q189" t="str">
        <f t="shared" si="37"/>
        <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Deep Sky Derelicts</v>
      </c>
      <c r="B190">
        <f>IF($A190="","",games!$B190)</f>
        <v>2018</v>
      </c>
      <c r="C190" t="str">
        <f>IF($A190="","",games!$C190)</f>
        <v>Deckbuilder</v>
      </c>
      <c r="D190">
        <f>IF($A190="","",COUNTIF(connections!$A$2:$A$1400,$A190)+COUNTIF(connections!$B$2:$B$1400,$A190))</f>
        <v>3</v>
      </c>
      <c r="E190">
        <f t="shared" si="26"/>
        <v>3</v>
      </c>
      <c r="F190">
        <f t="shared" si="27"/>
        <v>20</v>
      </c>
      <c r="G190" t="e">
        <f t="shared" si="28"/>
        <v>#N/A</v>
      </c>
      <c r="H190" t="e">
        <f t="shared" si="29"/>
        <v>#N/A</v>
      </c>
      <c r="I190" t="e">
        <f t="shared" si="30"/>
        <v>#N/A</v>
      </c>
      <c r="J190" t="e">
        <f t="shared" si="31"/>
        <v>#N/A</v>
      </c>
      <c r="K190">
        <f t="shared" si="32"/>
        <v>2018</v>
      </c>
      <c r="L190">
        <f t="shared" si="33"/>
        <v>3.46</v>
      </c>
      <c r="M190" t="e">
        <f t="shared" si="34"/>
        <v>#N/A</v>
      </c>
      <c r="N190" t="e">
        <f t="shared" si="35"/>
        <v>#N/A</v>
      </c>
      <c r="O190">
        <f t="shared" si="36"/>
        <v>3.0001899999999999</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Deepest Chamber: Resurrection</v>
      </c>
      <c r="B191">
        <f>IF($A191="","",games!$B191)</f>
        <v>2021</v>
      </c>
      <c r="C191" t="str">
        <f>IF($A191="","",games!$C191)</f>
        <v>Deckbuilder</v>
      </c>
      <c r="D191">
        <f>IF($A191="","",COUNTIF(connections!$A$2:$A$1400,$A191)+COUNTIF(connections!$B$2:$B$1400,$A191))</f>
        <v>1</v>
      </c>
      <c r="E191">
        <f t="shared" si="26"/>
        <v>3</v>
      </c>
      <c r="F191">
        <f t="shared" si="27"/>
        <v>21</v>
      </c>
      <c r="G191" t="e">
        <f t="shared" si="28"/>
        <v>#N/A</v>
      </c>
      <c r="H191" t="e">
        <f t="shared" si="29"/>
        <v>#N/A</v>
      </c>
      <c r="I191" t="e">
        <f t="shared" si="30"/>
        <v>#N/A</v>
      </c>
      <c r="J191" t="e">
        <f t="shared" si="31"/>
        <v>#N/A</v>
      </c>
      <c r="K191">
        <f t="shared" si="32"/>
        <v>2021</v>
      </c>
      <c r="L191">
        <f t="shared" si="33"/>
        <v>3.4830000000000001</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Delver</v>
      </c>
      <c r="B192">
        <f>IF($A192="","",games!$B192)</f>
        <v>2012</v>
      </c>
      <c r="C192" t="str">
        <f>IF($A192="","",games!$C192)</f>
        <v>Action</v>
      </c>
      <c r="D192">
        <f>IF($A192="","",COUNTIF(connections!$A$2:$A$1400,$A192)+COUNTIF(connections!$B$2:$B$1400,$A192))</f>
        <v>0</v>
      </c>
      <c r="E192">
        <f t="shared" si="26"/>
        <v>1</v>
      </c>
      <c r="F192">
        <f t="shared" si="27"/>
        <v>22</v>
      </c>
      <c r="G192">
        <f t="shared" si="28"/>
        <v>2012</v>
      </c>
      <c r="H192">
        <f t="shared" si="29"/>
        <v>1.506</v>
      </c>
      <c r="I192" t="e">
        <f t="shared" si="30"/>
        <v>#N/A</v>
      </c>
      <c r="J192" t="e">
        <f t="shared" si="31"/>
        <v>#N/A</v>
      </c>
      <c r="K192" t="e">
        <f t="shared" si="32"/>
        <v>#N/A</v>
      </c>
      <c r="L192" t="e">
        <f t="shared" si="33"/>
        <v>#N/A</v>
      </c>
      <c r="M192" t="e">
        <f t="shared" si="34"/>
        <v>#N/A</v>
      </c>
      <c r="N192" t="e">
        <f t="shared" si="35"/>
        <v>#N/A</v>
      </c>
      <c r="O192">
        <f t="shared" si="36"/>
        <v>1.92E-4</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 Lord: Just a Block</v>
      </c>
      <c r="B193">
        <f>IF($A193="","",games!$B193)</f>
        <v>2026</v>
      </c>
      <c r="C193" t="str">
        <f>IF($A193="","",games!$C193)</f>
        <v>Traditional</v>
      </c>
      <c r="D193">
        <f>IF($A193="","",COUNTIF(connections!$A$2:$A$1400,$A193)+COUNTIF(connections!$B$2:$B$1400,$A193))</f>
        <v>2</v>
      </c>
      <c r="E193">
        <f t="shared" si="26"/>
        <v>4</v>
      </c>
      <c r="F193">
        <f t="shared" si="27"/>
        <v>23</v>
      </c>
      <c r="G193" t="e">
        <f t="shared" si="28"/>
        <v>#N/A</v>
      </c>
      <c r="H193" t="e">
        <f t="shared" si="29"/>
        <v>#N/A</v>
      </c>
      <c r="I193" t="e">
        <f t="shared" si="30"/>
        <v>#N/A</v>
      </c>
      <c r="J193" t="e">
        <f t="shared" si="31"/>
        <v>#N/A</v>
      </c>
      <c r="K193" t="e">
        <f t="shared" si="32"/>
        <v>#N/A</v>
      </c>
      <c r="L193" t="e">
        <f t="shared" si="33"/>
        <v>#N/A</v>
      </c>
      <c r="M193">
        <f t="shared" si="34"/>
        <v>2026</v>
      </c>
      <c r="N193">
        <f t="shared" si="35"/>
        <v>4.5289999999999999</v>
      </c>
      <c r="O193">
        <f t="shared" si="36"/>
        <v>2.0001929999999999</v>
      </c>
      <c r="P193" t="str">
        <f>IF(OR($A193="",games!$H193=""),"",games!$H193)</f>
        <v>Yes</v>
      </c>
      <c r="Q193">
        <f t="shared" si="37"/>
        <v>2.0001929999999999</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DemonCrawl</v>
      </c>
      <c r="B194">
        <f>IF($A194="","",games!$B194)</f>
        <v>2019</v>
      </c>
      <c r="C194" t="str">
        <f>IF($A194="","",games!$C194)</f>
        <v>Strategy</v>
      </c>
      <c r="D194">
        <f>IF($A194="","",COUNTIF(connections!$A$2:$A$1400,$A194)+COUNTIF(connections!$B$2:$B$1400,$A194))</f>
        <v>1</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2019</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Demonic Mahjong</v>
      </c>
      <c r="B195">
        <f>IF($A195="","",games!$B195)</f>
        <v>2025</v>
      </c>
      <c r="C195" t="str">
        <f>IF($A195="","",games!$C195)</f>
        <v>Deckbuilder</v>
      </c>
      <c r="D195">
        <f>IF($A195="","",COUNTIF(connections!$A$2:$A$1400,$A195)+COUNTIF(connections!$B$2:$B$1400,$A195))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Demonlore</v>
      </c>
      <c r="B196">
        <f>IF($A196="","",games!$B196)</f>
        <v>2022</v>
      </c>
      <c r="C196" t="str">
        <f>IF($A196="","",games!$C196)</f>
        <v>Strategy</v>
      </c>
      <c r="D196">
        <f>IF($A196="","",COUNTIF(connections!$A$2:$A$1400,$A196)+COUNTIF(connections!$B$2:$B$1400,$A196))</f>
        <v>0</v>
      </c>
      <c r="E196">
        <f t="shared" si="39"/>
        <v>2</v>
      </c>
      <c r="F196">
        <f t="shared" si="40"/>
        <v>26</v>
      </c>
      <c r="G196" t="e">
        <f t="shared" si="41"/>
        <v>#N/A</v>
      </c>
      <c r="H196" t="e">
        <f t="shared" si="42"/>
        <v>#N/A</v>
      </c>
      <c r="I196">
        <f t="shared" si="43"/>
        <v>2022</v>
      </c>
      <c r="J196">
        <f t="shared" si="44"/>
        <v>2.5979999999999999</v>
      </c>
      <c r="K196" t="e">
        <f t="shared" si="45"/>
        <v>#N/A</v>
      </c>
      <c r="L196" t="e">
        <f t="shared" si="46"/>
        <v>#N/A</v>
      </c>
      <c r="M196" t="e">
        <f t="shared" si="47"/>
        <v>#N/A</v>
      </c>
      <c r="N196" t="e">
        <f t="shared" si="48"/>
        <v>#N/A</v>
      </c>
      <c r="O196">
        <f t="shared" si="49"/>
        <v>1.9599999999999999E-4</v>
      </c>
      <c r="P196" t="str">
        <f>IF(OR($A196="",games!$H196=""),"",games!$H196)</f>
        <v>Yes</v>
      </c>
      <c r="Q196">
        <f t="shared" si="50"/>
        <v>1.9599999999999999E-4</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Desktop Dungeons</v>
      </c>
      <c r="B197">
        <f>IF($A197="","",games!$B197)</f>
        <v>2010</v>
      </c>
      <c r="C197" t="str">
        <f>IF($A197="","",games!$C197)</f>
        <v>Traditional</v>
      </c>
      <c r="D197">
        <f>IF($A197="","",COUNTIF(connections!$A$2:$A$1400,$A197)+COUNTIF(connections!$B$2:$B$1400,$A197))</f>
        <v>3</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2010</v>
      </c>
      <c r="N197">
        <f t="shared" si="48"/>
        <v>4.6210000000000004</v>
      </c>
      <c r="O197">
        <f t="shared" si="49"/>
        <v>3.000197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Desktop Survivors 98</v>
      </c>
      <c r="B198">
        <f>IF($A198="","",games!$B198)</f>
        <v>2025</v>
      </c>
      <c r="C198" t="str">
        <f>IF($A198="","",games!$C198)</f>
        <v>Action</v>
      </c>
      <c r="D198">
        <f>IF($A198="","",COUNTIF(connections!$A$2:$A$1400,$A198)+COUNTIF(connections!$B$2:$B$1400,$A198))</f>
        <v>1</v>
      </c>
      <c r="E198">
        <f t="shared" si="39"/>
        <v>1</v>
      </c>
      <c r="F198">
        <f t="shared" si="40"/>
        <v>28</v>
      </c>
      <c r="G198">
        <f t="shared" si="41"/>
        <v>2025</v>
      </c>
      <c r="H198">
        <f t="shared" si="42"/>
        <v>1.6440000000000001</v>
      </c>
      <c r="I198" t="e">
        <f t="shared" si="43"/>
        <v>#N/A</v>
      </c>
      <c r="J198" t="e">
        <f t="shared" si="44"/>
        <v>#N/A</v>
      </c>
      <c r="K198" t="e">
        <f t="shared" si="45"/>
        <v>#N/A</v>
      </c>
      <c r="L198" t="e">
        <f t="shared" si="46"/>
        <v>#N/A</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Despot's Game: Dystopian Battle Simulator</v>
      </c>
      <c r="B199">
        <f>IF($A199="","",games!$B199)</f>
        <v>2021</v>
      </c>
      <c r="C199" t="str">
        <f>IF($A199="","",games!$C199)</f>
        <v>Action</v>
      </c>
      <c r="D199">
        <f>IF($A199="","",COUNTIF(connections!$A$2:$A$1400,$A199)+COUNTIF(connections!$B$2:$B$1400,$A199))</f>
        <v>2</v>
      </c>
      <c r="E199">
        <f t="shared" si="39"/>
        <v>1</v>
      </c>
      <c r="F199">
        <f t="shared" si="40"/>
        <v>29</v>
      </c>
      <c r="G199">
        <f t="shared" si="41"/>
        <v>2021</v>
      </c>
      <c r="H199">
        <f t="shared" si="42"/>
        <v>1.667</v>
      </c>
      <c r="I199" t="e">
        <f t="shared" si="43"/>
        <v>#N/A</v>
      </c>
      <c r="J199" t="e">
        <f t="shared" si="44"/>
        <v>#N/A</v>
      </c>
      <c r="K199" t="e">
        <f t="shared" si="45"/>
        <v>#N/A</v>
      </c>
      <c r="L199" t="e">
        <f t="shared" si="46"/>
        <v>#N/A</v>
      </c>
      <c r="M199" t="e">
        <f t="shared" si="47"/>
        <v>#N/A</v>
      </c>
      <c r="N199" t="e">
        <f t="shared" si="48"/>
        <v>#N/A</v>
      </c>
      <c r="O199">
        <f t="shared" si="49"/>
        <v>2.0001989999999998</v>
      </c>
      <c r="P199" t="str">
        <f>IF(OR($A199="",games!$H199=""),"",games!$H199)</f>
        <v>Yes</v>
      </c>
      <c r="Q199">
        <f t="shared" si="50"/>
        <v>2.0001989999999998</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Devil Slayer: Raksasi</v>
      </c>
      <c r="B200">
        <f>IF($A200="","",games!$B200)</f>
        <v>2019</v>
      </c>
      <c r="C200" t="str">
        <f>IF($A200="","",games!$C200)</f>
        <v>Action</v>
      </c>
      <c r="D200">
        <f>IF($A200="","",COUNTIF(connections!$A$2:$A$1400,$A200)+COUNTIF(connections!$B$2:$B$1400,$A200))</f>
        <v>2</v>
      </c>
      <c r="E200">
        <f t="shared" si="39"/>
        <v>1</v>
      </c>
      <c r="F200">
        <f t="shared" si="40"/>
        <v>30</v>
      </c>
      <c r="G200">
        <f t="shared" si="41"/>
        <v>2019</v>
      </c>
      <c r="H200">
        <f t="shared" si="42"/>
        <v>1.69</v>
      </c>
      <c r="I200" t="e">
        <f t="shared" si="43"/>
        <v>#N/A</v>
      </c>
      <c r="J200" t="e">
        <f t="shared" si="44"/>
        <v>#N/A</v>
      </c>
      <c r="K200" t="e">
        <f t="shared" si="45"/>
        <v>#N/A</v>
      </c>
      <c r="L200" t="e">
        <f t="shared" si="46"/>
        <v>#N/A</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Diablo</v>
      </c>
      <c r="B201">
        <f>IF($A201="","",games!$B201)</f>
        <v>1996</v>
      </c>
      <c r="C201" t="str">
        <f>IF($A201="","",games!$C201)</f>
        <v>Action</v>
      </c>
      <c r="D201">
        <f>IF($A201="","",COUNTIF(connections!$A$2:$A$1400,$A201)+COUNTIF(connections!$B$2:$B$1400,$A201))</f>
        <v>18</v>
      </c>
      <c r="E201">
        <f t="shared" si="39"/>
        <v>1</v>
      </c>
      <c r="F201">
        <f t="shared" si="40"/>
        <v>31</v>
      </c>
      <c r="G201">
        <f t="shared" si="41"/>
        <v>1996</v>
      </c>
      <c r="H201">
        <f t="shared" si="42"/>
        <v>1.7130000000000001</v>
      </c>
      <c r="I201" t="e">
        <f t="shared" si="43"/>
        <v>#N/A</v>
      </c>
      <c r="J201" t="e">
        <f t="shared" si="44"/>
        <v>#N/A</v>
      </c>
      <c r="K201" t="e">
        <f t="shared" si="45"/>
        <v>#N/A</v>
      </c>
      <c r="L201" t="e">
        <f t="shared" si="46"/>
        <v>#N/A</v>
      </c>
      <c r="M201" t="e">
        <f t="shared" si="47"/>
        <v>#N/A</v>
      </c>
      <c r="N201" t="e">
        <f t="shared" si="48"/>
        <v>#N/A</v>
      </c>
      <c r="O201">
        <f t="shared" si="49"/>
        <v>18.000201000000001</v>
      </c>
      <c r="P201" t="str">
        <f>IF(OR($A201="",games!$H201=""),"",games!$H201)</f>
        <v>Yes</v>
      </c>
      <c r="Q201">
        <f t="shared" si="50"/>
        <v>18.000201000000001</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&amp; Fold</v>
      </c>
      <c r="B202">
        <f>IF($A202="","",games!$B202)</f>
        <v>2024</v>
      </c>
      <c r="C202" t="str">
        <f>IF($A202="","",games!$C202)</f>
        <v>Deckbuilder</v>
      </c>
      <c r="D202">
        <f>IF($A202="","",COUNTIF(connections!$A$2:$A$1400,$A202)+COUNTIF(connections!$B$2:$B$1400,$A202))</f>
        <v>3</v>
      </c>
      <c r="E202">
        <f t="shared" si="39"/>
        <v>3</v>
      </c>
      <c r="F202">
        <f t="shared" si="40"/>
        <v>32</v>
      </c>
      <c r="G202" t="e">
        <f t="shared" si="41"/>
        <v>#N/A</v>
      </c>
      <c r="H202" t="e">
        <f t="shared" si="42"/>
        <v>#N/A</v>
      </c>
      <c r="I202" t="e">
        <f t="shared" si="43"/>
        <v>#N/A</v>
      </c>
      <c r="J202" t="e">
        <f t="shared" si="44"/>
        <v>#N/A</v>
      </c>
      <c r="K202">
        <f t="shared" si="45"/>
        <v>2024</v>
      </c>
      <c r="L202">
        <f t="shared" si="46"/>
        <v>3.7359999999999998</v>
      </c>
      <c r="M202" t="e">
        <f t="shared" si="47"/>
        <v>#N/A</v>
      </c>
      <c r="N202" t="e">
        <f t="shared" si="48"/>
        <v>#N/A</v>
      </c>
      <c r="O202">
        <f t="shared" si="49"/>
        <v>3.0002019999999998</v>
      </c>
      <c r="P202" t="str">
        <f>IF(OR($A202="",games!$H202=""),"",games!$H202)</f>
        <v>Yes</v>
      </c>
      <c r="Q202">
        <f t="shared" si="50"/>
        <v>3.0002019999999998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A Million</v>
      </c>
      <c r="B203">
        <f>IF($A203="","",games!$B203)</f>
        <v>2026</v>
      </c>
      <c r="C203" t="str">
        <f>IF($A203="","",games!$C203)</f>
        <v>Deckbuilder</v>
      </c>
      <c r="D203">
        <f>IF($A203="","",COUNTIF(connections!$A$2:$A$1400,$A203)+COUNTIF(connections!$B$2:$B$1400,$A203))</f>
        <v>2</v>
      </c>
      <c r="E203">
        <f t="shared" si="39"/>
        <v>3</v>
      </c>
      <c r="F203">
        <f t="shared" si="40"/>
        <v>33</v>
      </c>
      <c r="G203" t="e">
        <f t="shared" si="41"/>
        <v>#N/A</v>
      </c>
      <c r="H203" t="e">
        <f t="shared" si="42"/>
        <v>#N/A</v>
      </c>
      <c r="I203" t="e">
        <f t="shared" si="43"/>
        <v>#N/A</v>
      </c>
      <c r="J203" t="e">
        <f t="shared" si="44"/>
        <v>#N/A</v>
      </c>
      <c r="K203">
        <f t="shared" si="45"/>
        <v>2026</v>
      </c>
      <c r="L203">
        <f t="shared" si="46"/>
        <v>3.7589999999999999</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 Legends</v>
      </c>
      <c r="B204">
        <f>IF($A204="","",games!$B204)</f>
        <v>2025</v>
      </c>
      <c r="C204" t="str">
        <f>IF($A204="","",games!$C204)</f>
        <v>Deckbuilder</v>
      </c>
      <c r="D204">
        <f>IF($A204="","",COUNTIF(connections!$A$2:$A$1400,$A204)+COUNTIF(connections!$B$2:$B$1400,$A204))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 With Death</v>
      </c>
      <c r="B205">
        <f>IF($A205="","",games!$B205)</f>
        <v>2025</v>
      </c>
      <c r="C205" t="str">
        <f>IF($A205="","",games!$C205)</f>
        <v>Strategy</v>
      </c>
      <c r="D205">
        <f>IF($A205="","",COUNTIF(connections!$A$2:$A$1400,$A205)+COUNTIF(connections!$B$2:$B$1400,$A205))</f>
        <v>0</v>
      </c>
      <c r="E205">
        <f t="shared" si="39"/>
        <v>2</v>
      </c>
      <c r="F205">
        <f t="shared" si="40"/>
        <v>1</v>
      </c>
      <c r="G205" t="e">
        <f t="shared" si="41"/>
        <v>#N/A</v>
      </c>
      <c r="H205" t="e">
        <f t="shared" si="42"/>
        <v>#N/A</v>
      </c>
      <c r="I205">
        <f t="shared" si="43"/>
        <v>2025</v>
      </c>
      <c r="J205">
        <f t="shared" si="44"/>
        <v>2.0230000000000001</v>
      </c>
      <c r="K205" t="e">
        <f t="shared" si="45"/>
        <v>#N/A</v>
      </c>
      <c r="L205" t="e">
        <f t="shared" si="46"/>
        <v>#N/A</v>
      </c>
      <c r="M205" t="e">
        <f t="shared" si="47"/>
        <v>#N/A</v>
      </c>
      <c r="N205" t="e">
        <f t="shared" si="48"/>
        <v>#N/A</v>
      </c>
      <c r="O205">
        <f t="shared" si="49"/>
        <v>2.05E-4</v>
      </c>
      <c r="P205" t="str">
        <f>IF(OR($A205="",games!$H205=""),"",games!$H205)</f>
        <v>Yes</v>
      </c>
      <c r="Q205">
        <f t="shared" si="50"/>
        <v>2.05E-4</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Dicealot</v>
      </c>
      <c r="B206">
        <f>IF($A206="","",games!$B206)</f>
        <v>2025</v>
      </c>
      <c r="C206" t="str">
        <f>IF($A206="","",games!$C206)</f>
        <v>Deckbuilder</v>
      </c>
      <c r="D206">
        <f>IF($A206="","",COUNTIF(connections!$A$2:$A$1400,$A206)+COUNTIF(connections!$B$2:$B$1400,$A206))</f>
        <v>5</v>
      </c>
      <c r="E206">
        <f t="shared" si="39"/>
        <v>3</v>
      </c>
      <c r="F206">
        <f t="shared" si="40"/>
        <v>2</v>
      </c>
      <c r="G206" t="e">
        <f t="shared" si="41"/>
        <v>#N/A</v>
      </c>
      <c r="H206" t="e">
        <f t="shared" si="42"/>
        <v>#N/A</v>
      </c>
      <c r="I206" t="e">
        <f t="shared" si="43"/>
        <v>#N/A</v>
      </c>
      <c r="J206" t="e">
        <f t="shared" si="44"/>
        <v>#N/A</v>
      </c>
      <c r="K206">
        <f t="shared" si="45"/>
        <v>2025</v>
      </c>
      <c r="L206">
        <f t="shared" si="46"/>
        <v>3.0459999999999998</v>
      </c>
      <c r="M206" t="e">
        <f t="shared" si="47"/>
        <v>#N/A</v>
      </c>
      <c r="N206" t="e">
        <f t="shared" si="48"/>
        <v>#N/A</v>
      </c>
      <c r="O206">
        <f t="shared" si="49"/>
        <v>5.0002060000000004</v>
      </c>
      <c r="P206" t="str">
        <f>IF(OR($A206="",games!$H206=""),"",games!$H206)</f>
        <v/>
      </c>
      <c r="Q206" t="str">
        <f t="shared" si="50"/>
        <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Dicefolk</v>
      </c>
      <c r="B207">
        <f>IF($A207="","",games!$B207)</f>
        <v>2024</v>
      </c>
      <c r="C207" t="str">
        <f>IF($A207="","",games!$C207)</f>
        <v>Deckbuilder</v>
      </c>
      <c r="D207">
        <f>IF($A207="","",COUNTIF(connections!$A$2:$A$1400,$A207)+COUNTIF(connections!$B$2:$B$1400,$A207))</f>
        <v>6</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6.0002069999999996</v>
      </c>
      <c r="P207" t="str">
        <f>IF(OR($A207="",games!$H207=""),"",games!$H207)</f>
        <v>Yes</v>
      </c>
      <c r="Q207">
        <f t="shared" si="50"/>
        <v>6.0002069999999996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Diceomancer</v>
      </c>
      <c r="B208">
        <f>IF($A208="","",games!$B208)</f>
        <v>2024</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2024</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Dicey Dungeons</v>
      </c>
      <c r="B209">
        <f>IF($A209="","",games!$B209)</f>
        <v>2019</v>
      </c>
      <c r="C209" t="str">
        <f>IF($A209="","",games!$C209)</f>
        <v>Deckbuilder</v>
      </c>
      <c r="D209">
        <f>IF($A209="","",COUNTIF(connections!$A$2:$A$1400,$A209)+COUNTIF(connections!$B$2:$B$1400,$A209))</f>
        <v>9</v>
      </c>
      <c r="E209">
        <f t="shared" si="39"/>
        <v>3</v>
      </c>
      <c r="F209">
        <f t="shared" si="40"/>
        <v>5</v>
      </c>
      <c r="G209" t="e">
        <f t="shared" si="41"/>
        <v>#N/A</v>
      </c>
      <c r="H209" t="e">
        <f t="shared" si="42"/>
        <v>#N/A</v>
      </c>
      <c r="I209" t="e">
        <f t="shared" si="43"/>
        <v>#N/A</v>
      </c>
      <c r="J209" t="e">
        <f t="shared" si="44"/>
        <v>#N/A</v>
      </c>
      <c r="K209">
        <f t="shared" si="45"/>
        <v>2019</v>
      </c>
      <c r="L209">
        <f t="shared" si="46"/>
        <v>3.1150000000000002</v>
      </c>
      <c r="M209" t="e">
        <f t="shared" si="47"/>
        <v>#N/A</v>
      </c>
      <c r="N209" t="e">
        <f t="shared" si="48"/>
        <v>#N/A</v>
      </c>
      <c r="O209">
        <f t="shared" si="49"/>
        <v>9.0002089999999999</v>
      </c>
      <c r="P209" t="str">
        <f>IF(OR($A209="",games!$H209=""),"",games!$H209)</f>
        <v>Yes</v>
      </c>
      <c r="Q209">
        <f t="shared" si="50"/>
        <v>9.0002089999999999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Die For The Lich</v>
      </c>
      <c r="B210">
        <f>IF($A210="","",games!$B210)</f>
        <v>2025</v>
      </c>
      <c r="C210" t="str">
        <f>IF($A210="","",games!$C210)</f>
        <v>Deckbuilder</v>
      </c>
      <c r="D210">
        <f>IF($A210="","",COUNTIF(connections!$A$2:$A$1400,$A210)+COUNTIF(connections!$B$2:$B$1400,$A210))</f>
        <v>3</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3.00021</v>
      </c>
      <c r="P210" t="str">
        <f>IF(OR($A210="",games!$H210=""),"",games!$H210)</f>
        <v/>
      </c>
      <c r="Q210" t="str">
        <f t="shared" si="50"/>
        <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Die in the Dungeon</v>
      </c>
      <c r="B211">
        <f>IF($A211="","",games!$B211)</f>
        <v>2025</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DIG: Deep In Galaxies</v>
      </c>
      <c r="B212">
        <f>IF($A212="","",games!$B212)</f>
        <v>2021</v>
      </c>
      <c r="C212" t="str">
        <f>IF($A212="","",games!$C212)</f>
        <v>Action</v>
      </c>
      <c r="D212">
        <f>IF($A212="","",COUNTIF(connections!$A$2:$A$1400,$A212)+COUNTIF(connections!$B$2:$B$1400,$A212))</f>
        <v>0</v>
      </c>
      <c r="E212">
        <f t="shared" si="39"/>
        <v>1</v>
      </c>
      <c r="F212">
        <f t="shared" si="40"/>
        <v>8</v>
      </c>
      <c r="G212">
        <f t="shared" si="41"/>
        <v>2021</v>
      </c>
      <c r="H212">
        <f t="shared" si="42"/>
        <v>1.1839999999999999</v>
      </c>
      <c r="I212" t="e">
        <f t="shared" si="43"/>
        <v>#N/A</v>
      </c>
      <c r="J212" t="e">
        <f t="shared" si="44"/>
        <v>#N/A</v>
      </c>
      <c r="K212" t="e">
        <f t="shared" si="45"/>
        <v>#N/A</v>
      </c>
      <c r="L212" t="e">
        <f t="shared" si="46"/>
        <v>#N/A</v>
      </c>
      <c r="M212" t="e">
        <f t="shared" si="47"/>
        <v>#N/A</v>
      </c>
      <c r="N212" t="e">
        <f t="shared" si="48"/>
        <v>#N/A</v>
      </c>
      <c r="O212">
        <f t="shared" si="49"/>
        <v>2.12E-4</v>
      </c>
      <c r="P212" t="str">
        <f>IF(OR($A212="",games!$H212=""),"",games!$H212)</f>
        <v>Yes</v>
      </c>
      <c r="Q212">
        <f t="shared" si="50"/>
        <v>2.12E-4</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Dimensionals</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Disfigure</v>
      </c>
      <c r="B214">
        <f>IF($A214="","",games!$B214)</f>
        <v>2023</v>
      </c>
      <c r="C214" t="str">
        <f>IF($A214="","",games!$C214)</f>
        <v>Action</v>
      </c>
      <c r="D214">
        <f>IF($A214="","",COUNTIF(connections!$A$2:$A$1400,$A214)+COUNTIF(connections!$B$2:$B$1400,$A214))</f>
        <v>2</v>
      </c>
      <c r="E214">
        <f t="shared" si="39"/>
        <v>1</v>
      </c>
      <c r="F214">
        <f t="shared" si="40"/>
        <v>10</v>
      </c>
      <c r="G214">
        <f t="shared" si="41"/>
        <v>2023</v>
      </c>
      <c r="H214">
        <f t="shared" si="42"/>
        <v>1.23</v>
      </c>
      <c r="I214" t="e">
        <f t="shared" si="43"/>
        <v>#N/A</v>
      </c>
      <c r="J214" t="e">
        <f t="shared" si="44"/>
        <v>#N/A</v>
      </c>
      <c r="K214" t="e">
        <f t="shared" si="45"/>
        <v>#N/A</v>
      </c>
      <c r="L214" t="e">
        <f t="shared" si="46"/>
        <v>#N/A</v>
      </c>
      <c r="M214" t="e">
        <f t="shared" si="47"/>
        <v>#N/A</v>
      </c>
      <c r="N214" t="e">
        <f t="shared" si="48"/>
        <v>#N/A</v>
      </c>
      <c r="O214">
        <f t="shared" si="49"/>
        <v>2.0002140000000002</v>
      </c>
      <c r="P214" t="str">
        <f>IF(OR($A214="",games!$H214=""),"",games!$H214)</f>
        <v>Yes</v>
      </c>
      <c r="Q214">
        <f t="shared" si="50"/>
        <v>2.0002140000000002</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Dive or Die: Children of Rain</v>
      </c>
      <c r="B215">
        <f>IF($A215="","",games!$B215)</f>
        <v>2026</v>
      </c>
      <c r="C215" t="str">
        <f>IF($A215="","",games!$C215)</f>
        <v>Action</v>
      </c>
      <c r="D215">
        <f>IF($A215="","",COUNTIF(connections!$A$2:$A$1400,$A215)+COUNTIF(connections!$B$2:$B$1400,$A215))</f>
        <v>1</v>
      </c>
      <c r="E215">
        <f t="shared" si="39"/>
        <v>1</v>
      </c>
      <c r="F215">
        <f t="shared" si="40"/>
        <v>11</v>
      </c>
      <c r="G215">
        <f t="shared" si="41"/>
        <v>2026</v>
      </c>
      <c r="H215">
        <f t="shared" si="42"/>
        <v>1.2530000000000001</v>
      </c>
      <c r="I215" t="e">
        <f t="shared" si="43"/>
        <v>#N/A</v>
      </c>
      <c r="J215" t="e">
        <f t="shared" si="44"/>
        <v>#N/A</v>
      </c>
      <c r="K215" t="e">
        <f t="shared" si="45"/>
        <v>#N/A</v>
      </c>
      <c r="L215" t="e">
        <f t="shared" si="46"/>
        <v>#N/A</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 and Goblin</v>
      </c>
      <c r="B216">
        <f>IF($A216="","",games!$B216)</f>
        <v>2024</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Dog Witch</v>
      </c>
      <c r="B217">
        <f>IF($A217="","",games!$B217)</f>
        <v>2025</v>
      </c>
      <c r="C217" t="str">
        <f>IF($A217="","",games!$C217)</f>
        <v>Deckbuilder</v>
      </c>
      <c r="D217">
        <f>IF($A217="","",COUNTIF(connections!$A$2:$A$1400,$A217)+COUNTIF(connections!$B$2:$B$1400,$A217))</f>
        <v>2</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2.0002170000000001</v>
      </c>
      <c r="P217" t="str">
        <f>IF(OR($A217="",games!$H217=""),"",games!$H217)</f>
        <v/>
      </c>
      <c r="Q217" t="str">
        <f t="shared" si="50"/>
        <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Dogpile</v>
      </c>
      <c r="B218">
        <f>IF($A218="","",games!$B218)</f>
        <v>2025</v>
      </c>
      <c r="C218" t="str">
        <f>IF($A218="","",games!$C218)</f>
        <v>Deckbuilder</v>
      </c>
      <c r="D218">
        <f>IF($A218="","",COUNTIF(connections!$A$2:$A$1400,$A218)+COUNTIF(connections!$B$2:$B$1400,$A218))</f>
        <v>1</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1.0002180000000001</v>
      </c>
      <c r="P218" t="str">
        <f>IF(OR($A218="",games!$H218=""),"",games!$H218)</f>
        <v>Yes</v>
      </c>
      <c r="Q218">
        <f t="shared" si="50"/>
        <v>1.0002180000000001</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Dome Keeper</v>
      </c>
      <c r="B219">
        <f>IF($A219="","",games!$B219)</f>
        <v>2022</v>
      </c>
      <c r="C219" t="str">
        <f>IF($A219="","",games!$C219)</f>
        <v>Strategy</v>
      </c>
      <c r="D219">
        <f>IF($A219="","",COUNTIF(connections!$A$2:$A$1400,$A219)+COUNTIF(connections!$B$2:$B$1400,$A219))</f>
        <v>5</v>
      </c>
      <c r="E219">
        <f t="shared" si="39"/>
        <v>2</v>
      </c>
      <c r="F219">
        <f t="shared" si="40"/>
        <v>15</v>
      </c>
      <c r="G219" t="e">
        <f t="shared" si="41"/>
        <v>#N/A</v>
      </c>
      <c r="H219" t="e">
        <f t="shared" si="42"/>
        <v>#N/A</v>
      </c>
      <c r="I219">
        <f t="shared" si="43"/>
        <v>2022</v>
      </c>
      <c r="J219">
        <f t="shared" si="44"/>
        <v>2.3449999999999998</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Let It Starve</v>
      </c>
      <c r="B220">
        <f>IF($A220="","",games!$B220)</f>
        <v>2026</v>
      </c>
      <c r="C220" t="str">
        <f>IF($A220="","",games!$C220)</f>
        <v>Strategy</v>
      </c>
      <c r="D220">
        <f>IF($A220="","",COUNTIF(connections!$A$2:$A$1400,$A220)+COUNTIF(connections!$B$2:$B$1400,$A220))</f>
        <v>1</v>
      </c>
      <c r="E220">
        <f t="shared" si="39"/>
        <v>2</v>
      </c>
      <c r="F220">
        <f t="shared" si="40"/>
        <v>16</v>
      </c>
      <c r="G220" t="e">
        <f t="shared" si="41"/>
        <v>#N/A</v>
      </c>
      <c r="H220" t="e">
        <f t="shared" si="42"/>
        <v>#N/A</v>
      </c>
      <c r="I220">
        <f t="shared" si="43"/>
        <v>2026</v>
      </c>
      <c r="J220">
        <f t="shared" si="44"/>
        <v>2.3679999999999999</v>
      </c>
      <c r="K220" t="e">
        <f t="shared" si="45"/>
        <v>#N/A</v>
      </c>
      <c r="L220" t="e">
        <f t="shared" si="46"/>
        <v>#N/A</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Lose Aggro</v>
      </c>
      <c r="B221">
        <f>IF($A221="","",games!$B221)</f>
        <v>2026</v>
      </c>
      <c r="C221" t="str">
        <f>IF($A221="","",games!$C221)</f>
        <v>Action</v>
      </c>
      <c r="D221">
        <f>IF($A221="","",COUNTIF(connections!$A$2:$A$1400,$A221)+COUNTIF(connections!$B$2:$B$1400,$A221))</f>
        <v>0</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2.2100000000000001E-4</v>
      </c>
      <c r="P221" t="str">
        <f>IF(OR($A221="",games!$H221=""),"",games!$H221)</f>
        <v/>
      </c>
      <c r="Q221" t="str">
        <f t="shared" si="50"/>
        <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Don't Starve</v>
      </c>
      <c r="B222">
        <f>IF($A222="","",games!$B222)</f>
        <v>2013</v>
      </c>
      <c r="C222" t="str">
        <f>IF($A222="","",games!$C222)</f>
        <v>Action</v>
      </c>
      <c r="D222">
        <f>IF($A222="","",COUNTIF(connections!$A$2:$A$1400,$A222)+COUNTIF(connections!$B$2:$B$1400,$A222))</f>
        <v>5</v>
      </c>
      <c r="E222">
        <f t="shared" si="39"/>
        <v>1</v>
      </c>
      <c r="F222">
        <f t="shared" si="40"/>
        <v>18</v>
      </c>
      <c r="G222">
        <f t="shared" si="41"/>
        <v>2013</v>
      </c>
      <c r="H222">
        <f t="shared" si="42"/>
        <v>1.4139999999999999</v>
      </c>
      <c r="I222" t="e">
        <f t="shared" si="43"/>
        <v>#N/A</v>
      </c>
      <c r="J222" t="e">
        <f t="shared" si="44"/>
        <v>#N/A</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Don't Starve Together</v>
      </c>
      <c r="B223">
        <f>IF($A223="","",games!$B223)</f>
        <v>2014</v>
      </c>
      <c r="C223" t="str">
        <f>IF($A223="","",games!$C223)</f>
        <v>Action</v>
      </c>
      <c r="D223">
        <f>IF($A223="","",COUNTIF(connections!$A$2:$A$1400,$A223)+COUNTIF(connections!$B$2:$B$1400,$A223))</f>
        <v>1</v>
      </c>
      <c r="E223">
        <f t="shared" si="39"/>
        <v>1</v>
      </c>
      <c r="F223">
        <f t="shared" si="40"/>
        <v>19</v>
      </c>
      <c r="G223">
        <f t="shared" si="41"/>
        <v>2014</v>
      </c>
      <c r="H223">
        <f t="shared" si="42"/>
        <v>1.4370000000000001</v>
      </c>
      <c r="I223" t="e">
        <f t="shared" si="43"/>
        <v>#N/A</v>
      </c>
      <c r="J223" t="e">
        <f t="shared" si="44"/>
        <v>#N/A</v>
      </c>
      <c r="K223" t="e">
        <f t="shared" si="45"/>
        <v>#N/A</v>
      </c>
      <c r="L223" t="e">
        <f t="shared" si="46"/>
        <v>#N/A</v>
      </c>
      <c r="M223" t="e">
        <f t="shared" si="47"/>
        <v>#N/A</v>
      </c>
      <c r="N223" t="e">
        <f t="shared" si="48"/>
        <v>#N/A</v>
      </c>
      <c r="O223">
        <f t="shared" si="49"/>
        <v>1.0002230000000001</v>
      </c>
      <c r="P223" t="str">
        <f>IF(OR($A223="",games!$H223=""),"",games!$H223)</f>
        <v>Yes</v>
      </c>
      <c r="Q223">
        <f t="shared" si="50"/>
        <v>1.0002230000000001</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DoomRL</v>
      </c>
      <c r="B224">
        <f>IF($A224="","",games!$B224)</f>
        <v>2002</v>
      </c>
      <c r="C224" t="str">
        <f>IF($A224="","",games!$C224)</f>
        <v>Traditional</v>
      </c>
      <c r="D224">
        <f>IF($A224="","",COUNTIF(connections!$A$2:$A$1400,$A224)+COUNTIF(connections!$B$2:$B$1400,$A224))</f>
        <v>8</v>
      </c>
      <c r="E224">
        <f t="shared" si="39"/>
        <v>4</v>
      </c>
      <c r="F224">
        <f t="shared" si="40"/>
        <v>20</v>
      </c>
      <c r="G224" t="e">
        <f t="shared" si="41"/>
        <v>#N/A</v>
      </c>
      <c r="H224" t="e">
        <f t="shared" si="42"/>
        <v>#N/A</v>
      </c>
      <c r="I224" t="e">
        <f t="shared" si="43"/>
        <v>#N/A</v>
      </c>
      <c r="J224" t="e">
        <f t="shared" si="44"/>
        <v>#N/A</v>
      </c>
      <c r="K224" t="e">
        <f t="shared" si="45"/>
        <v>#N/A</v>
      </c>
      <c r="L224" t="e">
        <f t="shared" si="46"/>
        <v>#N/A</v>
      </c>
      <c r="M224">
        <f t="shared" si="47"/>
        <v>2002</v>
      </c>
      <c r="N224">
        <f t="shared" si="48"/>
        <v>4.46</v>
      </c>
      <c r="O224">
        <f t="shared" si="49"/>
        <v>8.0002239999999993</v>
      </c>
      <c r="P224" t="str">
        <f>IF(OR($A224="",games!$H224=""),"",games!$H224)</f>
        <v/>
      </c>
      <c r="Q224" t="str">
        <f t="shared" si="50"/>
        <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Dota Auto Chess</v>
      </c>
      <c r="B225">
        <f>IF($A225="","",games!$B225)</f>
        <v>2019</v>
      </c>
      <c r="C225" t="str">
        <f>IF($A225="","",games!$C225)</f>
        <v>Strategy</v>
      </c>
      <c r="D225">
        <f>IF($A225="","",COUNTIF(connections!$A$2:$A$1400,$A225)+COUNTIF(connections!$B$2:$B$1400,$A225))</f>
        <v>5</v>
      </c>
      <c r="E225">
        <f t="shared" si="39"/>
        <v>2</v>
      </c>
      <c r="F225">
        <f t="shared" si="40"/>
        <v>21</v>
      </c>
      <c r="G225" t="e">
        <f t="shared" si="41"/>
        <v>#N/A</v>
      </c>
      <c r="H225" t="e">
        <f t="shared" si="42"/>
        <v>#N/A</v>
      </c>
      <c r="I225">
        <f t="shared" si="43"/>
        <v>2019</v>
      </c>
      <c r="J225">
        <f t="shared" si="44"/>
        <v>2.4830000000000001</v>
      </c>
      <c r="K225" t="e">
        <f t="shared" si="45"/>
        <v>#N/A</v>
      </c>
      <c r="L225" t="e">
        <f t="shared" si="46"/>
        <v>#N/A</v>
      </c>
      <c r="M225" t="e">
        <f t="shared" si="47"/>
        <v>#N/A</v>
      </c>
      <c r="N225" t="e">
        <f t="shared" si="48"/>
        <v>#N/A</v>
      </c>
      <c r="O225">
        <f t="shared" si="49"/>
        <v>5.0002250000000004</v>
      </c>
      <c r="P225" t="str">
        <f>IF(OR($A225="",games!$H225=""),"",games!$H225)</f>
        <v/>
      </c>
      <c r="Q225" t="str">
        <f t="shared" si="50"/>
        <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Double Dragon Gaiden: Rise Of The Dragons</v>
      </c>
      <c r="B226">
        <f>IF($A226="","",games!$B226)</f>
        <v>2023</v>
      </c>
      <c r="C226" t="str">
        <f>IF($A226="","",games!$C226)</f>
        <v>Action</v>
      </c>
      <c r="D226">
        <f>IF($A226="","",COUNTIF(connections!$A$2:$A$1400,$A226)+COUNTIF(connections!$B$2:$B$1400,$A226))</f>
        <v>0</v>
      </c>
      <c r="E226">
        <f t="shared" si="39"/>
        <v>1</v>
      </c>
      <c r="F226">
        <f t="shared" si="40"/>
        <v>22</v>
      </c>
      <c r="G226">
        <f t="shared" si="41"/>
        <v>2023</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Downwell</v>
      </c>
      <c r="B227">
        <f>IF($A227="","",games!$B227)</f>
        <v>2015</v>
      </c>
      <c r="C227" t="str">
        <f>IF($A227="","",games!$C227)</f>
        <v>Action</v>
      </c>
      <c r="D227">
        <f>IF($A227="","",COUNTIF(connections!$A$2:$A$1400,$A227)+COUNTIF(connections!$B$2:$B$1400,$A227))</f>
        <v>9</v>
      </c>
      <c r="E227">
        <f t="shared" si="39"/>
        <v>1</v>
      </c>
      <c r="F227">
        <f t="shared" si="40"/>
        <v>23</v>
      </c>
      <c r="G227">
        <f t="shared" si="41"/>
        <v>2015</v>
      </c>
      <c r="H227">
        <f t="shared" si="42"/>
        <v>1.5289999999999999</v>
      </c>
      <c r="I227" t="e">
        <f t="shared" si="43"/>
        <v>#N/A</v>
      </c>
      <c r="J227" t="e">
        <f t="shared" si="44"/>
        <v>#N/A</v>
      </c>
      <c r="K227" t="e">
        <f t="shared" si="45"/>
        <v>#N/A</v>
      </c>
      <c r="L227" t="e">
        <f t="shared" si="46"/>
        <v>#N/A</v>
      </c>
      <c r="M227" t="e">
        <f t="shared" si="47"/>
        <v>#N/A</v>
      </c>
      <c r="N227" t="e">
        <f t="shared" si="48"/>
        <v>#N/A</v>
      </c>
      <c r="O227">
        <f t="shared" si="49"/>
        <v>9.0002270000000006</v>
      </c>
      <c r="P227" t="str">
        <f>IF(OR($A227="",games!$H227=""),"",games!$H227)</f>
        <v>Yes</v>
      </c>
      <c r="Q227">
        <f t="shared" si="50"/>
        <v>9.0002270000000006</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 Crystal</v>
      </c>
      <c r="B228">
        <f>IF($A228="","",games!$B228)</f>
        <v>1990</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1990</v>
      </c>
      <c r="N228">
        <f t="shared" si="48"/>
        <v>4.5519999999999996</v>
      </c>
      <c r="O228">
        <f t="shared" si="49"/>
        <v>1.0002279999999999</v>
      </c>
      <c r="P228" t="str">
        <f>IF(OR($A228="",games!$H228=""),"",games!$H228)</f>
        <v>Yes</v>
      </c>
      <c r="Q228">
        <f t="shared" si="50"/>
        <v>1.0002279999999999</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Dragon Quest Heroes: Torneko‘s Mystery Dungeon Classic HD</v>
      </c>
      <c r="B229">
        <f>IF($A229="","",games!$B229)</f>
        <v>2026</v>
      </c>
      <c r="C229" t="str">
        <f>IF($A229="","",games!$C229)</f>
        <v>Traditional</v>
      </c>
      <c r="D229">
        <f>IF($A229="","",COUNTIF(connections!$A$2:$A$1400,$A229)+COUNTIF(connections!$B$2:$B$1400,$A229))</f>
        <v>1</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2026</v>
      </c>
      <c r="N229">
        <f t="shared" si="48"/>
        <v>4.5750000000000002</v>
      </c>
      <c r="O229">
        <f t="shared" si="49"/>
        <v>1.000229</v>
      </c>
      <c r="P229" t="str">
        <f>IF(OR($A229="",games!$H229=""),"",games!$H229)</f>
        <v/>
      </c>
      <c r="Q229" t="str">
        <f t="shared" si="50"/>
        <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Dragon Quest: Young Yangus and the Mystery Dungeon</v>
      </c>
      <c r="B230">
        <f>IF($A230="","",games!$B230)</f>
        <v>2006</v>
      </c>
      <c r="C230" t="str">
        <f>IF($A230="","",games!$C230)</f>
        <v>Traditional</v>
      </c>
      <c r="D230">
        <f>IF($A230="","",COUNTIF(connections!$A$2:$A$1400,$A230)+COUNTIF(connections!$B$2:$B$1400,$A230))</f>
        <v>1</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2006</v>
      </c>
      <c r="N230">
        <f t="shared" si="48"/>
        <v>4.5979999999999999</v>
      </c>
      <c r="O230">
        <f t="shared" si="49"/>
        <v>1.00023</v>
      </c>
      <c r="P230" t="str">
        <f>IF(OR($A230="",games!$H230=""),"",games!$H230)</f>
        <v>Yes</v>
      </c>
      <c r="Q230">
        <f t="shared" si="50"/>
        <v>1.00023</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Dragonslayer</v>
      </c>
      <c r="B231">
        <f>IF($A231="","",games!$B231)</f>
        <v>2003</v>
      </c>
      <c r="C231" t="str">
        <f>IF($A231="","",games!$C231)</f>
        <v>Traditional</v>
      </c>
      <c r="D231">
        <f>IF($A231="","",COUNTIF(connections!$A$2:$A$1400,$A231)+COUNTIF(connections!$B$2:$B$1400,$A231))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2003</v>
      </c>
      <c r="N231">
        <f t="shared" si="48"/>
        <v>4.6210000000000004</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Drapline</v>
      </c>
      <c r="B232">
        <f>IF($A232="","",games!$B232)</f>
        <v>2025</v>
      </c>
      <c r="C232" t="str">
        <f>IF($A232="","",games!$C232)</f>
        <v>Strategy</v>
      </c>
      <c r="D232">
        <f>IF($A232="","",COUNTIF(connections!$A$2:$A$1400,$A232)+COUNTIF(connections!$B$2:$B$1400,$A232))</f>
        <v>0</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Dream Quest</v>
      </c>
      <c r="B233">
        <f>IF($A233="","",games!$B233)</f>
        <v>2014</v>
      </c>
      <c r="C233" t="str">
        <f>IF($A233="","",games!$C233)</f>
        <v>Deckbuilder</v>
      </c>
      <c r="D233">
        <f>IF($A233="","",COUNTIF(connections!$A$2:$A$1400,$A233)+COUNTIF(connections!$B$2:$B$1400,$A233))</f>
        <v>4</v>
      </c>
      <c r="E233">
        <f t="shared" si="39"/>
        <v>3</v>
      </c>
      <c r="F233">
        <f t="shared" si="40"/>
        <v>29</v>
      </c>
      <c r="G233" t="e">
        <f t="shared" si="41"/>
        <v>#N/A</v>
      </c>
      <c r="H233" t="e">
        <f t="shared" si="42"/>
        <v>#N/A</v>
      </c>
      <c r="I233" t="e">
        <f t="shared" si="43"/>
        <v>#N/A</v>
      </c>
      <c r="J233" t="e">
        <f t="shared" si="44"/>
        <v>#N/A</v>
      </c>
      <c r="K233">
        <f t="shared" si="45"/>
        <v>2014</v>
      </c>
      <c r="L233">
        <f t="shared" si="46"/>
        <v>3.6669999999999998</v>
      </c>
      <c r="M233" t="e">
        <f t="shared" si="47"/>
        <v>#N/A</v>
      </c>
      <c r="N233" t="e">
        <f t="shared" si="48"/>
        <v>#N/A</v>
      </c>
      <c r="O233">
        <f t="shared" si="49"/>
        <v>4.0002329999999997</v>
      </c>
      <c r="P233" t="str">
        <f>IF(OR($A233="",games!$H233=""),"",games!$H233)</f>
        <v/>
      </c>
      <c r="Q233" t="str">
        <f t="shared" si="50"/>
        <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Dreamscaper</v>
      </c>
      <c r="B234">
        <f>IF($A234="","",games!$B234)</f>
        <v>2020</v>
      </c>
      <c r="C234" t="str">
        <f>IF($A234="","",games!$C234)</f>
        <v>Action</v>
      </c>
      <c r="D234">
        <f>IF($A234="","",COUNTIF(connections!$A$2:$A$1400,$A234)+COUNTIF(connections!$B$2:$B$1400,$A234))</f>
        <v>3</v>
      </c>
      <c r="E234">
        <f t="shared" si="39"/>
        <v>1</v>
      </c>
      <c r="F234">
        <f t="shared" si="40"/>
        <v>30</v>
      </c>
      <c r="G234">
        <f t="shared" si="41"/>
        <v>2020</v>
      </c>
      <c r="H234">
        <f t="shared" si="42"/>
        <v>1.69</v>
      </c>
      <c r="I234" t="e">
        <f t="shared" si="43"/>
        <v>#N/A</v>
      </c>
      <c r="J234" t="e">
        <f t="shared" si="44"/>
        <v>#N/A</v>
      </c>
      <c r="K234" t="e">
        <f t="shared" si="45"/>
        <v>#N/A</v>
      </c>
      <c r="L234" t="e">
        <f t="shared" si="46"/>
        <v>#N/A</v>
      </c>
      <c r="M234" t="e">
        <f t="shared" si="47"/>
        <v>#N/A</v>
      </c>
      <c r="N234" t="e">
        <f t="shared" si="48"/>
        <v>#N/A</v>
      </c>
      <c r="O234">
        <f t="shared" si="49"/>
        <v>3.0002339999999998</v>
      </c>
      <c r="P234" t="str">
        <f>IF(OR($A234="",games!$H234=""),"",games!$H234)</f>
        <v>Yes</v>
      </c>
      <c r="Q234">
        <f t="shared" si="50"/>
        <v>3.0002339999999998</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Drill Core</v>
      </c>
      <c r="B235">
        <f>IF($A235="","",games!$B235)</f>
        <v>2024</v>
      </c>
      <c r="C235" t="str">
        <f>IF($A235="","",games!$C235)</f>
        <v>Strategy</v>
      </c>
      <c r="D235">
        <f>IF($A235="","",COUNTIF(connections!$A$2:$A$1400,$A235)+COUNTIF(connections!$B$2:$B$1400,$A235))</f>
        <v>1</v>
      </c>
      <c r="E235">
        <f t="shared" si="39"/>
        <v>2</v>
      </c>
      <c r="F235">
        <f t="shared" si="40"/>
        <v>31</v>
      </c>
      <c r="G235" t="e">
        <f t="shared" si="41"/>
        <v>#N/A</v>
      </c>
      <c r="H235" t="e">
        <f t="shared" si="42"/>
        <v>#N/A</v>
      </c>
      <c r="I235">
        <f t="shared" si="43"/>
        <v>2024</v>
      </c>
      <c r="J235">
        <f t="shared" si="44"/>
        <v>2.7130000000000001</v>
      </c>
      <c r="K235" t="e">
        <f t="shared" si="45"/>
        <v>#N/A</v>
      </c>
      <c r="L235" t="e">
        <f t="shared" si="46"/>
        <v>#N/A</v>
      </c>
      <c r="M235" t="e">
        <f t="shared" si="47"/>
        <v>#N/A</v>
      </c>
      <c r="N235" t="e">
        <f t="shared" si="48"/>
        <v>#N/A</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Drop Duchy</v>
      </c>
      <c r="B236">
        <f>IF($A236="","",games!$B236)</f>
        <v>2025</v>
      </c>
      <c r="C236" t="str">
        <f>IF($A236="","",games!$C236)</f>
        <v>Strategy</v>
      </c>
      <c r="D236">
        <f>IF($A236="","",COUNTIF(connections!$A$2:$A$1400,$A236)+COUNTIF(connections!$B$2:$B$1400,$A236))</f>
        <v>1</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1.0002359999999999</v>
      </c>
      <c r="P236" t="str">
        <f>IF(OR($A236="",games!$H236=""),"",games!$H236)</f>
        <v>Yes</v>
      </c>
      <c r="Q236">
        <f t="shared" si="50"/>
        <v>1.0002359999999999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Drop Pockets</v>
      </c>
      <c r="B237">
        <f>IF($A237="","",games!$B237)</f>
        <v>2025</v>
      </c>
      <c r="C237" t="str">
        <f>IF($A237="","",games!$C237)</f>
        <v>Strategy</v>
      </c>
      <c r="D237">
        <f>IF($A237="","",COUNTIF(connections!$A$2:$A$1400,$A237)+COUNTIF(connections!$B$2:$B$1400,$A237))</f>
        <v>1</v>
      </c>
      <c r="E237">
        <f t="shared" si="39"/>
        <v>2</v>
      </c>
      <c r="F237">
        <f t="shared" si="40"/>
        <v>33</v>
      </c>
      <c r="G237" t="e">
        <f t="shared" si="41"/>
        <v>#N/A</v>
      </c>
      <c r="H237" t="e">
        <f t="shared" si="42"/>
        <v>#N/A</v>
      </c>
      <c r="I237">
        <f t="shared" si="43"/>
        <v>2025</v>
      </c>
      <c r="J237">
        <f t="shared" si="44"/>
        <v>2.7589999999999999</v>
      </c>
      <c r="K237" t="e">
        <f t="shared" si="45"/>
        <v>#N/A</v>
      </c>
      <c r="L237" t="e">
        <f t="shared" si="46"/>
        <v>#N/A</v>
      </c>
      <c r="M237" t="e">
        <f t="shared" si="47"/>
        <v>#N/A</v>
      </c>
      <c r="N237" t="e">
        <f t="shared" si="48"/>
        <v>#N/A</v>
      </c>
      <c r="O237">
        <f t="shared" si="49"/>
        <v>1.000237</v>
      </c>
      <c r="P237" t="str">
        <f>IF(OR($A237="",games!$H237=""),"",games!$H237)</f>
        <v/>
      </c>
      <c r="Q237" t="str">
        <f t="shared" si="50"/>
        <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Clawler</v>
      </c>
      <c r="B238">
        <f>IF($A238="","",games!$B238)</f>
        <v>2024</v>
      </c>
      <c r="C238" t="str">
        <f>IF($A238="","",games!$C238)</f>
        <v>Deckbuilder</v>
      </c>
      <c r="D238">
        <f>IF($A238="","",COUNTIF(connections!$A$2:$A$1400,$A238)+COUNTIF(connections!$B$2:$B$1400,$A238))</f>
        <v>4</v>
      </c>
      <c r="E238">
        <f t="shared" si="39"/>
        <v>3</v>
      </c>
      <c r="F238">
        <f t="shared" si="40"/>
        <v>0</v>
      </c>
      <c r="G238" t="e">
        <f t="shared" si="41"/>
        <v>#N/A</v>
      </c>
      <c r="H238" t="e">
        <f t="shared" si="42"/>
        <v>#N/A</v>
      </c>
      <c r="I238" t="e">
        <f t="shared" si="43"/>
        <v>#N/A</v>
      </c>
      <c r="J238" t="e">
        <f t="shared" si="44"/>
        <v>#N/A</v>
      </c>
      <c r="K238">
        <f t="shared" si="45"/>
        <v>2024</v>
      </c>
      <c r="L238">
        <f t="shared" si="46"/>
        <v>3</v>
      </c>
      <c r="M238" t="e">
        <f t="shared" si="47"/>
        <v>#N/A</v>
      </c>
      <c r="N238" t="e">
        <f t="shared" si="48"/>
        <v>#N/A</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Crawl Stone Soup</v>
      </c>
      <c r="B239">
        <f>IF($A239="","",games!$B239)</f>
        <v>2006</v>
      </c>
      <c r="C239" t="str">
        <f>IF($A239="","",games!$C239)</f>
        <v>Traditional</v>
      </c>
      <c r="D239">
        <f>IF($A239="","",COUNTIF(connections!$A$2:$A$1400,$A239)+COUNTIF(connections!$B$2:$B$1400,$A239))</f>
        <v>11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2006</v>
      </c>
      <c r="N239">
        <f t="shared" si="48"/>
        <v>4.0229999999999997</v>
      </c>
      <c r="O239">
        <f t="shared" si="49"/>
        <v>11.000239000000001</v>
      </c>
      <c r="P239" t="str">
        <f>IF(OR($A239="",games!$H239=""),"",games!$H239)</f>
        <v>Yes</v>
      </c>
      <c r="Q239">
        <f t="shared" si="50"/>
        <v>11.000239000000001</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Deathball</v>
      </c>
      <c r="B240">
        <f>IF($A240="","",games!$B240)</f>
        <v>2021</v>
      </c>
      <c r="C240" t="str">
        <f>IF($A240="","",games!$C240)</f>
        <v>Strategy</v>
      </c>
      <c r="D240">
        <f>IF($A240="","",COUNTIF(connections!$A$2:$A$1400,$A240)+COUNTIF(connections!$B$2:$B$1400,$A240))</f>
        <v>0</v>
      </c>
      <c r="E240">
        <f t="shared" si="39"/>
        <v>2</v>
      </c>
      <c r="F240">
        <f t="shared" si="40"/>
        <v>2</v>
      </c>
      <c r="G240" t="e">
        <f t="shared" si="41"/>
        <v>#N/A</v>
      </c>
      <c r="H240" t="e">
        <f t="shared" si="42"/>
        <v>#N/A</v>
      </c>
      <c r="I240">
        <f t="shared" si="43"/>
        <v>2021</v>
      </c>
      <c r="J240">
        <f t="shared" si="44"/>
        <v>2.0459999999999998</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Drafters</v>
      </c>
      <c r="B241">
        <f>IF($A241="","",games!$B241)</f>
        <v>2023</v>
      </c>
      <c r="C241" t="str">
        <f>IF($A241="","",games!$C241)</f>
        <v>Traditional</v>
      </c>
      <c r="D241">
        <f>IF($A241="","",COUNTIF(connections!$A$2:$A$1400,$A241)+COUNTIF(connections!$B$2:$B$1400,$A241))</f>
        <v>4</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2023</v>
      </c>
      <c r="N241">
        <f t="shared" si="48"/>
        <v>4.069</v>
      </c>
      <c r="O241">
        <f t="shared" si="49"/>
        <v>4.0002409999999999</v>
      </c>
      <c r="P241" t="str">
        <f>IF(OR($A241="",games!$H241=""),"",games!$H241)</f>
        <v>Yes</v>
      </c>
      <c r="Q241">
        <f t="shared" si="50"/>
        <v>4.0002409999999999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 Hack</v>
      </c>
      <c r="B242">
        <f>IF($A242="","",games!$B242)</f>
        <v>1993</v>
      </c>
      <c r="C242" t="str">
        <f>IF($A242="","",games!$C242)</f>
        <v>Action</v>
      </c>
      <c r="D242">
        <f>IF($A242="","",COUNTIF(connections!$A$2:$A$1400,$A242)+COUNTIF(connections!$B$2:$B$1400,$A242))</f>
        <v>0</v>
      </c>
      <c r="E242">
        <f t="shared" si="39"/>
        <v>1</v>
      </c>
      <c r="F242">
        <f t="shared" si="40"/>
        <v>4</v>
      </c>
      <c r="G242">
        <f t="shared" si="41"/>
        <v>1993</v>
      </c>
      <c r="H242">
        <f t="shared" si="42"/>
        <v>1.0920000000000001</v>
      </c>
      <c r="I242" t="e">
        <f t="shared" si="43"/>
        <v>#N/A</v>
      </c>
      <c r="J242" t="e">
        <f t="shared" si="44"/>
        <v>#N/A</v>
      </c>
      <c r="K242" t="e">
        <f t="shared" si="45"/>
        <v>#N/A</v>
      </c>
      <c r="L242" t="e">
        <f t="shared" si="46"/>
        <v>#N/A</v>
      </c>
      <c r="M242" t="e">
        <f t="shared" si="47"/>
        <v>#N/A</v>
      </c>
      <c r="N242" t="e">
        <f t="shared" si="48"/>
        <v>#N/A</v>
      </c>
      <c r="O242">
        <f t="shared" si="49"/>
        <v>2.42E-4</v>
      </c>
      <c r="P242" t="str">
        <f>IF(OR($A242="",games!$H242=""),"",games!$H242)</f>
        <v/>
      </c>
      <c r="Q242" t="str">
        <f t="shared" si="50"/>
        <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 of Windaria</v>
      </c>
      <c r="B243">
        <f>IF($A243="","",games!$B243)</f>
        <v>2008</v>
      </c>
      <c r="C243" t="str">
        <f>IF($A243="","",games!$C243)</f>
        <v>Traditional</v>
      </c>
      <c r="D243">
        <f>IF($A243="","",COUNTIF(connections!$A$2:$A$1400,$A243)+COUNTIF(connections!$B$2:$B$1400,$A243))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2008</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 Rushers</v>
      </c>
      <c r="B244">
        <f>IF($A244="","",games!$B244)</f>
        <v>2016</v>
      </c>
      <c r="C244" t="str">
        <f>IF($A244="","",games!$C244)</f>
        <v>Strategy</v>
      </c>
      <c r="D244">
        <f>IF($A244="","",COUNTIF(connections!$A$2:$A$1400,$A244)+COUNTIF(connections!$B$2:$B$1400,$A244))</f>
        <v>1</v>
      </c>
      <c r="E244">
        <f t="shared" si="39"/>
        <v>2</v>
      </c>
      <c r="F244">
        <f t="shared" si="40"/>
        <v>6</v>
      </c>
      <c r="G244" t="e">
        <f t="shared" si="41"/>
        <v>#N/A</v>
      </c>
      <c r="H244" t="e">
        <f t="shared" si="42"/>
        <v>#N/A</v>
      </c>
      <c r="I244">
        <f t="shared" si="43"/>
        <v>2016</v>
      </c>
      <c r="J244">
        <f t="shared" si="44"/>
        <v>2.1379999999999999</v>
      </c>
      <c r="K244" t="e">
        <f t="shared" si="45"/>
        <v>#N/A</v>
      </c>
      <c r="L244" t="e">
        <f t="shared" si="46"/>
        <v>#N/A</v>
      </c>
      <c r="M244" t="e">
        <f t="shared" si="47"/>
        <v>#N/A</v>
      </c>
      <c r="N244" t="e">
        <f t="shared" si="48"/>
        <v>#N/A</v>
      </c>
      <c r="O244">
        <f t="shared" si="49"/>
        <v>1.0002439999999999</v>
      </c>
      <c r="P244" t="str">
        <f>IF(OR($A244="",games!$H244=""),"",games!$H244)</f>
        <v>Yes</v>
      </c>
      <c r="Q244">
        <f t="shared" si="50"/>
        <v>1.0002439999999999</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Dungeonmans</v>
      </c>
      <c r="B245">
        <f>IF($A245="","",games!$B245)</f>
        <v>2010</v>
      </c>
      <c r="C245" t="str">
        <f>IF($A245="","",games!$C245)</f>
        <v>Traditional</v>
      </c>
      <c r="D245">
        <f>IF($A245="","",COUNTIF(connections!$A$2:$A$1400,$A245)+COUNTIF(connections!$B$2:$B$1400,$A245))</f>
        <v>10</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2010</v>
      </c>
      <c r="N245">
        <f t="shared" si="48"/>
        <v>4.1609999999999996</v>
      </c>
      <c r="O245">
        <f t="shared" si="49"/>
        <v>10.000245</v>
      </c>
      <c r="P245" t="str">
        <f>IF(OR($A245="",games!$H245=""),"",games!$H245)</f>
        <v>Yes</v>
      </c>
      <c r="Q245">
        <f t="shared" si="50"/>
        <v>10.000245</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Dungeons &amp; Degenerate Gamblers</v>
      </c>
      <c r="B246">
        <f>IF($A246="","",games!$B246)</f>
        <v>2024</v>
      </c>
      <c r="C246" t="str">
        <f>IF($A246="","",games!$C246)</f>
        <v>Deckbuilder</v>
      </c>
      <c r="D246">
        <f>IF($A246="","",COUNTIF(connections!$A$2:$A$1400,$A246)+COUNTIF(connections!$B$2:$B$1400,$A246))</f>
        <v>1</v>
      </c>
      <c r="E246">
        <f t="shared" si="39"/>
        <v>3</v>
      </c>
      <c r="F246">
        <f t="shared" si="40"/>
        <v>8</v>
      </c>
      <c r="G246" t="e">
        <f t="shared" si="41"/>
        <v>#N/A</v>
      </c>
      <c r="H246" t="e">
        <f t="shared" si="42"/>
        <v>#N/A</v>
      </c>
      <c r="I246" t="e">
        <f t="shared" si="43"/>
        <v>#N/A</v>
      </c>
      <c r="J246" t="e">
        <f t="shared" si="44"/>
        <v>#N/A</v>
      </c>
      <c r="K246">
        <f t="shared" si="45"/>
        <v>2024</v>
      </c>
      <c r="L246">
        <f t="shared" si="46"/>
        <v>3.1840000000000002</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Dungeons of Blood and Dream</v>
      </c>
      <c r="B247">
        <f>IF($A247="","",games!$B247)</f>
        <v>2024</v>
      </c>
      <c r="C247" t="str">
        <f>IF($A247="","",games!$C247)</f>
        <v>Action</v>
      </c>
      <c r="D247">
        <f>IF($A247="","",COUNTIF(connections!$A$2:$A$1400,$A247)+COUNTIF(connections!$B$2:$B$1400,$A247))</f>
        <v>1</v>
      </c>
      <c r="E247">
        <f t="shared" si="39"/>
        <v>1</v>
      </c>
      <c r="F247">
        <f t="shared" si="40"/>
        <v>9</v>
      </c>
      <c r="G247">
        <f t="shared" si="41"/>
        <v>2024</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Dungeons of Dredmor</v>
      </c>
      <c r="B248">
        <f>IF($A248="","",games!$B248)</f>
        <v>2011</v>
      </c>
      <c r="C248" t="str">
        <f>IF($A248="","",games!$C248)</f>
        <v>Traditional</v>
      </c>
      <c r="D248">
        <f>IF($A248="","",COUNTIF(connections!$A$2:$A$1400,$A248)+COUNTIF(connections!$B$2:$B$1400,$A248))</f>
        <v>5</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2011</v>
      </c>
      <c r="N248">
        <f t="shared" si="48"/>
        <v>4.2300000000000004</v>
      </c>
      <c r="O248">
        <f t="shared" si="49"/>
        <v>5.000248</v>
      </c>
      <c r="P248" t="str">
        <f>IF(OR($A248="",games!$H248=""),"",games!$H248)</f>
        <v>Yes</v>
      </c>
      <c r="Q248">
        <f t="shared" si="50"/>
        <v>5.000248</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Dungreed</v>
      </c>
      <c r="B249">
        <f>IF($A249="","",games!$B249)</f>
        <v>2018</v>
      </c>
      <c r="C249" t="str">
        <f>IF($A249="","",games!$C249)</f>
        <v>Action</v>
      </c>
      <c r="D249">
        <f>IF($A249="","",COUNTIF(connections!$A$2:$A$1400,$A249)+COUNTIF(connections!$B$2:$B$1400,$A249))</f>
        <v>1</v>
      </c>
      <c r="E249">
        <f t="shared" si="39"/>
        <v>1</v>
      </c>
      <c r="F249">
        <f t="shared" si="40"/>
        <v>11</v>
      </c>
      <c r="G249">
        <f t="shared" si="41"/>
        <v>2018</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Dunjungle</v>
      </c>
      <c r="B250">
        <f>IF($A250="","",games!$B250)</f>
        <v>2025</v>
      </c>
      <c r="C250" t="str">
        <f>IF($A250="","",games!$C250)</f>
        <v>Action</v>
      </c>
      <c r="D250">
        <f>IF($A250="","",COUNTIF(connections!$A$2:$A$1400,$A250)+COUNTIF(connections!$B$2:$B$1400,$A250))</f>
        <v>4</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4.0002500000000003</v>
      </c>
      <c r="P250" t="str">
        <f>IF(OR($A250="",games!$H250=""),"",games!$H250)</f>
        <v/>
      </c>
      <c r="Q250" t="str">
        <f t="shared" si="50"/>
        <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Dwarf Fortress</v>
      </c>
      <c r="B251">
        <f>IF($A251="","",games!$B251)</f>
        <v>2006</v>
      </c>
      <c r="C251" t="str">
        <f>IF($A251="","",games!$C251)</f>
        <v>Strategy</v>
      </c>
      <c r="D251">
        <f>IF($A251="","",COUNTIF(connections!$A$2:$A$1400,$A251)+COUNTIF(connections!$B$2:$B$1400,$A251))</f>
        <v>10</v>
      </c>
      <c r="E251">
        <f t="shared" si="39"/>
        <v>2</v>
      </c>
      <c r="F251">
        <f t="shared" si="40"/>
        <v>13</v>
      </c>
      <c r="G251" t="e">
        <f t="shared" si="41"/>
        <v>#N/A</v>
      </c>
      <c r="H251" t="e">
        <f t="shared" si="42"/>
        <v>#N/A</v>
      </c>
      <c r="I251">
        <f t="shared" si="43"/>
        <v>2006</v>
      </c>
      <c r="J251">
        <f t="shared" si="44"/>
        <v>2.2989999999999999</v>
      </c>
      <c r="K251" t="e">
        <f t="shared" si="45"/>
        <v>#N/A</v>
      </c>
      <c r="L251" t="e">
        <f t="shared" si="46"/>
        <v>#N/A</v>
      </c>
      <c r="M251" t="e">
        <f t="shared" si="47"/>
        <v>#N/A</v>
      </c>
      <c r="N251" t="e">
        <f t="shared" si="48"/>
        <v>#N/A</v>
      </c>
      <c r="O251">
        <f t="shared" si="49"/>
        <v>10.000251</v>
      </c>
      <c r="P251" t="str">
        <f>IF(OR($A251="",games!$H251=""),"",games!$H251)</f>
        <v>Yes</v>
      </c>
      <c r="Q251">
        <f t="shared" si="50"/>
        <v>10.000251</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Dwarves: Glory, Death and Loot</v>
      </c>
      <c r="B252">
        <f>IF($A252="","",games!$B252)</f>
        <v>2023</v>
      </c>
      <c r="C252" t="str">
        <f>IF($A252="","",games!$C252)</f>
        <v>Strategy</v>
      </c>
      <c r="D252">
        <f>IF($A252="","",COUNTIF(connections!$A$2:$A$1400,$A252)+COUNTIF(connections!$B$2:$B$1400,$A252))</f>
        <v>1</v>
      </c>
      <c r="E252">
        <f t="shared" si="39"/>
        <v>2</v>
      </c>
      <c r="F252">
        <f t="shared" si="40"/>
        <v>14</v>
      </c>
      <c r="G252" t="e">
        <f t="shared" si="41"/>
        <v>#N/A</v>
      </c>
      <c r="H252" t="e">
        <f t="shared" si="42"/>
        <v>#N/A</v>
      </c>
      <c r="I252">
        <f t="shared" si="43"/>
        <v>2023</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Elden Ring Nightreign</v>
      </c>
      <c r="B253">
        <f>IF($A253="","",games!$B253)</f>
        <v>2025</v>
      </c>
      <c r="C253" t="str">
        <f>IF($A253="","",games!$C253)</f>
        <v>Action</v>
      </c>
      <c r="D253">
        <f>IF($A253="","",COUNTIF(connections!$A$2:$A$1400,$A253)+COUNTIF(connections!$B$2:$B$1400,$A253))</f>
        <v>1</v>
      </c>
      <c r="E253">
        <f t="shared" si="39"/>
        <v>1</v>
      </c>
      <c r="F253">
        <f t="shared" si="40"/>
        <v>15</v>
      </c>
      <c r="G253">
        <f t="shared" si="41"/>
        <v>2025</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Eldritch</v>
      </c>
      <c r="B254">
        <f>IF($A254="","",games!$B254)</f>
        <v>2013</v>
      </c>
      <c r="C254" t="str">
        <f>IF($A254="","",games!$C254)</f>
        <v>Action</v>
      </c>
      <c r="D254">
        <f>IF($A254="","",COUNTIF(connections!$A$2:$A$1400,$A254)+COUNTIF(connections!$B$2:$B$1400,$A254))</f>
        <v>1</v>
      </c>
      <c r="E254">
        <f t="shared" si="39"/>
        <v>1</v>
      </c>
      <c r="F254">
        <f t="shared" si="40"/>
        <v>16</v>
      </c>
      <c r="G254">
        <f t="shared" si="41"/>
        <v>2013</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Elemental Survivors</v>
      </c>
      <c r="B255">
        <f>IF($A255="","",games!$B255)</f>
        <v>2023</v>
      </c>
      <c r="C255" t="str">
        <f>IF($A255="","",games!$C255)</f>
        <v>Action</v>
      </c>
      <c r="D255">
        <f>IF($A255="","",COUNTIF(connections!$A$2:$A$1400,$A255)+COUNTIF(connections!$B$2:$B$1400,$A255))</f>
        <v>1</v>
      </c>
      <c r="E255">
        <f t="shared" si="39"/>
        <v>1</v>
      </c>
      <c r="F255">
        <f t="shared" si="40"/>
        <v>17</v>
      </c>
      <c r="G255">
        <f t="shared" si="41"/>
        <v>2023</v>
      </c>
      <c r="H255">
        <f t="shared" si="42"/>
        <v>1.391</v>
      </c>
      <c r="I255" t="e">
        <f t="shared" si="43"/>
        <v>#N/A</v>
      </c>
      <c r="J255" t="e">
        <f t="shared" si="44"/>
        <v>#N/A</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Elewar: Fused Survivors</v>
      </c>
      <c r="B256">
        <f>IF($A256="","",games!$B256)</f>
        <v>2023</v>
      </c>
      <c r="C256" t="str">
        <f>IF($A256="","",games!$C256)</f>
        <v>Action</v>
      </c>
      <c r="D256">
        <f>IF($A256="","",COUNTIF(connections!$A$2:$A$1400,$A256)+COUNTIF(connections!$B$2:$B$1400,$A256))</f>
        <v>1</v>
      </c>
      <c r="E256">
        <f t="shared" si="39"/>
        <v>1</v>
      </c>
      <c r="F256">
        <f t="shared" si="40"/>
        <v>18</v>
      </c>
      <c r="G256">
        <f t="shared" si="41"/>
        <v>2023</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Elin</v>
      </c>
      <c r="B257">
        <f>IF($A257="","",games!$B257)</f>
        <v>2024</v>
      </c>
      <c r="C257" t="str">
        <f>IF($A257="","",games!$C257)</f>
        <v>Traditional</v>
      </c>
      <c r="D257">
        <f>IF($A257="","",COUNTIF(connections!$A$2:$A$1400,$A257)+COUNTIF(connections!$B$2:$B$1400,$A257))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2024</v>
      </c>
      <c r="N257">
        <f t="shared" si="48"/>
        <v>4.4370000000000003</v>
      </c>
      <c r="O257">
        <f t="shared" si="49"/>
        <v>1.000257</v>
      </c>
      <c r="P257" t="str">
        <f>IF(OR($A257="",games!$H257=""),"",games!$H257)</f>
        <v/>
      </c>
      <c r="Q257" t="str">
        <f t="shared" si="50"/>
        <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Elona</v>
      </c>
      <c r="B258">
        <f>IF($A258="","",games!$B258)</f>
        <v>2008</v>
      </c>
      <c r="C258" t="str">
        <f>IF($A258="","",games!$C258)</f>
        <v>Traditional</v>
      </c>
      <c r="D258">
        <f>IF($A258="","",COUNTIF(connections!$A$2:$A$1400,$A258)+COUNTIF(connections!$B$2:$B$1400,$A258))</f>
        <v>5</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5.0002579999999996</v>
      </c>
      <c r="P258" t="str">
        <f>IF(OR($A258="",games!$H258=""),"",games!$H258)</f>
        <v/>
      </c>
      <c r="Q258" t="str">
        <f t="shared" ref="Q258:Q321" si="63">IF(OR($A258="",$P258&lt;&gt;"Yes"),"",$D258+ROW()/1000000)</f>
        <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Ember Knights</v>
      </c>
      <c r="B259">
        <f>IF($A259="","",games!$B259)</f>
        <v>2022</v>
      </c>
      <c r="C259" t="str">
        <f>IF($A259="","",games!$C259)</f>
        <v>Action</v>
      </c>
      <c r="D259">
        <f>IF($A259="","",COUNTIF(connections!$A$2:$A$1400,$A259)+COUNTIF(connections!$B$2:$B$1400,$A259))</f>
        <v>5</v>
      </c>
      <c r="E259">
        <f t="shared" si="52"/>
        <v>1</v>
      </c>
      <c r="F259">
        <f t="shared" si="53"/>
        <v>21</v>
      </c>
      <c r="G259">
        <f t="shared" si="54"/>
        <v>2022</v>
      </c>
      <c r="H259">
        <f t="shared" si="55"/>
        <v>1.4830000000000001</v>
      </c>
      <c r="I259" t="e">
        <f t="shared" si="56"/>
        <v>#N/A</v>
      </c>
      <c r="J259" t="e">
        <f t="shared" si="57"/>
        <v>#N/A</v>
      </c>
      <c r="K259" t="e">
        <f t="shared" si="58"/>
        <v>#N/A</v>
      </c>
      <c r="L259" t="e">
        <f t="shared" si="59"/>
        <v>#N/A</v>
      </c>
      <c r="M259" t="e">
        <f t="shared" si="60"/>
        <v>#N/A</v>
      </c>
      <c r="N259" t="e">
        <f t="shared" si="61"/>
        <v>#N/A</v>
      </c>
      <c r="O259">
        <f t="shared" si="62"/>
        <v>5.0002589999999998</v>
      </c>
      <c r="P259" t="str">
        <f>IF(OR($A259="",games!$H259=""),"",games!$H259)</f>
        <v>Yes</v>
      </c>
      <c r="Q259">
        <f t="shared" si="63"/>
        <v>5.0002589999999998</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Emberward</v>
      </c>
      <c r="B260">
        <f>IF($A260="","",games!$B260)</f>
        <v>2024</v>
      </c>
      <c r="C260" t="str">
        <f>IF($A260="","",games!$C260)</f>
        <v>Strategy</v>
      </c>
      <c r="D260">
        <f>IF($A260="","",COUNTIF(connections!$A$2:$A$1400,$A260)+COUNTIF(connections!$B$2:$B$1400,$A260))</f>
        <v>1</v>
      </c>
      <c r="E260">
        <f t="shared" si="52"/>
        <v>2</v>
      </c>
      <c r="F260">
        <f t="shared" si="53"/>
        <v>22</v>
      </c>
      <c r="G260" t="e">
        <f t="shared" si="54"/>
        <v>#N/A</v>
      </c>
      <c r="H260" t="e">
        <f t="shared" si="55"/>
        <v>#N/A</v>
      </c>
      <c r="I260">
        <f t="shared" si="56"/>
        <v>2024</v>
      </c>
      <c r="J260">
        <f t="shared" si="57"/>
        <v>2.5060000000000002</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Endgame of Devil</v>
      </c>
      <c r="B261">
        <f>IF($A261="","",games!$B261)</f>
        <v>2023</v>
      </c>
      <c r="C261" t="str">
        <f>IF($A261="","",games!$C261)</f>
        <v>Deckbuilder</v>
      </c>
      <c r="D261">
        <f>IF($A261="","",COUNTIF(connections!$A$2:$A$1400,$A261)+COUNTIF(connections!$B$2:$B$1400,$A261))</f>
        <v>1</v>
      </c>
      <c r="E261">
        <f t="shared" si="52"/>
        <v>3</v>
      </c>
      <c r="F261">
        <f t="shared" si="53"/>
        <v>23</v>
      </c>
      <c r="G261" t="e">
        <f t="shared" si="54"/>
        <v>#N/A</v>
      </c>
      <c r="H261" t="e">
        <f t="shared" si="55"/>
        <v>#N/A</v>
      </c>
      <c r="I261" t="e">
        <f t="shared" si="56"/>
        <v>#N/A</v>
      </c>
      <c r="J261" t="e">
        <f t="shared" si="57"/>
        <v>#N/A</v>
      </c>
      <c r="K261">
        <f t="shared" si="58"/>
        <v>2023</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Endless Alice</v>
      </c>
      <c r="B262">
        <f>IF($A262="","",games!$B262)</f>
        <v>2025</v>
      </c>
      <c r="C262" t="str">
        <f>IF($A262="","",games!$C262)</f>
        <v>Action</v>
      </c>
      <c r="D262">
        <f>IF($A262="","",COUNTIF(connections!$A$2:$A$1400,$A262)+COUNTIF(connections!$B$2:$B$1400,$A262))</f>
        <v>1</v>
      </c>
      <c r="E262">
        <f t="shared" si="52"/>
        <v>1</v>
      </c>
      <c r="F262">
        <f t="shared" si="53"/>
        <v>24</v>
      </c>
      <c r="G262">
        <f t="shared" si="54"/>
        <v>2025</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Enter the Gungeon</v>
      </c>
      <c r="B263">
        <f>IF($A263="","",games!$B263)</f>
        <v>2016</v>
      </c>
      <c r="C263" t="str">
        <f>IF($A263="","",games!$C263)</f>
        <v>Action</v>
      </c>
      <c r="D263">
        <f>IF($A263="","",COUNTIF(connections!$A$2:$A$1400,$A263)+COUNTIF(connections!$B$2:$B$1400,$A263))</f>
        <v>26</v>
      </c>
      <c r="E263">
        <f t="shared" si="52"/>
        <v>1</v>
      </c>
      <c r="F263">
        <f t="shared" si="53"/>
        <v>25</v>
      </c>
      <c r="G263">
        <f t="shared" si="54"/>
        <v>2016</v>
      </c>
      <c r="H263">
        <f t="shared" si="55"/>
        <v>1.575</v>
      </c>
      <c r="I263" t="e">
        <f t="shared" si="56"/>
        <v>#N/A</v>
      </c>
      <c r="J263" t="e">
        <f t="shared" si="57"/>
        <v>#N/A</v>
      </c>
      <c r="K263" t="e">
        <f t="shared" si="58"/>
        <v>#N/A</v>
      </c>
      <c r="L263" t="e">
        <f t="shared" si="59"/>
        <v>#N/A</v>
      </c>
      <c r="M263" t="e">
        <f t="shared" si="60"/>
        <v>#N/A</v>
      </c>
      <c r="N263" t="e">
        <f t="shared" si="61"/>
        <v>#N/A</v>
      </c>
      <c r="O263">
        <f t="shared" si="62"/>
        <v>26.000263</v>
      </c>
      <c r="P263" t="str">
        <f>IF(OR($A263="",games!$H263=""),"",games!$H263)</f>
        <v>Yes</v>
      </c>
      <c r="Q263">
        <f t="shared" si="63"/>
        <v>26.000263</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Escape The Mad Empire</v>
      </c>
      <c r="B264">
        <f>IF($A264="","",games!$B264)</f>
        <v>2025</v>
      </c>
      <c r="C264" t="str">
        <f>IF($A264="","",games!$C264)</f>
        <v>Strategy</v>
      </c>
      <c r="D264">
        <f>IF($A264="","",COUNTIF(connections!$A$2:$A$1400,$A264)+COUNTIF(connections!$B$2:$B$1400,$A264))</f>
        <v>6</v>
      </c>
      <c r="E264">
        <f t="shared" si="52"/>
        <v>2</v>
      </c>
      <c r="F264">
        <f t="shared" si="53"/>
        <v>26</v>
      </c>
      <c r="G264" t="e">
        <f t="shared" si="54"/>
        <v>#N/A</v>
      </c>
      <c r="H264" t="e">
        <f t="shared" si="55"/>
        <v>#N/A</v>
      </c>
      <c r="I264">
        <f t="shared" si="56"/>
        <v>2025</v>
      </c>
      <c r="J264">
        <f t="shared" si="57"/>
        <v>2.5979999999999999</v>
      </c>
      <c r="K264" t="e">
        <f t="shared" si="58"/>
        <v>#N/A</v>
      </c>
      <c r="L264" t="e">
        <f t="shared" si="59"/>
        <v>#N/A</v>
      </c>
      <c r="M264" t="e">
        <f t="shared" si="60"/>
        <v>#N/A</v>
      </c>
      <c r="N264" t="e">
        <f t="shared" si="61"/>
        <v>#N/A</v>
      </c>
      <c r="O264">
        <f t="shared" si="62"/>
        <v>6.0002639999999996</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Eternal Quest</v>
      </c>
      <c r="B265">
        <f>IF($A265="","",games!$B265)</f>
        <v>2004</v>
      </c>
      <c r="C265" t="str">
        <f>IF($A265="","",games!$C265)</f>
        <v>Traditional</v>
      </c>
      <c r="D265">
        <f>IF($A265="","",COUNTIF(connections!$A$2:$A$1400,$A265)+COUNTIF(connections!$B$2:$B$1400,$A265))</f>
        <v>1</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2004</v>
      </c>
      <c r="N265">
        <f t="shared" si="61"/>
        <v>4.6210000000000004</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Etrian Mystery Dungeon</v>
      </c>
      <c r="B266">
        <f>IF($A266="","",games!$B266)</f>
        <v>2015</v>
      </c>
      <c r="C266" t="str">
        <f>IF($A266="","",games!$C266)</f>
        <v>Traditional</v>
      </c>
      <c r="D266">
        <f>IF($A266="","",COUNTIF(connections!$A$2:$A$1400,$A266)+COUNTIF(connections!$B$2:$B$1400,$A266))</f>
        <v>2</v>
      </c>
      <c r="E266">
        <f t="shared" si="52"/>
        <v>4</v>
      </c>
      <c r="F266">
        <f t="shared" si="53"/>
        <v>28</v>
      </c>
      <c r="G266" t="e">
        <f t="shared" si="54"/>
        <v>#N/A</v>
      </c>
      <c r="H266" t="e">
        <f t="shared" si="55"/>
        <v>#N/A</v>
      </c>
      <c r="I266" t="e">
        <f t="shared" si="56"/>
        <v>#N/A</v>
      </c>
      <c r="J266" t="e">
        <f t="shared" si="57"/>
        <v>#N/A</v>
      </c>
      <c r="K266" t="e">
        <f t="shared" si="58"/>
        <v>#N/A</v>
      </c>
      <c r="L266" t="e">
        <f t="shared" si="59"/>
        <v>#N/A</v>
      </c>
      <c r="M266">
        <f t="shared" si="60"/>
        <v>2015</v>
      </c>
      <c r="N266">
        <f t="shared" si="61"/>
        <v>4.6440000000000001</v>
      </c>
      <c r="O266">
        <f t="shared" si="62"/>
        <v>2.0002659999999999</v>
      </c>
      <c r="P266" t="str">
        <f>IF(OR($A266="",games!$H266=""),"",games!$H266)</f>
        <v/>
      </c>
      <c r="Q266" t="str">
        <f t="shared" si="63"/>
        <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Etrian Mystery Dungeon 2</v>
      </c>
      <c r="B267">
        <f>IF($A267="","",games!$B267)</f>
        <v>2017</v>
      </c>
      <c r="C267" t="str">
        <f>IF($A267="","",games!$C267)</f>
        <v>Traditional</v>
      </c>
      <c r="D267">
        <f>IF($A267="","",COUNTIF(connections!$A$2:$A$1400,$A267)+COUNTIF(connections!$B$2:$B$1400,$A267))</f>
        <v>1</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2017</v>
      </c>
      <c r="N267">
        <f t="shared" si="61"/>
        <v>4.6669999999999998</v>
      </c>
      <c r="O267">
        <f t="shared" si="62"/>
        <v>1.000267</v>
      </c>
      <c r="P267" t="str">
        <f>IF(OR($A267="",games!$H267=""),"",games!$H267)</f>
        <v/>
      </c>
      <c r="Q267" t="str">
        <f t="shared" si="63"/>
        <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Everything is Crab</v>
      </c>
      <c r="B268">
        <f>IF($A268="","",games!$B268)</f>
        <v>2026</v>
      </c>
      <c r="C268" t="str">
        <f>IF($A268="","",games!$C268)</f>
        <v>Action</v>
      </c>
      <c r="D268">
        <f>IF($A268="","",COUNTIF(connections!$A$2:$A$1400,$A268)+COUNTIF(connections!$B$2:$B$1400,$A268))</f>
        <v>3</v>
      </c>
      <c r="E268">
        <f t="shared" si="52"/>
        <v>1</v>
      </c>
      <c r="F268">
        <f t="shared" si="53"/>
        <v>30</v>
      </c>
      <c r="G268">
        <f t="shared" si="54"/>
        <v>2026</v>
      </c>
      <c r="H268">
        <f t="shared" si="55"/>
        <v>1.69</v>
      </c>
      <c r="I268" t="e">
        <f t="shared" si="56"/>
        <v>#N/A</v>
      </c>
      <c r="J268" t="e">
        <f t="shared" si="57"/>
        <v>#N/A</v>
      </c>
      <c r="K268" t="e">
        <f t="shared" si="58"/>
        <v>#N/A</v>
      </c>
      <c r="L268" t="e">
        <f t="shared" si="59"/>
        <v>#N/A</v>
      </c>
      <c r="M268" t="e">
        <f t="shared" si="60"/>
        <v>#N/A</v>
      </c>
      <c r="N268" t="e">
        <f t="shared" si="61"/>
        <v>#N/A</v>
      </c>
      <c r="O268">
        <f t="shared" si="62"/>
        <v>3.0002680000000002</v>
      </c>
      <c r="P268" t="str">
        <f>IF(OR($A268="",games!$H268=""),"",games!$H268)</f>
        <v>Yes</v>
      </c>
      <c r="Q268">
        <f t="shared" si="63"/>
        <v>3.0002680000000002</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Evolings</v>
      </c>
      <c r="B269">
        <f>IF($A269="","",games!$B269)</f>
        <v>2023</v>
      </c>
      <c r="C269" t="str">
        <f>IF($A269="","",games!$C269)</f>
        <v>Action</v>
      </c>
      <c r="D269">
        <f>IF($A269="","",COUNTIF(connections!$A$2:$A$1400,$A269)+COUNTIF(connections!$B$2:$B$1400,$A269))</f>
        <v>0</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Exit the Gungeon</v>
      </c>
      <c r="B270">
        <f>IF($A270="","",games!$B270)</f>
        <v>2020</v>
      </c>
      <c r="C270" t="str">
        <f>IF($A270="","",games!$C270)</f>
        <v>Action</v>
      </c>
      <c r="D270">
        <f>IF($A270="","",COUNTIF(connections!$A$2:$A$1400,$A270)+COUNTIF(connections!$B$2:$B$1400,$A270))</f>
        <v>1</v>
      </c>
      <c r="E270">
        <f t="shared" si="52"/>
        <v>1</v>
      </c>
      <c r="F270">
        <f t="shared" si="53"/>
        <v>32</v>
      </c>
      <c r="G270">
        <f t="shared" si="54"/>
        <v>2020</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Facehand</v>
      </c>
      <c r="B271">
        <f>IF($A271="","",games!$B271)</f>
        <v>2024</v>
      </c>
      <c r="C271" t="str">
        <f>IF($A271="","",games!$C271)</f>
        <v>Deckbuilder</v>
      </c>
      <c r="D271">
        <f>IF($A271="","",COUNTIF(connections!$A$2:$A$1400,$A271)+COUNTIF(connections!$B$2:$B$1400,$A271))</f>
        <v>1</v>
      </c>
      <c r="E271">
        <f t="shared" si="52"/>
        <v>3</v>
      </c>
      <c r="F271">
        <f t="shared" si="53"/>
        <v>33</v>
      </c>
      <c r="G271" t="e">
        <f t="shared" si="54"/>
        <v>#N/A</v>
      </c>
      <c r="H271" t="e">
        <f t="shared" si="55"/>
        <v>#N/A</v>
      </c>
      <c r="I271" t="e">
        <f t="shared" si="56"/>
        <v>#N/A</v>
      </c>
      <c r="J271" t="e">
        <f t="shared" si="57"/>
        <v>#N/A</v>
      </c>
      <c r="K271">
        <f t="shared" si="58"/>
        <v>2024</v>
      </c>
      <c r="L271">
        <f t="shared" si="59"/>
        <v>3.7589999999999999</v>
      </c>
      <c r="M271" t="e">
        <f t="shared" si="60"/>
        <v>#N/A</v>
      </c>
      <c r="N271" t="e">
        <f t="shared" si="61"/>
        <v>#N/A</v>
      </c>
      <c r="O271">
        <f t="shared" si="62"/>
        <v>1.0002709999999999</v>
      </c>
      <c r="P271" t="str">
        <f>IF(OR($A271="",games!$H271=""),"",games!$H271)</f>
        <v>Yes</v>
      </c>
      <c r="Q271">
        <f t="shared" si="63"/>
        <v>1.0002709999999999</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Fairy Tail: Dungeons</v>
      </c>
      <c r="B272">
        <f>IF($A272="","",games!$B272)</f>
        <v>2024</v>
      </c>
      <c r="C272" t="str">
        <f>IF($A272="","",games!$C272)</f>
        <v>Deckbuilder</v>
      </c>
      <c r="D272">
        <f>IF($A272="","",COUNTIF(connections!$A$2:$A$1400,$A272)+COUNTIF(connections!$B$2:$B$1400,$A272))</f>
        <v>0</v>
      </c>
      <c r="E272">
        <f t="shared" si="52"/>
        <v>3</v>
      </c>
      <c r="F272">
        <f t="shared" si="53"/>
        <v>0</v>
      </c>
      <c r="G272" t="e">
        <f t="shared" si="54"/>
        <v>#N/A</v>
      </c>
      <c r="H272" t="e">
        <f t="shared" si="55"/>
        <v>#N/A</v>
      </c>
      <c r="I272" t="e">
        <f t="shared" si="56"/>
        <v>#N/A</v>
      </c>
      <c r="J272" t="e">
        <f t="shared" si="57"/>
        <v>#N/A</v>
      </c>
      <c r="K272">
        <f t="shared" si="58"/>
        <v>2024</v>
      </c>
      <c r="L272">
        <f t="shared" si="59"/>
        <v>3</v>
      </c>
      <c r="M272" t="e">
        <f t="shared" si="60"/>
        <v>#N/A</v>
      </c>
      <c r="N272" t="e">
        <f t="shared" si="61"/>
        <v>#N/A</v>
      </c>
      <c r="O272">
        <f t="shared" si="62"/>
        <v>2.72E-4</v>
      </c>
      <c r="P272" t="str">
        <f>IF(OR($A272="",games!$H272=""),"",games!$H272)</f>
        <v>Yes</v>
      </c>
      <c r="Q272">
        <f t="shared" si="63"/>
        <v>2.72E-4</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Fatal Labyrinth</v>
      </c>
      <c r="B273">
        <f>IF($A273="","",games!$B273)</f>
        <v>1990</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1990</v>
      </c>
      <c r="N273">
        <f t="shared" si="61"/>
        <v>4.0229999999999997</v>
      </c>
      <c r="O273">
        <f t="shared" si="62"/>
        <v>2.000273</v>
      </c>
      <c r="P273" t="str">
        <f>IF(OR($A273="",games!$H273=""),"",games!$H273)</f>
        <v>Yes</v>
      </c>
      <c r="Q273">
        <f t="shared" si="63"/>
        <v>2.000273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Fear &amp; Hunger</v>
      </c>
      <c r="B274">
        <f>IF($A274="","",games!$B274)</f>
        <v>2018</v>
      </c>
      <c r="C274" t="str">
        <f>IF($A274="","",games!$C274)</f>
        <v>Strategy</v>
      </c>
      <c r="D274">
        <f>IF($A274="","",COUNTIF(connections!$A$2:$A$1400,$A274)+COUNTIF(connections!$B$2:$B$1400,$A274))</f>
        <v>1</v>
      </c>
      <c r="E274">
        <f t="shared" si="52"/>
        <v>2</v>
      </c>
      <c r="F274">
        <f t="shared" si="53"/>
        <v>2</v>
      </c>
      <c r="G274" t="e">
        <f t="shared" si="54"/>
        <v>#N/A</v>
      </c>
      <c r="H274" t="e">
        <f t="shared" si="55"/>
        <v>#N/A</v>
      </c>
      <c r="I274">
        <f t="shared" si="56"/>
        <v>2018</v>
      </c>
      <c r="J274">
        <f t="shared" si="57"/>
        <v>2.0459999999999998</v>
      </c>
      <c r="K274" t="e">
        <f t="shared" si="58"/>
        <v>#N/A</v>
      </c>
      <c r="L274" t="e">
        <f t="shared" si="59"/>
        <v>#N/A</v>
      </c>
      <c r="M274" t="e">
        <f t="shared" si="60"/>
        <v>#N/A</v>
      </c>
      <c r="N274" t="e">
        <f t="shared" si="61"/>
        <v>#N/A</v>
      </c>
      <c r="O274">
        <f t="shared" si="62"/>
        <v>1.0002740000000001</v>
      </c>
      <c r="P274" t="str">
        <f>IF(OR($A274="",games!$H274=""),"",games!$H274)</f>
        <v/>
      </c>
      <c r="Q274" t="str">
        <f t="shared" si="63"/>
        <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Feed the Deep</v>
      </c>
      <c r="B275">
        <f>IF($A275="","",games!$B275)</f>
        <v>2024</v>
      </c>
      <c r="C275" t="str">
        <f>IF($A275="","",games!$C275)</f>
        <v>Strategy</v>
      </c>
      <c r="D275">
        <f>IF($A275="","",COUNTIF(connections!$A$2:$A$1400,$A275)+COUNTIF(connections!$B$2:$B$1400,$A275))</f>
        <v>2</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Fights in Tight Spaces</v>
      </c>
      <c r="B276">
        <f>IF($A276="","",games!$B276)</f>
        <v>2021</v>
      </c>
      <c r="C276" t="str">
        <f>IF($A276="","",games!$C276)</f>
        <v>Deckbuilder</v>
      </c>
      <c r="D276">
        <f>IF($A276="","",COUNTIF(connections!$A$2:$A$1400,$A276)+COUNTIF(connections!$B$2:$B$1400,$A276))</f>
        <v>5</v>
      </c>
      <c r="E276">
        <f t="shared" si="52"/>
        <v>3</v>
      </c>
      <c r="F276">
        <f t="shared" si="53"/>
        <v>4</v>
      </c>
      <c r="G276" t="e">
        <f t="shared" si="54"/>
        <v>#N/A</v>
      </c>
      <c r="H276" t="e">
        <f t="shared" si="55"/>
        <v>#N/A</v>
      </c>
      <c r="I276" t="e">
        <f t="shared" si="56"/>
        <v>#N/A</v>
      </c>
      <c r="J276" t="e">
        <f t="shared" si="57"/>
        <v>#N/A</v>
      </c>
      <c r="K276">
        <f t="shared" si="58"/>
        <v>2021</v>
      </c>
      <c r="L276">
        <f t="shared" si="59"/>
        <v>3.0920000000000001</v>
      </c>
      <c r="M276" t="e">
        <f t="shared" si="60"/>
        <v>#N/A</v>
      </c>
      <c r="N276" t="e">
        <f t="shared" si="61"/>
        <v>#N/A</v>
      </c>
      <c r="O276">
        <f t="shared" si="62"/>
        <v>5.0002760000000004</v>
      </c>
      <c r="P276" t="str">
        <f>IF(OR($A276="",games!$H276=""),"",games!$H276)</f>
        <v>Yes</v>
      </c>
      <c r="Q276">
        <f t="shared" si="63"/>
        <v>5.0002760000000004</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Final Fantasy Fables: Chocobo's Dungeon</v>
      </c>
      <c r="B277">
        <f>IF($A277="","",games!$B277)</f>
        <v>2007</v>
      </c>
      <c r="C277" t="str">
        <f>IF($A277="","",games!$C277)</f>
        <v>Traditional</v>
      </c>
      <c r="D277">
        <f>IF($A277="","",COUNTIF(connections!$A$2:$A$1400,$A277)+COUNTIF(connections!$B$2:$B$1400,$A277))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2007</v>
      </c>
      <c r="N277">
        <f t="shared" si="61"/>
        <v>4.1150000000000002</v>
      </c>
      <c r="O277">
        <f t="shared" si="62"/>
        <v>2.0002770000000001</v>
      </c>
      <c r="P277" t="str">
        <f>IF(OR($A277="",games!$H277=""),"",games!$H277)</f>
        <v>Yes</v>
      </c>
      <c r="Q277">
        <f t="shared" si="63"/>
        <v>2.0002770000000001</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Fish Fear Me</v>
      </c>
      <c r="B278">
        <f>IF($A278="","",games!$B278)</f>
        <v>2024</v>
      </c>
      <c r="C278" t="str">
        <f>IF($A278="","",games!$C278)</f>
        <v>Action</v>
      </c>
      <c r="D278">
        <f>IF($A278="","",COUNTIF(connections!$A$2:$A$1400,$A278)+COUNTIF(connections!$B$2:$B$1400,$A278))</f>
        <v>1</v>
      </c>
      <c r="E278">
        <f t="shared" si="52"/>
        <v>1</v>
      </c>
      <c r="F278">
        <f t="shared" si="53"/>
        <v>6</v>
      </c>
      <c r="G278">
        <f t="shared" si="54"/>
        <v>2024</v>
      </c>
      <c r="H278">
        <f t="shared" si="55"/>
        <v>1.1379999999999999</v>
      </c>
      <c r="I278" t="e">
        <f t="shared" si="56"/>
        <v>#N/A</v>
      </c>
      <c r="J278" t="e">
        <f t="shared" si="57"/>
        <v>#N/A</v>
      </c>
      <c r="K278" t="e">
        <f t="shared" si="58"/>
        <v>#N/A</v>
      </c>
      <c r="L278" t="e">
        <f t="shared" si="59"/>
        <v>#N/A</v>
      </c>
      <c r="M278" t="e">
        <f t="shared" si="60"/>
        <v>#N/A</v>
      </c>
      <c r="N278" t="e">
        <f t="shared" si="61"/>
        <v>#N/A</v>
      </c>
      <c r="O278">
        <f t="shared" si="62"/>
        <v>1.000278</v>
      </c>
      <c r="P278" t="str">
        <f>IF(OR($A278="",games!$H278=""),"",games!$H278)</f>
        <v>Yes</v>
      </c>
      <c r="Q278">
        <f t="shared" si="63"/>
        <v>1.000278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FLERP</v>
      </c>
      <c r="B279">
        <f>IF($A279="","",games!$B279)</f>
        <v>2022</v>
      </c>
      <c r="C279" t="str">
        <f>IF($A279="","",games!$C279)</f>
        <v>Action</v>
      </c>
      <c r="D279">
        <f>IF($A279="","",COUNTIF(connections!$A$2:$A$1400,$A279)+COUNTIF(connections!$B$2:$B$1400,$A279))</f>
        <v>2</v>
      </c>
      <c r="E279">
        <f t="shared" si="52"/>
        <v>1</v>
      </c>
      <c r="F279">
        <f t="shared" si="53"/>
        <v>7</v>
      </c>
      <c r="G279">
        <f t="shared" si="54"/>
        <v>2022</v>
      </c>
      <c r="H279">
        <f t="shared" si="55"/>
        <v>1.161</v>
      </c>
      <c r="I279" t="e">
        <f t="shared" si="56"/>
        <v>#N/A</v>
      </c>
      <c r="J279" t="e">
        <f t="shared" si="57"/>
        <v>#N/A</v>
      </c>
      <c r="K279" t="e">
        <f t="shared" si="58"/>
        <v>#N/A</v>
      </c>
      <c r="L279" t="e">
        <f t="shared" si="59"/>
        <v>#N/A</v>
      </c>
      <c r="M279" t="e">
        <f t="shared" si="60"/>
        <v>#N/A</v>
      </c>
      <c r="N279" t="e">
        <f t="shared" si="61"/>
        <v>#N/A</v>
      </c>
      <c r="O279">
        <f t="shared" si="62"/>
        <v>2.0002789999999999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Flick Shot Rogues</v>
      </c>
      <c r="B280">
        <f>IF($A280="","",games!$B280)</f>
        <v>2025</v>
      </c>
      <c r="C280" t="str">
        <f>IF($A280="","",games!$C280)</f>
        <v>Strategy</v>
      </c>
      <c r="D280">
        <f>IF($A280="","",COUNTIF(connections!$A$2:$A$1400,$A280)+COUNTIF(connections!$B$2:$B$1400,$A280))</f>
        <v>0</v>
      </c>
      <c r="E280">
        <f t="shared" si="52"/>
        <v>2</v>
      </c>
      <c r="F280">
        <f t="shared" si="53"/>
        <v>8</v>
      </c>
      <c r="G280" t="e">
        <f t="shared" si="54"/>
        <v>#N/A</v>
      </c>
      <c r="H280" t="e">
        <f t="shared" si="55"/>
        <v>#N/A</v>
      </c>
      <c r="I280">
        <f t="shared" si="56"/>
        <v>2025</v>
      </c>
      <c r="J280">
        <f t="shared" si="57"/>
        <v>2.1840000000000002</v>
      </c>
      <c r="K280" t="e">
        <f t="shared" si="58"/>
        <v>#N/A</v>
      </c>
      <c r="L280" t="e">
        <f t="shared" si="59"/>
        <v>#N/A</v>
      </c>
      <c r="M280" t="e">
        <f t="shared" si="60"/>
        <v>#N/A</v>
      </c>
      <c r="N280" t="e">
        <f t="shared" si="61"/>
        <v>#N/A</v>
      </c>
      <c r="O280">
        <f t="shared" si="62"/>
        <v>2.7999999999999998E-4</v>
      </c>
      <c r="P280" t="str">
        <f>IF(OR($A280="",games!$H280=""),"",games!$H280)</f>
        <v/>
      </c>
      <c r="Q280" t="str">
        <f t="shared" si="63"/>
        <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Flinthook</v>
      </c>
      <c r="B281">
        <f>IF($A281="","",games!$B281)</f>
        <v>2017</v>
      </c>
      <c r="C281" t="str">
        <f>IF($A281="","",games!$C281)</f>
        <v>Action</v>
      </c>
      <c r="D281">
        <f>IF($A281="","",COUNTIF(connections!$A$2:$A$1400,$A281)+COUNTIF(connections!$B$2:$B$1400,$A281))</f>
        <v>2</v>
      </c>
      <c r="E281">
        <f t="shared" si="52"/>
        <v>1</v>
      </c>
      <c r="F281">
        <f t="shared" si="53"/>
        <v>9</v>
      </c>
      <c r="G281">
        <f t="shared" si="54"/>
        <v>2017</v>
      </c>
      <c r="H281">
        <f t="shared" si="55"/>
        <v>1.2070000000000001</v>
      </c>
      <c r="I281" t="e">
        <f t="shared" si="56"/>
        <v>#N/A</v>
      </c>
      <c r="J281" t="e">
        <f t="shared" si="57"/>
        <v>#N/A</v>
      </c>
      <c r="K281" t="e">
        <f t="shared" si="58"/>
        <v>#N/A</v>
      </c>
      <c r="L281" t="e">
        <f t="shared" si="59"/>
        <v>#N/A</v>
      </c>
      <c r="M281" t="e">
        <f t="shared" si="60"/>
        <v>#N/A</v>
      </c>
      <c r="N281" t="e">
        <f t="shared" si="61"/>
        <v>#N/A</v>
      </c>
      <c r="O281">
        <f t="shared" si="62"/>
        <v>2.0002810000000002</v>
      </c>
      <c r="P281" t="str">
        <f>IF(OR($A281="",games!$H281=""),"",games!$H281)</f>
        <v>Yes</v>
      </c>
      <c r="Q281">
        <f t="shared" si="63"/>
        <v>2.0002810000000002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Fogpiercer</v>
      </c>
      <c r="B282">
        <f>IF($A282="","",games!$B282)</f>
        <v>2026</v>
      </c>
      <c r="C282" t="str">
        <f>IF($A282="","",games!$C282)</f>
        <v>Deckbuilder</v>
      </c>
      <c r="D282">
        <f>IF($A282="","",COUNTIF(connections!$A$2:$A$1400,$A282)+COUNTIF(connections!$B$2:$B$1400,$A282))</f>
        <v>4</v>
      </c>
      <c r="E282">
        <f t="shared" si="52"/>
        <v>3</v>
      </c>
      <c r="F282">
        <f t="shared" si="53"/>
        <v>10</v>
      </c>
      <c r="G282" t="e">
        <f t="shared" si="54"/>
        <v>#N/A</v>
      </c>
      <c r="H282" t="e">
        <f t="shared" si="55"/>
        <v>#N/A</v>
      </c>
      <c r="I282" t="e">
        <f t="shared" si="56"/>
        <v>#N/A</v>
      </c>
      <c r="J282" t="e">
        <f t="shared" si="57"/>
        <v>#N/A</v>
      </c>
      <c r="K282">
        <f t="shared" si="58"/>
        <v>2026</v>
      </c>
      <c r="L282">
        <f t="shared" si="59"/>
        <v>3.23</v>
      </c>
      <c r="M282" t="e">
        <f t="shared" si="60"/>
        <v>#N/A</v>
      </c>
      <c r="N282" t="e">
        <f t="shared" si="61"/>
        <v>#N/A</v>
      </c>
      <c r="O282">
        <f t="shared" si="62"/>
        <v>4.0002820000000003</v>
      </c>
      <c r="P282" t="str">
        <f>IF(OR($A282="",games!$H282=""),"",games!$H282)</f>
        <v/>
      </c>
      <c r="Q282" t="str">
        <f t="shared" si="63"/>
        <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Footgun: Underground</v>
      </c>
      <c r="B283">
        <f>IF($A283="","",games!$B283)</f>
        <v>2024</v>
      </c>
      <c r="C283" t="str">
        <f>IF($A283="","",games!$C283)</f>
        <v>Action</v>
      </c>
      <c r="D283">
        <f>IF($A283="","",COUNTIF(connections!$A$2:$A$1400,$A283)+COUNTIF(connections!$B$2:$B$1400,$A283))</f>
        <v>0</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 the King</v>
      </c>
      <c r="B284">
        <f>IF($A284="","",games!$B284)</f>
        <v>2018</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2018</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 the King 2</v>
      </c>
      <c r="B285">
        <f>IF($A285="","",games!$B285)</f>
        <v>2023</v>
      </c>
      <c r="C285" t="str">
        <f>IF($A285="","",games!$C285)</f>
        <v>Strategy</v>
      </c>
      <c r="D285">
        <f>IF($A285="","",COUNTIF(connections!$A$2:$A$1400,$A285)+COUNTIF(connections!$B$2:$B$1400,$A285))</f>
        <v>1</v>
      </c>
      <c r="E285">
        <f t="shared" si="52"/>
        <v>2</v>
      </c>
      <c r="F285">
        <f t="shared" si="53"/>
        <v>13</v>
      </c>
      <c r="G285" t="e">
        <f t="shared" si="54"/>
        <v>#N/A</v>
      </c>
      <c r="H285" t="e">
        <f t="shared" si="55"/>
        <v>#N/A</v>
      </c>
      <c r="I285">
        <f t="shared" si="56"/>
        <v>2023</v>
      </c>
      <c r="J285">
        <f t="shared" si="57"/>
        <v>2.2989999999999999</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For The Warp</v>
      </c>
      <c r="B286">
        <f>IF($A286="","",games!$B286)</f>
        <v>2020</v>
      </c>
      <c r="C286" t="str">
        <f>IF($A286="","",games!$C286)</f>
        <v>Deckbuilder</v>
      </c>
      <c r="D286">
        <f>IF($A286="","",COUNTIF(connections!$A$2:$A$1400,$A286)+COUNTIF(connections!$B$2:$B$1400,$A286))</f>
        <v>3</v>
      </c>
      <c r="E286">
        <f t="shared" si="52"/>
        <v>3</v>
      </c>
      <c r="F286">
        <f t="shared" si="53"/>
        <v>14</v>
      </c>
      <c r="G286" t="e">
        <f t="shared" si="54"/>
        <v>#N/A</v>
      </c>
      <c r="H286" t="e">
        <f t="shared" si="55"/>
        <v>#N/A</v>
      </c>
      <c r="I286" t="e">
        <f t="shared" si="56"/>
        <v>#N/A</v>
      </c>
      <c r="J286" t="e">
        <f t="shared" si="57"/>
        <v>#N/A</v>
      </c>
      <c r="K286">
        <f t="shared" si="58"/>
        <v>2020</v>
      </c>
      <c r="L286">
        <f t="shared" si="59"/>
        <v>3.3220000000000001</v>
      </c>
      <c r="M286" t="e">
        <f t="shared" si="60"/>
        <v>#N/A</v>
      </c>
      <c r="N286" t="e">
        <f t="shared" si="61"/>
        <v>#N/A</v>
      </c>
      <c r="O286">
        <f t="shared" si="62"/>
        <v>3.000286</v>
      </c>
      <c r="P286" t="str">
        <f>IF(OR($A286="",games!$H286=""),"",games!$H286)</f>
        <v>Yes</v>
      </c>
      <c r="Q286">
        <f t="shared" si="63"/>
        <v>3.000286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Forestrike</v>
      </c>
      <c r="B287">
        <f>IF($A287="","",games!$B287)</f>
        <v>2025</v>
      </c>
      <c r="C287" t="str">
        <f>IF($A287="","",games!$C287)</f>
        <v>Action</v>
      </c>
      <c r="D287">
        <f>IF($A287="","",COUNTIF(connections!$A$2:$A$1400,$A287)+COUNTIF(connections!$B$2:$B$1400,$A287))</f>
        <v>0</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
      </c>
      <c r="Q287" t="str">
        <f t="shared" si="63"/>
        <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Forward: Escape the Fold</v>
      </c>
      <c r="B288">
        <f>IF($A288="","",games!$B288)</f>
        <v>2022</v>
      </c>
      <c r="C288" t="str">
        <f>IF($A288="","",games!$C288)</f>
        <v>Strategy</v>
      </c>
      <c r="D288">
        <f>IF($A288="","",COUNTIF(connections!$A$2:$A$1400,$A288)+COUNTIF(connections!$B$2:$B$1400,$A288))</f>
        <v>3</v>
      </c>
      <c r="E288">
        <f t="shared" si="52"/>
        <v>2</v>
      </c>
      <c r="F288">
        <f t="shared" si="53"/>
        <v>16</v>
      </c>
      <c r="G288" t="e">
        <f t="shared" si="54"/>
        <v>#N/A</v>
      </c>
      <c r="H288" t="e">
        <f t="shared" si="55"/>
        <v>#N/A</v>
      </c>
      <c r="I288">
        <f t="shared" si="56"/>
        <v>2022</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Freaky Awesome</v>
      </c>
      <c r="B289">
        <f>IF($A289="","",games!$B289)</f>
        <v>2017</v>
      </c>
      <c r="C289" t="str">
        <f>IF($A289="","",games!$C289)</f>
        <v>Action</v>
      </c>
      <c r="D289">
        <f>IF($A289="","",COUNTIF(connections!$A$2:$A$1400,$A289)+COUNTIF(connections!$B$2:$B$1400,$A289))</f>
        <v>1</v>
      </c>
      <c r="E289">
        <f t="shared" si="52"/>
        <v>1</v>
      </c>
      <c r="F289">
        <f t="shared" si="53"/>
        <v>17</v>
      </c>
      <c r="G289">
        <f t="shared" si="54"/>
        <v>2017</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From The Top</v>
      </c>
      <c r="B290">
        <f>IF($A290="","",games!$B290)</f>
        <v>2025</v>
      </c>
      <c r="C290" t="str">
        <f>IF($A290="","",games!$C290)</f>
        <v>Action</v>
      </c>
      <c r="D290">
        <f>IF($A290="","",COUNTIF(connections!$A$2:$A$1400,$A290)+COUNTIF(connections!$B$2:$B$1400,$A290))</f>
        <v>1</v>
      </c>
      <c r="E290">
        <f t="shared" si="52"/>
        <v>1</v>
      </c>
      <c r="F290">
        <f t="shared" si="53"/>
        <v>18</v>
      </c>
      <c r="G290">
        <f t="shared" si="54"/>
        <v>2025</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Frozen Depths</v>
      </c>
      <c r="B291">
        <f>IF($A291="","",games!$B291)</f>
        <v>2006</v>
      </c>
      <c r="C291" t="str">
        <f>IF($A291="","",games!$C291)</f>
        <v>Traditional</v>
      </c>
      <c r="D291">
        <f>IF($A291="","",COUNTIF(connections!$A$2:$A$1400,$A291)+COUNTIF(connections!$B$2:$B$1400,$A291))</f>
        <v>4</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2006</v>
      </c>
      <c r="N291">
        <f t="shared" si="61"/>
        <v>4.4370000000000003</v>
      </c>
      <c r="O291">
        <f t="shared" si="62"/>
        <v>4.0002909999999998</v>
      </c>
      <c r="P291" t="str">
        <f>IF(OR($A291="",games!$H291=""),"",games!$H291)</f>
        <v>Yes</v>
      </c>
      <c r="Q291">
        <f t="shared" si="63"/>
        <v>4.0002909999999998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FTL</v>
      </c>
      <c r="B292">
        <f>IF($A292="","",games!$B292)</f>
        <v>2012</v>
      </c>
      <c r="C292" t="str">
        <f>IF($A292="","",games!$C292)</f>
        <v>Strategy</v>
      </c>
      <c r="D292">
        <f>IF($A292="","",COUNTIF(connections!$A$2:$A$1400,$A292)+COUNTIF(connections!$B$2:$B$1400,$A292))</f>
        <v>38</v>
      </c>
      <c r="E292">
        <f t="shared" si="52"/>
        <v>2</v>
      </c>
      <c r="F292">
        <f t="shared" si="53"/>
        <v>20</v>
      </c>
      <c r="G292" t="e">
        <f t="shared" si="54"/>
        <v>#N/A</v>
      </c>
      <c r="H292" t="e">
        <f t="shared" si="55"/>
        <v>#N/A</v>
      </c>
      <c r="I292">
        <f t="shared" si="56"/>
        <v>2012</v>
      </c>
      <c r="J292">
        <f t="shared" si="57"/>
        <v>2.46</v>
      </c>
      <c r="K292" t="e">
        <f t="shared" si="58"/>
        <v>#N/A</v>
      </c>
      <c r="L292" t="e">
        <f t="shared" si="59"/>
        <v>#N/A</v>
      </c>
      <c r="M292" t="e">
        <f t="shared" si="60"/>
        <v>#N/A</v>
      </c>
      <c r="N292" t="e">
        <f t="shared" si="61"/>
        <v>#N/A</v>
      </c>
      <c r="O292">
        <f t="shared" si="62"/>
        <v>38.000292000000002</v>
      </c>
      <c r="P292" t="str">
        <f>IF(OR($A292="",games!$H292=""),"",games!$H292)</f>
        <v>Yes</v>
      </c>
      <c r="Q292">
        <f t="shared" si="63"/>
        <v>38.000292000000002</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Full Mojo Rampage</v>
      </c>
      <c r="B293">
        <f>IF($A293="","",games!$B293)</f>
        <v>2013</v>
      </c>
      <c r="C293" t="str">
        <f>IF($A293="","",games!$C293)</f>
        <v>Action</v>
      </c>
      <c r="D293">
        <f>IF($A293="","",COUNTIF(connections!$A$2:$A$1400,$A293)+COUNTIF(connections!$B$2:$B$1400,$A293))</f>
        <v>1</v>
      </c>
      <c r="E293">
        <f t="shared" si="52"/>
        <v>1</v>
      </c>
      <c r="F293">
        <f t="shared" si="53"/>
        <v>21</v>
      </c>
      <c r="G293">
        <f t="shared" si="54"/>
        <v>2013</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Fury Unleashed</v>
      </c>
      <c r="B294">
        <f>IF($A294="","",games!$B294)</f>
        <v>2020</v>
      </c>
      <c r="C294" t="str">
        <f>IF($A294="","",games!$C294)</f>
        <v>Action</v>
      </c>
      <c r="D294">
        <f>IF($A294="","",COUNTIF(connections!$A$2:$A$1400,$A294)+COUNTIF(connections!$B$2:$B$1400,$A294))</f>
        <v>2</v>
      </c>
      <c r="E294">
        <f t="shared" si="52"/>
        <v>1</v>
      </c>
      <c r="F294">
        <f t="shared" si="53"/>
        <v>22</v>
      </c>
      <c r="G294">
        <f t="shared" si="54"/>
        <v>2020</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Yes</v>
      </c>
      <c r="Q294">
        <f t="shared" si="63"/>
        <v>2.0002939999999998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Fushigi no Gensoukyou</v>
      </c>
      <c r="B295">
        <f>IF($A295="","",games!$B295)</f>
        <v>2010</v>
      </c>
      <c r="C295" t="str">
        <f>IF($A295="","",games!$C295)</f>
        <v>Traditional</v>
      </c>
      <c r="D295">
        <f>IF($A295="","",COUNTIF(connections!$A$2:$A$1400,$A295)+COUNTIF(connections!$B$2:$B$1400,$A295))</f>
        <v>5</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2010</v>
      </c>
      <c r="N295">
        <f t="shared" si="61"/>
        <v>4.5289999999999999</v>
      </c>
      <c r="O295">
        <f t="shared" si="62"/>
        <v>5.0002950000000004</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Fushigi no Gensoukyou 3</v>
      </c>
      <c r="B296">
        <f>IF($A296="","",games!$B296)</f>
        <v>2014</v>
      </c>
      <c r="C296" t="str">
        <f>IF($A296="","",games!$C296)</f>
        <v>Traditional</v>
      </c>
      <c r="D296">
        <f>IF($A296="","",COUNTIF(connections!$A$2:$A$1400,$A296)+COUNTIF(connections!$B$2:$B$1400,$A296))</f>
        <v>3</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2014</v>
      </c>
      <c r="N296">
        <f t="shared" si="61"/>
        <v>4.5519999999999996</v>
      </c>
      <c r="O296">
        <f t="shared" si="62"/>
        <v>3.0002960000000001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Galactic Glitch</v>
      </c>
      <c r="B297">
        <f>IF($A297="","",games!$B297)</f>
        <v>2024</v>
      </c>
      <c r="C297" t="str">
        <f>IF($A297="","",games!$C297)</f>
        <v>Action</v>
      </c>
      <c r="D297">
        <f>IF($A297="","",COUNTIF(connections!$A$2:$A$1400,$A297)+COUNTIF(connections!$B$2:$B$1400,$A297))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Gambonanza</v>
      </c>
      <c r="B298">
        <f>IF($A298="","",games!$B298)</f>
        <v>2026</v>
      </c>
      <c r="C298" t="str">
        <f>IF($A298="","",games!$C298)</f>
        <v>Deckbuilder</v>
      </c>
      <c r="D298">
        <f>IF($A298="","",COUNTIF(connections!$A$2:$A$1400,$A298)+COUNTIF(connections!$B$2:$B$1400,$A298))</f>
        <v>1</v>
      </c>
      <c r="E298">
        <f t="shared" si="52"/>
        <v>3</v>
      </c>
      <c r="F298">
        <f t="shared" si="53"/>
        <v>26</v>
      </c>
      <c r="G298" t="e">
        <f t="shared" si="54"/>
        <v>#N/A</v>
      </c>
      <c r="H298" t="e">
        <f t="shared" si="55"/>
        <v>#N/A</v>
      </c>
      <c r="I298" t="e">
        <f t="shared" si="56"/>
        <v>#N/A</v>
      </c>
      <c r="J298" t="e">
        <f t="shared" si="57"/>
        <v>#N/A</v>
      </c>
      <c r="K298">
        <f t="shared" si="58"/>
        <v>2026</v>
      </c>
      <c r="L298">
        <f t="shared" si="59"/>
        <v>3.5979999999999999</v>
      </c>
      <c r="M298" t="e">
        <f t="shared" si="60"/>
        <v>#N/A</v>
      </c>
      <c r="N298" t="e">
        <f t="shared" si="61"/>
        <v>#N/A</v>
      </c>
      <c r="O298">
        <f t="shared" si="62"/>
        <v>1.0002979999999999</v>
      </c>
      <c r="P298" t="str">
        <f>IF(OR($A298="",games!$H298=""),"",games!$H298)</f>
        <v/>
      </c>
      <c r="Q298" t="str">
        <f t="shared" si="63"/>
        <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Garden of Witches</v>
      </c>
      <c r="B299">
        <f>IF($A299="","",games!$B299)</f>
        <v>2025</v>
      </c>
      <c r="C299" t="str">
        <f>IF($A299="","",games!$C299)</f>
        <v>Action</v>
      </c>
      <c r="D299">
        <f>IF($A299="","",COUNTIF(connections!$A$2:$A$1400,$A299)+COUNTIF(connections!$B$2:$B$1400,$A299))</f>
        <v>2</v>
      </c>
      <c r="E299">
        <f t="shared" si="52"/>
        <v>1</v>
      </c>
      <c r="F299">
        <f t="shared" si="53"/>
        <v>27</v>
      </c>
      <c r="G299">
        <f t="shared" si="54"/>
        <v>2025</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
      </c>
      <c r="Q299" t="str">
        <f t="shared" si="63"/>
        <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Gatekeeper</v>
      </c>
      <c r="B300">
        <f>IF($A300="","",games!$B300)</f>
        <v>2024</v>
      </c>
      <c r="C300" t="str">
        <f>IF($A300="","",games!$C300)</f>
        <v>Action</v>
      </c>
      <c r="D300">
        <f>IF($A300="","",COUNTIF(connections!$A$2:$A$1400,$A300)+COUNTIF(connections!$B$2:$B$1400,$A300))</f>
        <v>1</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GearHead</v>
      </c>
      <c r="B301">
        <f>IF($A301="","",games!$B301)</f>
        <v>2002</v>
      </c>
      <c r="C301" t="str">
        <f>IF($A301="","",games!$C301)</f>
        <v>Traditional</v>
      </c>
      <c r="D301">
        <f>IF($A301="","",COUNTIF(connections!$A$2:$A$1400,$A301)+COUNTIF(connections!$B$2:$B$1400,$A301))</f>
        <v>2</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2002</v>
      </c>
      <c r="N301">
        <f t="shared" si="61"/>
        <v>4.6669999999999998</v>
      </c>
      <c r="O301">
        <f t="shared" si="62"/>
        <v>2.0003009999999999</v>
      </c>
      <c r="P301" t="str">
        <f>IF(OR($A301="",games!$H301=""),"",games!$H301)</f>
        <v>Yes</v>
      </c>
      <c r="Q301">
        <f t="shared" si="63"/>
        <v>2.0003009999999999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GearHead 2</v>
      </c>
      <c r="B302">
        <f>IF($A302="","",games!$B302)</f>
        <v>2007</v>
      </c>
      <c r="C302" t="str">
        <f>IF($A302="","",games!$C302)</f>
        <v>Traditional</v>
      </c>
      <c r="D302">
        <f>IF($A302="","",COUNTIF(connections!$A$2:$A$1400,$A302)+COUNTIF(connections!$B$2:$B$1400,$A302))</f>
        <v>2</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2007</v>
      </c>
      <c r="N302">
        <f t="shared" si="61"/>
        <v>4.6899999999999995</v>
      </c>
      <c r="O302">
        <f t="shared" si="62"/>
        <v>2.000302</v>
      </c>
      <c r="P302" t="str">
        <f>IF(OR($A302="",games!$H302=""),"",games!$H302)</f>
        <v>Yes</v>
      </c>
      <c r="Q302">
        <f t="shared" si="63"/>
        <v>2.000302</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GearHead Caramel</v>
      </c>
      <c r="B303">
        <f>IF($A303="","",games!$B303)</f>
        <v>2022</v>
      </c>
      <c r="C303" t="str">
        <f>IF($A303="","",games!$C303)</f>
        <v>Traditional</v>
      </c>
      <c r="D303">
        <f>IF($A303="","",COUNTIF(connections!$A$2:$A$1400,$A303)+COUNTIF(connections!$B$2:$B$1400,$A303))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2022</v>
      </c>
      <c r="N303">
        <f t="shared" si="61"/>
        <v>4.7130000000000001</v>
      </c>
      <c r="O303">
        <f t="shared" si="62"/>
        <v>3.0003030000000002</v>
      </c>
      <c r="P303" t="str">
        <f>IF(OR($A303="",games!$H303=""),"",games!$H303)</f>
        <v/>
      </c>
      <c r="Q303" t="str">
        <f t="shared" si="63"/>
        <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Genome Guardian</v>
      </c>
      <c r="B304">
        <f>IF($A304="","",games!$B304)</f>
        <v>2024</v>
      </c>
      <c r="C304" t="str">
        <f>IF($A304="","",games!$C304)</f>
        <v>Action</v>
      </c>
      <c r="D304">
        <f>IF($A304="","",COUNTIF(connections!$A$2:$A$1400,$A304)+COUNTIF(connections!$B$2:$B$1400,$A304))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Genome Guardian 2</v>
      </c>
      <c r="B305">
        <f>IF($A305="","",games!$B305)</f>
        <v>2026</v>
      </c>
      <c r="C305" t="str">
        <f>IF($A305="","",games!$C305)</f>
        <v>Action</v>
      </c>
      <c r="D305">
        <f>IF($A305="","",COUNTIF(connections!$A$2:$A$1400,$A305)+COUNTIF(connections!$B$2:$B$1400,$A305))</f>
        <v>1</v>
      </c>
      <c r="E305">
        <f t="shared" si="52"/>
        <v>1</v>
      </c>
      <c r="F305">
        <f t="shared" si="53"/>
        <v>33</v>
      </c>
      <c r="G305">
        <f t="shared" si="54"/>
        <v>2026</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Geometry Arena</v>
      </c>
      <c r="B306">
        <f>IF($A306="","",games!$B306)</f>
        <v>2020</v>
      </c>
      <c r="C306" t="str">
        <f>IF($A306="","",games!$C306)</f>
        <v>Action</v>
      </c>
      <c r="D306">
        <f>IF($A306="","",COUNTIF(connections!$A$2:$A$1400,$A306)+COUNTIF(connections!$B$2:$B$1400,$A306))</f>
        <v>1</v>
      </c>
      <c r="E306">
        <f t="shared" si="52"/>
        <v>1</v>
      </c>
      <c r="F306">
        <f t="shared" si="53"/>
        <v>0</v>
      </c>
      <c r="G306">
        <f t="shared" si="54"/>
        <v>2020</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Geometry Arena 2</v>
      </c>
      <c r="B307">
        <f>IF($A307="","",games!$B307)</f>
        <v>2023</v>
      </c>
      <c r="C307" t="str">
        <f>IF($A307="","",games!$C307)</f>
        <v>Action</v>
      </c>
      <c r="D307">
        <f>IF($A307="","",COUNTIF(connections!$A$2:$A$1400,$A307)+COUNTIF(connections!$B$2:$B$1400,$A307))</f>
        <v>1</v>
      </c>
      <c r="E307">
        <f t="shared" si="52"/>
        <v>1</v>
      </c>
      <c r="F307">
        <f t="shared" si="53"/>
        <v>1</v>
      </c>
      <c r="G307">
        <f t="shared" si="54"/>
        <v>2023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Glyphica: Typing Survival</v>
      </c>
      <c r="B308">
        <f>IF($A308="","",games!$B308)</f>
        <v>2024</v>
      </c>
      <c r="C308" t="str">
        <f>IF($A308="","",games!$C308)</f>
        <v>Action</v>
      </c>
      <c r="D308">
        <f>IF($A308="","",COUNTIF(connections!$A$2:$A$1400,$A308)+COUNTIF(connections!$B$2:$B$1400,$A308))</f>
        <v>1</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GnollHack</v>
      </c>
      <c r="B309">
        <f>IF($A309="","",games!$B309)</f>
        <v>2020</v>
      </c>
      <c r="C309" t="str">
        <f>IF($A309="","",games!$C309)</f>
        <v>Traditional</v>
      </c>
      <c r="D309">
        <f>IF($A309="","",COUNTIF(connections!$A$2:$A$1400,$A309)+COUNTIF(connections!$B$2:$B$1400,$A309))</f>
        <v>1</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2020</v>
      </c>
      <c r="N309">
        <f t="shared" si="61"/>
        <v>4.069</v>
      </c>
      <c r="O309">
        <f t="shared" si="62"/>
        <v>1.0003089999999999</v>
      </c>
      <c r="P309" t="str">
        <f>IF(OR($A309="",games!$H309=""),"",games!$H309)</f>
        <v>Yes</v>
      </c>
      <c r="Q309">
        <f t="shared" si="63"/>
        <v>1.0003089999999999</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Gnomes</v>
      </c>
      <c r="B310">
        <f>IF($A310="","",games!$B310)</f>
        <v>2025</v>
      </c>
      <c r="C310" t="str">
        <f>IF($A310="","",games!$C310)</f>
        <v>Strategy</v>
      </c>
      <c r="D310">
        <f>IF($A310="","",COUNTIF(connections!$A$2:$A$1400,$A310)+COUNTIF(connections!$B$2:$B$1400,$A310))</f>
        <v>0</v>
      </c>
      <c r="E310">
        <f t="shared" si="52"/>
        <v>2</v>
      </c>
      <c r="F310">
        <f t="shared" si="53"/>
        <v>4</v>
      </c>
      <c r="G310" t="e">
        <f t="shared" si="54"/>
        <v>#N/A</v>
      </c>
      <c r="H310" t="e">
        <f t="shared" si="55"/>
        <v>#N/A</v>
      </c>
      <c r="I310">
        <f t="shared" si="56"/>
        <v>2025</v>
      </c>
      <c r="J310">
        <f t="shared" si="57"/>
        <v>2.0920000000000001</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 Mecha Ball</v>
      </c>
      <c r="B311">
        <f>IF($A311="","",games!$B311)</f>
        <v>2024</v>
      </c>
      <c r="C311" t="str">
        <f>IF($A311="","",games!$C311)</f>
        <v>Action</v>
      </c>
      <c r="D311">
        <f>IF($A311="","",COUNTIF(connections!$A$2:$A$1400,$A311)+COUNTIF(connections!$B$2:$B$1400,$A311))</f>
        <v>0</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Goblin Sushi</v>
      </c>
      <c r="B312">
        <f>IF($A312="","",games!$B312)</f>
        <v>2026</v>
      </c>
      <c r="C312" t="str">
        <f>IF($A312="","",games!$C312)</f>
        <v>Deckbuilder</v>
      </c>
      <c r="D312">
        <f>IF($A312="","",COUNTIF(connections!$A$2:$A$1400,$A312)+COUNTIF(connections!$B$2:$B$1400,$A312))</f>
        <v>0</v>
      </c>
      <c r="E312">
        <f t="shared" si="52"/>
        <v>3</v>
      </c>
      <c r="F312">
        <f t="shared" si="53"/>
        <v>6</v>
      </c>
      <c r="G312" t="e">
        <f t="shared" si="54"/>
        <v>#N/A</v>
      </c>
      <c r="H312" t="e">
        <f t="shared" si="55"/>
        <v>#N/A</v>
      </c>
      <c r="I312" t="e">
        <f t="shared" si="56"/>
        <v>#N/A</v>
      </c>
      <c r="J312" t="e">
        <f t="shared" si="57"/>
        <v>#N/A</v>
      </c>
      <c r="K312">
        <f t="shared" si="58"/>
        <v>2026</v>
      </c>
      <c r="L312">
        <f t="shared" si="59"/>
        <v>3.1379999999999999</v>
      </c>
      <c r="M312" t="e">
        <f t="shared" si="60"/>
        <v>#N/A</v>
      </c>
      <c r="N312" t="e">
        <f t="shared" si="61"/>
        <v>#N/A</v>
      </c>
      <c r="O312">
        <f t="shared" si="62"/>
        <v>3.1199999999999999E-4</v>
      </c>
      <c r="P312" t="str">
        <f>IF(OR($A312="",games!$H312=""),"",games!$H312)</f>
        <v/>
      </c>
      <c r="Q312" t="str">
        <f t="shared" si="63"/>
        <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God of Weapons</v>
      </c>
      <c r="B313">
        <f>IF($A313="","",games!$B313)</f>
        <v>2023</v>
      </c>
      <c r="C313" t="str">
        <f>IF($A313="","",games!$C313)</f>
        <v>Action</v>
      </c>
      <c r="D313">
        <f>IF($A313="","",COUNTIF(connections!$A$2:$A$1400,$A313)+COUNTIF(connections!$B$2:$B$1400,$A313))</f>
        <v>1</v>
      </c>
      <c r="E313">
        <f t="shared" si="52"/>
        <v>1</v>
      </c>
      <c r="F313">
        <f t="shared" si="53"/>
        <v>7</v>
      </c>
      <c r="G313">
        <f t="shared" si="54"/>
        <v>2023</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Godbreakers</v>
      </c>
      <c r="B314">
        <f>IF($A314="","",games!$B314)</f>
        <v>2025</v>
      </c>
      <c r="C314" t="str">
        <f>IF($A314="","",games!$C314)</f>
        <v>Action</v>
      </c>
      <c r="D314">
        <f>IF($A314="","",COUNTIF(connections!$A$2:$A$1400,$A314)+COUNTIF(connections!$B$2:$B$1400,$A314))</f>
        <v>0</v>
      </c>
      <c r="E314">
        <f t="shared" si="52"/>
        <v>1</v>
      </c>
      <c r="F314">
        <f t="shared" si="53"/>
        <v>8</v>
      </c>
      <c r="G314">
        <f t="shared" si="54"/>
        <v>2025</v>
      </c>
      <c r="H314">
        <f t="shared" si="55"/>
        <v>1.1839999999999999</v>
      </c>
      <c r="I314" t="e">
        <f t="shared" si="56"/>
        <v>#N/A</v>
      </c>
      <c r="J314" t="e">
        <f t="shared" si="57"/>
        <v>#N/A</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Going Under</v>
      </c>
      <c r="B315">
        <f>IF($A315="","",games!$B315)</f>
        <v>2020</v>
      </c>
      <c r="C315" t="str">
        <f>IF($A315="","",games!$C315)</f>
        <v>Action</v>
      </c>
      <c r="D315">
        <f>IF($A315="","",COUNTIF(connections!$A$2:$A$1400,$A315)+COUNTIF(connections!$B$2:$B$1400,$A315))</f>
        <v>4</v>
      </c>
      <c r="E315">
        <f t="shared" si="52"/>
        <v>1</v>
      </c>
      <c r="F315">
        <f t="shared" si="53"/>
        <v>9</v>
      </c>
      <c r="G315">
        <f t="shared" si="54"/>
        <v>2020</v>
      </c>
      <c r="H315">
        <f t="shared" si="55"/>
        <v>1.2070000000000001</v>
      </c>
      <c r="I315" t="e">
        <f t="shared" si="56"/>
        <v>#N/A</v>
      </c>
      <c r="J315" t="e">
        <f t="shared" si="57"/>
        <v>#N/A</v>
      </c>
      <c r="K315" t="e">
        <f t="shared" si="58"/>
        <v>#N/A</v>
      </c>
      <c r="L315" t="e">
        <f t="shared" si="59"/>
        <v>#N/A</v>
      </c>
      <c r="M315" t="e">
        <f t="shared" si="60"/>
        <v>#N/A</v>
      </c>
      <c r="N315" t="e">
        <f t="shared" si="61"/>
        <v>#N/A</v>
      </c>
      <c r="O315">
        <f t="shared" si="62"/>
        <v>4.0003149999999996</v>
      </c>
      <c r="P315" t="str">
        <f>IF(OR($A315="",games!$H315=""),"",games!$H315)</f>
        <v>Yes</v>
      </c>
      <c r="Q315">
        <f t="shared" si="63"/>
        <v>4.0003149999999996</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Golden Krone Hotel</v>
      </c>
      <c r="B316">
        <f>IF($A316="","",games!$B316)</f>
        <v>2014</v>
      </c>
      <c r="C316" t="str">
        <f>IF($A316="","",games!$C316)</f>
        <v>Traditional</v>
      </c>
      <c r="D316">
        <f>IF($A316="","",COUNTIF(connections!$A$2:$A$1400,$A316)+COUNTIF(connections!$B$2:$B$1400,$A316))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2014</v>
      </c>
      <c r="N316">
        <f t="shared" si="61"/>
        <v>4.2300000000000004</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Golden Light</v>
      </c>
      <c r="B317">
        <f>IF($A317="","",games!$B317)</f>
        <v>2020</v>
      </c>
      <c r="C317" t="str">
        <f>IF($A317="","",games!$C317)</f>
        <v>Action</v>
      </c>
      <c r="D317">
        <f>IF($A317="","",COUNTIF(connections!$A$2:$A$1400,$A317)+COUNTIF(connections!$B$2:$B$1400,$A317))</f>
        <v>2</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2.0003169999999999</v>
      </c>
      <c r="P317" t="str">
        <f>IF(OR($A317="",games!$H317=""),"",games!$H317)</f>
        <v>Yes</v>
      </c>
      <c r="Q317">
        <f t="shared" si="63"/>
        <v>2.0003169999999999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Golfie</v>
      </c>
      <c r="B318">
        <f>IF($A318="","",games!$B318)</f>
        <v>2022</v>
      </c>
      <c r="C318" t="str">
        <f>IF($A318="","",games!$C318)</f>
        <v>Action</v>
      </c>
      <c r="D318">
        <f>IF($A318="","",COUNTIF(connections!$A$2:$A$1400,$A318)+COUNTIF(connections!$B$2:$B$1400,$A318))</f>
        <v>1</v>
      </c>
      <c r="E318">
        <f t="shared" si="52"/>
        <v>1</v>
      </c>
      <c r="F318">
        <f t="shared" si="53"/>
        <v>12</v>
      </c>
      <c r="G318">
        <f t="shared" si="54"/>
        <v>2022</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GoNNER</v>
      </c>
      <c r="B319">
        <f>IF($A319="","",games!$B319)</f>
        <v>2016</v>
      </c>
      <c r="C319" t="str">
        <f>IF($A319="","",games!$C319)</f>
        <v>Action</v>
      </c>
      <c r="D319">
        <f>IF($A319="","",COUNTIF(connections!$A$2:$A$1400,$A319)+COUNTIF(connections!$B$2:$B$1400,$A319))</f>
        <v>5</v>
      </c>
      <c r="E319">
        <f t="shared" si="52"/>
        <v>1</v>
      </c>
      <c r="F319">
        <f t="shared" si="53"/>
        <v>13</v>
      </c>
      <c r="G319">
        <f t="shared" si="54"/>
        <v>2016</v>
      </c>
      <c r="H319">
        <f t="shared" si="55"/>
        <v>1.2989999999999999</v>
      </c>
      <c r="I319" t="e">
        <f t="shared" si="56"/>
        <v>#N/A</v>
      </c>
      <c r="J319" t="e">
        <f t="shared" si="57"/>
        <v>#N/A</v>
      </c>
      <c r="K319" t="e">
        <f t="shared" si="58"/>
        <v>#N/A</v>
      </c>
      <c r="L319" t="e">
        <f t="shared" si="59"/>
        <v>#N/A</v>
      </c>
      <c r="M319" t="e">
        <f t="shared" si="60"/>
        <v>#N/A</v>
      </c>
      <c r="N319" t="e">
        <f t="shared" si="61"/>
        <v>#N/A</v>
      </c>
      <c r="O319">
        <f t="shared" si="62"/>
        <v>5.0003190000000002</v>
      </c>
      <c r="P319" t="str">
        <f>IF(OR($A319="",games!$H319=""),"",games!$H319)</f>
        <v>Yes</v>
      </c>
      <c r="Q319">
        <f t="shared" si="63"/>
        <v>5.0003190000000002</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GONNER2</v>
      </c>
      <c r="B320">
        <f>IF($A320="","",games!$B320)</f>
        <v>2020</v>
      </c>
      <c r="C320" t="str">
        <f>IF($A320="","",games!$C320)</f>
        <v>Action</v>
      </c>
      <c r="D320">
        <f>IF($A320="","",COUNTIF(connections!$A$2:$A$1400,$A320)+COUNTIF(connections!$B$2:$B$1400,$A320))</f>
        <v>1</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Goobies</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Gordian Quest</v>
      </c>
      <c r="B322">
        <f>IF($A322="","",games!$B322)</f>
        <v>2020</v>
      </c>
      <c r="C322" t="str">
        <f>IF($A322="","",games!$C322)</f>
        <v>Deckbuilder</v>
      </c>
      <c r="D322">
        <f>IF($A322="","",COUNTIF(connections!$A$2:$A$1400,$A322)+COUNTIF(connections!$B$2:$B$1400,$A322))</f>
        <v>1</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Granvir</v>
      </c>
      <c r="B323">
        <f>IF($A323="","",games!$B323)</f>
        <v>2025</v>
      </c>
      <c r="C323" t="str">
        <f>IF($A323="","",games!$C323)</f>
        <v>Action</v>
      </c>
      <c r="D323">
        <f>IF($A323="","",COUNTIF(connections!$A$2:$A$1400,$A323)+COUNTIF(connections!$B$2:$B$1400,$A323))</f>
        <v>0</v>
      </c>
      <c r="E323">
        <f t="shared" si="65"/>
        <v>1</v>
      </c>
      <c r="F323">
        <f t="shared" si="66"/>
        <v>17</v>
      </c>
      <c r="G323">
        <f t="shared" si="67"/>
        <v>2025</v>
      </c>
      <c r="H323">
        <f t="shared" si="68"/>
        <v>1.391</v>
      </c>
      <c r="I323" t="e">
        <f t="shared" si="69"/>
        <v>#N/A</v>
      </c>
      <c r="J323" t="e">
        <f t="shared" si="70"/>
        <v>#N/A</v>
      </c>
      <c r="K323" t="e">
        <f t="shared" si="71"/>
        <v>#N/A</v>
      </c>
      <c r="L323" t="e">
        <f t="shared" si="72"/>
        <v>#N/A</v>
      </c>
      <c r="M323" t="e">
        <f t="shared" si="73"/>
        <v>#N/A</v>
      </c>
      <c r="N323" t="e">
        <f t="shared" si="74"/>
        <v>#N/A</v>
      </c>
      <c r="O323">
        <f t="shared" si="75"/>
        <v>3.2299999999999999E-4</v>
      </c>
      <c r="P323" t="str">
        <f>IF(OR($A323="",games!$H323=""),"",games!$H323)</f>
        <v/>
      </c>
      <c r="Q323" t="str">
        <f t="shared" si="76"/>
        <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Greedland</v>
      </c>
      <c r="B324">
        <f>IF($A324="","",games!$B324)</f>
        <v>2023</v>
      </c>
      <c r="C324" t="str">
        <f>IF($A324="","",games!$C324)</f>
        <v>Action</v>
      </c>
      <c r="D324">
        <f>IF($A324="","",COUNTIF(connections!$A$2:$A$1400,$A324)+COUNTIF(connections!$B$2:$B$1400,$A324))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Griftlands</v>
      </c>
      <c r="B325">
        <f>IF($A325="","",games!$B325)</f>
        <v>2020</v>
      </c>
      <c r="C325" t="str">
        <f>IF($A325="","",games!$C325)</f>
        <v>Deckbuilder</v>
      </c>
      <c r="D325">
        <f>IF($A325="","",COUNTIF(connections!$A$2:$A$1400,$A325)+COUNTIF(connections!$B$2:$B$1400,$A325))</f>
        <v>2</v>
      </c>
      <c r="E325">
        <f t="shared" si="65"/>
        <v>3</v>
      </c>
      <c r="F325">
        <f t="shared" si="66"/>
        <v>19</v>
      </c>
      <c r="G325" t="e">
        <f t="shared" si="67"/>
        <v>#N/A</v>
      </c>
      <c r="H325" t="e">
        <f t="shared" si="68"/>
        <v>#N/A</v>
      </c>
      <c r="I325" t="e">
        <f t="shared" si="69"/>
        <v>#N/A</v>
      </c>
      <c r="J325" t="e">
        <f t="shared" si="70"/>
        <v>#N/A</v>
      </c>
      <c r="K325">
        <f t="shared" si="71"/>
        <v>2020</v>
      </c>
      <c r="L325">
        <f t="shared" si="72"/>
        <v>3.4369999999999998</v>
      </c>
      <c r="M325" t="e">
        <f t="shared" si="73"/>
        <v>#N/A</v>
      </c>
      <c r="N325" t="e">
        <f t="shared" si="74"/>
        <v>#N/A</v>
      </c>
      <c r="O325">
        <f t="shared" si="75"/>
        <v>2.0003250000000001</v>
      </c>
      <c r="P325" t="str">
        <f>IF(OR($A325="",games!$H325=""),"",games!$H325)</f>
        <v>Yes</v>
      </c>
      <c r="Q325">
        <f t="shared" si="76"/>
        <v>2.0003250000000001</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Guidus</v>
      </c>
      <c r="B326">
        <f>IF($A326="","",games!$B326)</f>
        <v>2021</v>
      </c>
      <c r="C326" t="str">
        <f>IF($A326="","",games!$C326)</f>
        <v>Action</v>
      </c>
      <c r="D326">
        <f>IF($A326="","",COUNTIF(connections!$A$2:$A$1400,$A326)+COUNTIF(connections!$B$2:$B$1400,$A326))</f>
        <v>2</v>
      </c>
      <c r="E326">
        <f t="shared" si="65"/>
        <v>1</v>
      </c>
      <c r="F326">
        <f t="shared" si="66"/>
        <v>20</v>
      </c>
      <c r="G326">
        <f t="shared" si="67"/>
        <v>2021</v>
      </c>
      <c r="H326">
        <f t="shared" si="68"/>
        <v>1.46</v>
      </c>
      <c r="I326" t="e">
        <f t="shared" si="69"/>
        <v>#N/A</v>
      </c>
      <c r="J326" t="e">
        <f t="shared" si="70"/>
        <v>#N/A</v>
      </c>
      <c r="K326" t="e">
        <f t="shared" si="71"/>
        <v>#N/A</v>
      </c>
      <c r="L326" t="e">
        <f t="shared" si="72"/>
        <v>#N/A</v>
      </c>
      <c r="M326" t="e">
        <f t="shared" si="73"/>
        <v>#N/A</v>
      </c>
      <c r="N326" t="e">
        <f t="shared" si="74"/>
        <v>#N/A</v>
      </c>
      <c r="O326">
        <f t="shared" si="75"/>
        <v>2.0003259999999998</v>
      </c>
      <c r="P326" t="str">
        <f>IF(OR($A326="",games!$H326=""),"",games!$H326)</f>
        <v>Yes</v>
      </c>
      <c r="Q326">
        <f t="shared" si="76"/>
        <v>2.0003259999999998</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Guidus Zero</v>
      </c>
      <c r="B327">
        <f>IF($A327="","",games!$B327)</f>
        <v>2024</v>
      </c>
      <c r="C327" t="str">
        <f>IF($A327="","",games!$C327)</f>
        <v>Action</v>
      </c>
      <c r="D327">
        <f>IF($A327="","",COUNTIF(connections!$A$2:$A$1400,$A327)+COUNTIF(connections!$B$2:$B$1400,$A327))</f>
        <v>1</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
      </c>
      <c r="Q327" t="str">
        <f t="shared" si="76"/>
        <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Guild of Dungeoneering</v>
      </c>
      <c r="B328">
        <f>IF($A328="","",games!$B328)</f>
        <v>2015</v>
      </c>
      <c r="C328" t="str">
        <f>IF($A328="","",games!$C328)</f>
        <v>Deckbuilder</v>
      </c>
      <c r="D328">
        <f>IF($A328="","",COUNTIF(connections!$A$2:$A$1400,$A328)+COUNTIF(connections!$B$2:$B$1400,$A328))</f>
        <v>1</v>
      </c>
      <c r="E328">
        <f t="shared" si="65"/>
        <v>3</v>
      </c>
      <c r="F328">
        <f t="shared" si="66"/>
        <v>22</v>
      </c>
      <c r="G328" t="e">
        <f t="shared" si="67"/>
        <v>#N/A</v>
      </c>
      <c r="H328" t="e">
        <f t="shared" si="68"/>
        <v>#N/A</v>
      </c>
      <c r="I328" t="e">
        <f t="shared" si="69"/>
        <v>#N/A</v>
      </c>
      <c r="J328" t="e">
        <f t="shared" si="70"/>
        <v>#N/A</v>
      </c>
      <c r="K328">
        <f t="shared" si="71"/>
        <v>2015</v>
      </c>
      <c r="L328">
        <f t="shared" si="72"/>
        <v>3.5060000000000002</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Gumballs &amp; Dungeons</v>
      </c>
      <c r="B329">
        <f>IF($A329="","",games!$B329)</f>
        <v>2017</v>
      </c>
      <c r="C329" t="str">
        <f>IF($A329="","",games!$C329)</f>
        <v>Strategy</v>
      </c>
      <c r="D329">
        <f>IF($A329="","",COUNTIF(connections!$A$2:$A$1400,$A329)+COUNTIF(connections!$B$2:$B$1400,$A329))</f>
        <v>0</v>
      </c>
      <c r="E329">
        <f t="shared" si="65"/>
        <v>2</v>
      </c>
      <c r="F329">
        <f t="shared" si="66"/>
        <v>23</v>
      </c>
      <c r="G329" t="e">
        <f t="shared" si="67"/>
        <v>#N/A</v>
      </c>
      <c r="H329" t="e">
        <f t="shared" si="68"/>
        <v>#N/A</v>
      </c>
      <c r="I329">
        <f t="shared" si="69"/>
        <v>2017</v>
      </c>
      <c r="J329">
        <f t="shared" si="70"/>
        <v>2.5289999999999999</v>
      </c>
      <c r="K329" t="e">
        <f t="shared" si="71"/>
        <v>#N/A</v>
      </c>
      <c r="L329" t="e">
        <f t="shared" si="72"/>
        <v>#N/A</v>
      </c>
      <c r="M329" t="e">
        <f t="shared" si="73"/>
        <v>#N/A</v>
      </c>
      <c r="N329" t="e">
        <f t="shared" si="74"/>
        <v>#N/A</v>
      </c>
      <c r="O329">
        <f t="shared" si="75"/>
        <v>3.2899999999999997E-4</v>
      </c>
      <c r="P329" t="str">
        <f>IF(OR($A329="",games!$H329=""),"",games!$H329)</f>
        <v>Yes</v>
      </c>
      <c r="Q329">
        <f t="shared" si="76"/>
        <v>3.2899999999999997E-4</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Gunfire Reborn</v>
      </c>
      <c r="B330">
        <f>IF($A330="","",games!$B330)</f>
        <v>2020</v>
      </c>
      <c r="C330" t="str">
        <f>IF($A330="","",games!$C330)</f>
        <v>Action</v>
      </c>
      <c r="D330">
        <f>IF($A330="","",COUNTIF(connections!$A$2:$A$1400,$A330)+COUNTIF(connections!$B$2:$B$1400,$A330))</f>
        <v>5</v>
      </c>
      <c r="E330">
        <f t="shared" si="65"/>
        <v>1</v>
      </c>
      <c r="F330">
        <f t="shared" si="66"/>
        <v>24</v>
      </c>
      <c r="G330">
        <f t="shared" si="67"/>
        <v>2020</v>
      </c>
      <c r="H330">
        <f t="shared" si="68"/>
        <v>1.552</v>
      </c>
      <c r="I330" t="e">
        <f t="shared" si="69"/>
        <v>#N/A</v>
      </c>
      <c r="J330" t="e">
        <f t="shared" si="70"/>
        <v>#N/A</v>
      </c>
      <c r="K330" t="e">
        <f t="shared" si="71"/>
        <v>#N/A</v>
      </c>
      <c r="L330" t="e">
        <f t="shared" si="72"/>
        <v>#N/A</v>
      </c>
      <c r="M330" t="e">
        <f t="shared" si="73"/>
        <v>#N/A</v>
      </c>
      <c r="N330" t="e">
        <f t="shared" si="74"/>
        <v>#N/A</v>
      </c>
      <c r="O330">
        <f t="shared" si="75"/>
        <v>5.0003299999999999</v>
      </c>
      <c r="P330" t="str">
        <f>IF(OR($A330="",games!$H330=""),"",games!$H330)</f>
        <v>Yes</v>
      </c>
      <c r="Q330">
        <f t="shared" si="76"/>
        <v>5.0003299999999999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Gunlocked</v>
      </c>
      <c r="B331">
        <f>IF($A331="","",games!$B331)</f>
        <v>2022</v>
      </c>
      <c r="C331" t="str">
        <f>IF($A331="","",games!$C331)</f>
        <v>Action</v>
      </c>
      <c r="D331">
        <f>IF($A331="","",COUNTIF(connections!$A$2:$A$1400,$A331)+COUNTIF(connections!$B$2:$B$1400,$A331))</f>
        <v>2</v>
      </c>
      <c r="E331">
        <f t="shared" si="65"/>
        <v>1</v>
      </c>
      <c r="F331">
        <f t="shared" si="66"/>
        <v>25</v>
      </c>
      <c r="G331">
        <f t="shared" si="67"/>
        <v>2022</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Gunlocked 2</v>
      </c>
      <c r="B332">
        <f>IF($A332="","",games!$B332)</f>
        <v>2025</v>
      </c>
      <c r="C332" t="str">
        <f>IF($A332="","",games!$C332)</f>
        <v>Action</v>
      </c>
      <c r="D332">
        <f>IF($A332="","",COUNTIF(connections!$A$2:$A$1400,$A332)+COUNTIF(connections!$B$2:$B$1400,$A332))</f>
        <v>1</v>
      </c>
      <c r="E332">
        <f t="shared" si="65"/>
        <v>1</v>
      </c>
      <c r="F332">
        <f t="shared" si="66"/>
        <v>26</v>
      </c>
      <c r="G332">
        <f t="shared" si="67"/>
        <v>2025</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Guntouchables</v>
      </c>
      <c r="B333">
        <f>IF($A333="","",games!$B333)</f>
        <v>2025</v>
      </c>
      <c r="C333" t="str">
        <f>IF($A333="","",games!$C333)</f>
        <v>Action</v>
      </c>
      <c r="D333">
        <f>IF($A333="","",COUNTIF(connections!$A$2:$A$1400,$A333)+COUNTIF(connections!$B$2:$B$1400,$A333))</f>
        <v>1</v>
      </c>
      <c r="E333">
        <f t="shared" si="65"/>
        <v>1</v>
      </c>
      <c r="F333">
        <f t="shared" si="66"/>
        <v>27</v>
      </c>
      <c r="G333">
        <f t="shared" si="67"/>
        <v>2025</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Hack</v>
      </c>
      <c r="B334">
        <f>IF($A334="","",games!$B334)</f>
        <v>1984</v>
      </c>
      <c r="C334" t="str">
        <f>IF($A334="","",games!$C334)</f>
        <v>Traditional</v>
      </c>
      <c r="D334">
        <f>IF($A334="","",COUNTIF(connections!$A$2:$A$1400,$A334)+COUNTIF(connections!$B$2:$B$1400,$A334))</f>
        <v>7</v>
      </c>
      <c r="E334">
        <f t="shared" si="65"/>
        <v>4</v>
      </c>
      <c r="F334">
        <f t="shared" si="66"/>
        <v>28</v>
      </c>
      <c r="G334" t="e">
        <f t="shared" si="67"/>
        <v>#N/A</v>
      </c>
      <c r="H334" t="e">
        <f t="shared" si="68"/>
        <v>#N/A</v>
      </c>
      <c r="I334" t="e">
        <f t="shared" si="69"/>
        <v>#N/A</v>
      </c>
      <c r="J334" t="e">
        <f t="shared" si="70"/>
        <v>#N/A</v>
      </c>
      <c r="K334" t="e">
        <f t="shared" si="71"/>
        <v>#N/A</v>
      </c>
      <c r="L334" t="e">
        <f t="shared" si="72"/>
        <v>#N/A</v>
      </c>
      <c r="M334">
        <f t="shared" si="73"/>
        <v>1984</v>
      </c>
      <c r="N334">
        <f t="shared" si="74"/>
        <v>4.6440000000000001</v>
      </c>
      <c r="O334">
        <f t="shared" si="75"/>
        <v>7.0003339999999996</v>
      </c>
      <c r="P334" t="str">
        <f>IF(OR($A334="",games!$H334=""),"",games!$H334)</f>
        <v>Yes</v>
      </c>
      <c r="Q334">
        <f t="shared" si="76"/>
        <v>7.0003339999999996</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Hack'EM</v>
      </c>
      <c r="B335">
        <f>IF($A335="","",games!$B335)</f>
        <v>2022</v>
      </c>
      <c r="C335" t="str">
        <f>IF($A335="","",games!$C335)</f>
        <v>Traditional</v>
      </c>
      <c r="D335">
        <f>IF($A335="","",COUNTIF(connections!$A$2:$A$1400,$A335)+COUNTIF(connections!$B$2:$B$1400,$A335))</f>
        <v>2</v>
      </c>
      <c r="E335">
        <f t="shared" si="65"/>
        <v>4</v>
      </c>
      <c r="F335">
        <f t="shared" si="66"/>
        <v>29</v>
      </c>
      <c r="G335" t="e">
        <f t="shared" si="67"/>
        <v>#N/A</v>
      </c>
      <c r="H335" t="e">
        <f t="shared" si="68"/>
        <v>#N/A</v>
      </c>
      <c r="I335" t="e">
        <f t="shared" si="69"/>
        <v>#N/A</v>
      </c>
      <c r="J335" t="e">
        <f t="shared" si="70"/>
        <v>#N/A</v>
      </c>
      <c r="K335" t="e">
        <f t="shared" si="71"/>
        <v>#N/A</v>
      </c>
      <c r="L335" t="e">
        <f t="shared" si="72"/>
        <v>#N/A</v>
      </c>
      <c r="M335">
        <f t="shared" si="73"/>
        <v>2022</v>
      </c>
      <c r="N335">
        <f t="shared" si="74"/>
        <v>4.6669999999999998</v>
      </c>
      <c r="O335">
        <f t="shared" si="75"/>
        <v>2.0003350000000002</v>
      </c>
      <c r="P335" t="str">
        <f>IF(OR($A335="",games!$H335=""),"",games!$H335)</f>
        <v>Yes</v>
      </c>
      <c r="Q335">
        <f t="shared" si="76"/>
        <v>2.0003350000000002</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Hadean Tactics</v>
      </c>
      <c r="B336">
        <f>IF($A336="","",games!$B336)</f>
        <v>2021</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2021</v>
      </c>
      <c r="L336">
        <f t="shared" si="72"/>
        <v>3.69</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Hades</v>
      </c>
      <c r="B337">
        <f>IF($A337="","",games!$B337)</f>
        <v>2019</v>
      </c>
      <c r="C337" t="str">
        <f>IF($A337="","",games!$C337)</f>
        <v>Action</v>
      </c>
      <c r="D337">
        <f>IF($A337="","",COUNTIF(connections!$A$2:$A$1400,$A337)+COUNTIF(connections!$B$2:$B$1400,$A337))</f>
        <v>48</v>
      </c>
      <c r="E337">
        <f t="shared" si="65"/>
        <v>1</v>
      </c>
      <c r="F337">
        <f t="shared" si="66"/>
        <v>31</v>
      </c>
      <c r="G337">
        <f t="shared" si="67"/>
        <v>2019</v>
      </c>
      <c r="H337">
        <f t="shared" si="68"/>
        <v>1.7130000000000001</v>
      </c>
      <c r="I337" t="e">
        <f t="shared" si="69"/>
        <v>#N/A</v>
      </c>
      <c r="J337" t="e">
        <f t="shared" si="70"/>
        <v>#N/A</v>
      </c>
      <c r="K337" t="e">
        <f t="shared" si="71"/>
        <v>#N/A</v>
      </c>
      <c r="L337" t="e">
        <f t="shared" si="72"/>
        <v>#N/A</v>
      </c>
      <c r="M337" t="e">
        <f t="shared" si="73"/>
        <v>#N/A</v>
      </c>
      <c r="N337" t="e">
        <f t="shared" si="74"/>
        <v>#N/A</v>
      </c>
      <c r="O337">
        <f t="shared" si="75"/>
        <v>48.000337000000002</v>
      </c>
      <c r="P337" t="str">
        <f>IF(OR($A337="",games!$H337=""),"",games!$H337)</f>
        <v>Yes</v>
      </c>
      <c r="Q337">
        <f t="shared" si="76"/>
        <v>48.000337000000002</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Hades II</v>
      </c>
      <c r="B338">
        <f>IF($A338="","",games!$B338)</f>
        <v>2024</v>
      </c>
      <c r="C338" t="str">
        <f>IF($A338="","",games!$C338)</f>
        <v>Action</v>
      </c>
      <c r="D338">
        <f>IF($A338="","",COUNTIF(connections!$A$2:$A$1400,$A338)+COUNTIF(connections!$B$2:$B$1400,$A338))</f>
        <v>1</v>
      </c>
      <c r="E338">
        <f t="shared" si="65"/>
        <v>1</v>
      </c>
      <c r="F338">
        <f t="shared" si="66"/>
        <v>32</v>
      </c>
      <c r="G338">
        <f t="shared" si="67"/>
        <v>2024</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Halls of Torment</v>
      </c>
      <c r="B339">
        <f>IF($A339="","",games!$B339)</f>
        <v>2023</v>
      </c>
      <c r="C339" t="str">
        <f>IF($A339="","",games!$C339)</f>
        <v>Action</v>
      </c>
      <c r="D339">
        <f>IF($A339="","",COUNTIF(connections!$A$2:$A$1400,$A339)+COUNTIF(connections!$B$2:$B$1400,$A339))</f>
        <v>5</v>
      </c>
      <c r="E339">
        <f t="shared" si="65"/>
        <v>1</v>
      </c>
      <c r="F339">
        <f t="shared" si="66"/>
        <v>33</v>
      </c>
      <c r="G339">
        <f t="shared" si="67"/>
        <v>2023</v>
      </c>
      <c r="H339">
        <f t="shared" si="68"/>
        <v>1.7589999999999999</v>
      </c>
      <c r="I339" t="e">
        <f t="shared" si="69"/>
        <v>#N/A</v>
      </c>
      <c r="J339" t="e">
        <f t="shared" si="70"/>
        <v>#N/A</v>
      </c>
      <c r="K339" t="e">
        <f t="shared" si="71"/>
        <v>#N/A</v>
      </c>
      <c r="L339" t="e">
        <f t="shared" si="72"/>
        <v>#N/A</v>
      </c>
      <c r="M339" t="e">
        <f t="shared" si="73"/>
        <v>#N/A</v>
      </c>
      <c r="N339" t="e">
        <f t="shared" si="74"/>
        <v>#N/A</v>
      </c>
      <c r="O339">
        <f t="shared" si="75"/>
        <v>5.0003390000000003</v>
      </c>
      <c r="P339" t="str">
        <f>IF(OR($A339="",games!$H339=""),"",games!$H339)</f>
        <v>Yes</v>
      </c>
      <c r="Q339">
        <f t="shared" si="76"/>
        <v>5.0003390000000003</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Hand of Fate</v>
      </c>
      <c r="B340">
        <f>IF($A340="","",games!$B340)</f>
        <v>2014</v>
      </c>
      <c r="C340" t="str">
        <f>IF($A340="","",games!$C340)</f>
        <v>Deckbuilder</v>
      </c>
      <c r="D340">
        <f>IF($A340="","",COUNTIF(connections!$A$2:$A$1400,$A340)+COUNTIF(connections!$B$2:$B$1400,$A340))</f>
        <v>4</v>
      </c>
      <c r="E340">
        <f t="shared" si="65"/>
        <v>3</v>
      </c>
      <c r="F340">
        <f t="shared" si="66"/>
        <v>0</v>
      </c>
      <c r="G340" t="e">
        <f t="shared" si="67"/>
        <v>#N/A</v>
      </c>
      <c r="H340" t="e">
        <f t="shared" si="68"/>
        <v>#N/A</v>
      </c>
      <c r="I340" t="e">
        <f t="shared" si="69"/>
        <v>#N/A</v>
      </c>
      <c r="J340" t="e">
        <f t="shared" si="70"/>
        <v>#N/A</v>
      </c>
      <c r="K340">
        <f t="shared" si="71"/>
        <v>2014</v>
      </c>
      <c r="L340">
        <f t="shared" si="72"/>
        <v>3</v>
      </c>
      <c r="M340" t="e">
        <f t="shared" si="73"/>
        <v>#N/A</v>
      </c>
      <c r="N340" t="e">
        <f t="shared" si="74"/>
        <v>#N/A</v>
      </c>
      <c r="O340">
        <f t="shared" si="75"/>
        <v>4.0003399999999996</v>
      </c>
      <c r="P340" t="str">
        <f>IF(OR($A340="",games!$H340=""),"",games!$H340)</f>
        <v>Yes</v>
      </c>
      <c r="Q340">
        <f t="shared" si="76"/>
        <v>4.0003399999999996</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Hand of Fate 2</v>
      </c>
      <c r="B341">
        <f>IF($A341="","",games!$B341)</f>
        <v>2017</v>
      </c>
      <c r="C341" t="str">
        <f>IF($A341="","",games!$C341)</f>
        <v>Deckbuilder</v>
      </c>
      <c r="D341">
        <f>IF($A341="","",COUNTIF(connections!$A$2:$A$1400,$A341)+COUNTIF(connections!$B$2:$B$1400,$A341))</f>
        <v>1</v>
      </c>
      <c r="E341">
        <f t="shared" si="65"/>
        <v>3</v>
      </c>
      <c r="F341">
        <f t="shared" si="66"/>
        <v>1</v>
      </c>
      <c r="G341" t="e">
        <f t="shared" si="67"/>
        <v>#N/A</v>
      </c>
      <c r="H341" t="e">
        <f t="shared" si="68"/>
        <v>#N/A</v>
      </c>
      <c r="I341" t="e">
        <f t="shared" si="69"/>
        <v>#N/A</v>
      </c>
      <c r="J341" t="e">
        <f t="shared" si="70"/>
        <v>#N/A</v>
      </c>
      <c r="K341">
        <f t="shared" si="71"/>
        <v>2017</v>
      </c>
      <c r="L341">
        <f t="shared" si="72"/>
        <v>3.0230000000000001</v>
      </c>
      <c r="M341" t="e">
        <f t="shared" si="73"/>
        <v>#N/A</v>
      </c>
      <c r="N341" t="e">
        <f t="shared" si="74"/>
        <v>#N/A</v>
      </c>
      <c r="O341">
        <f t="shared" si="75"/>
        <v>1.0003409999999999</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Hand of Fate: Hordes</v>
      </c>
      <c r="B342">
        <f>IF($A342="","",games!$B342)</f>
        <v>2026</v>
      </c>
      <c r="C342" t="str">
        <f>IF($A342="","",games!$C342)</f>
        <v>Action</v>
      </c>
      <c r="D342">
        <f>IF($A342="","",COUNTIF(connections!$A$2:$A$1400,$A342)+COUNTIF(connections!$B$2:$B$1400,$A342))</f>
        <v>2</v>
      </c>
      <c r="E342">
        <f t="shared" si="65"/>
        <v>1</v>
      </c>
      <c r="F342">
        <f t="shared" si="66"/>
        <v>2</v>
      </c>
      <c r="G342">
        <f t="shared" si="67"/>
        <v>2026</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Handmancers</v>
      </c>
      <c r="B343">
        <f>IF($A343="","",games!$B343)</f>
        <v>2026</v>
      </c>
      <c r="C343" t="str">
        <f>IF($A343="","",games!$C343)</f>
        <v>Deckbuilder</v>
      </c>
      <c r="D343">
        <f>IF($A343="","",COUNTIF(connections!$A$2:$A$1400,$A343)+COUNTIF(connections!$B$2:$B$1400,$A343))</f>
        <v>0</v>
      </c>
      <c r="E343">
        <f t="shared" si="65"/>
        <v>3</v>
      </c>
      <c r="F343">
        <f t="shared" si="66"/>
        <v>3</v>
      </c>
      <c r="G343" t="e">
        <f t="shared" si="67"/>
        <v>#N/A</v>
      </c>
      <c r="H343" t="e">
        <f t="shared" si="68"/>
        <v>#N/A</v>
      </c>
      <c r="I343" t="e">
        <f t="shared" si="69"/>
        <v>#N/A</v>
      </c>
      <c r="J343" t="e">
        <f t="shared" si="70"/>
        <v>#N/A</v>
      </c>
      <c r="K343">
        <f t="shared" si="71"/>
        <v>2026</v>
      </c>
      <c r="L343">
        <f t="shared" si="72"/>
        <v>3.069</v>
      </c>
      <c r="M343" t="e">
        <f t="shared" si="73"/>
        <v>#N/A</v>
      </c>
      <c r="N343" t="e">
        <f t="shared" si="74"/>
        <v>#N/A</v>
      </c>
      <c r="O343">
        <f t="shared" si="75"/>
        <v>3.4299999999999999E-4</v>
      </c>
      <c r="P343" t="str">
        <f>IF(OR($A343="",games!$H343=""),"",games!$H343)</f>
        <v/>
      </c>
      <c r="Q343" t="str">
        <f t="shared" si="76"/>
        <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Hangtime!</v>
      </c>
      <c r="B344">
        <f>IF($A344="","",games!$B344)</f>
        <v>2025</v>
      </c>
      <c r="C344" t="str">
        <f>IF($A344="","",games!$C344)</f>
        <v>Action</v>
      </c>
      <c r="D344">
        <f>IF($A344="","",COUNTIF(connections!$A$2:$A$1400,$A344)+COUNTIF(connections!$B$2:$B$1400,$A344))</f>
        <v>0</v>
      </c>
      <c r="E344">
        <f t="shared" si="65"/>
        <v>1</v>
      </c>
      <c r="F344">
        <f t="shared" si="66"/>
        <v>4</v>
      </c>
      <c r="G344">
        <f t="shared" si="67"/>
        <v>2025</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Haque</v>
      </c>
      <c r="B345">
        <f>IF($A345="","",games!$B345)</f>
        <v>2017</v>
      </c>
      <c r="C345" t="str">
        <f>IF($A345="","",games!$C345)</f>
        <v>Traditional</v>
      </c>
      <c r="D345">
        <f>IF($A345="","",COUNTIF(connections!$A$2:$A$1400,$A345)+COUNTIF(connections!$B$2:$B$1400,$A345))</f>
        <v>4</v>
      </c>
      <c r="E345">
        <f t="shared" si="65"/>
        <v>4</v>
      </c>
      <c r="F345">
        <f t="shared" si="66"/>
        <v>5</v>
      </c>
      <c r="G345" t="e">
        <f t="shared" si="67"/>
        <v>#N/A</v>
      </c>
      <c r="H345" t="e">
        <f t="shared" si="68"/>
        <v>#N/A</v>
      </c>
      <c r="I345" t="e">
        <f t="shared" si="69"/>
        <v>#N/A</v>
      </c>
      <c r="J345" t="e">
        <f t="shared" si="70"/>
        <v>#N/A</v>
      </c>
      <c r="K345" t="e">
        <f t="shared" si="71"/>
        <v>#N/A</v>
      </c>
      <c r="L345" t="e">
        <f t="shared" si="72"/>
        <v>#N/A</v>
      </c>
      <c r="M345">
        <f t="shared" si="73"/>
        <v>2017</v>
      </c>
      <c r="N345">
        <f t="shared" si="74"/>
        <v>4.1150000000000002</v>
      </c>
      <c r="O345">
        <f t="shared" si="75"/>
        <v>4.0003450000000003</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Has-Been Heroes</v>
      </c>
      <c r="B346">
        <f>IF($A346="","",games!$B346)</f>
        <v>2017</v>
      </c>
      <c r="C346" t="str">
        <f>IF($A346="","",games!$C346)</f>
        <v>Action</v>
      </c>
      <c r="D346">
        <f>IF($A346="","",COUNTIF(connections!$A$2:$A$1400,$A346)+COUNTIF(connections!$B$2:$B$1400,$A346))</f>
        <v>2</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Haste</v>
      </c>
      <c r="B347">
        <f>IF($A347="","",games!$B347)</f>
        <v>2025</v>
      </c>
      <c r="C347" t="str">
        <f>IF($A347="","",games!$C347)</f>
        <v>Action</v>
      </c>
      <c r="D347">
        <f>IF($A347="","",COUNTIF(connections!$A$2:$A$1400,$A347)+COUNTIF(connections!$B$2:$B$1400,$A347))</f>
        <v>0</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Have a Nice Death</v>
      </c>
      <c r="B348">
        <f>IF($A348="","",games!$B348)</f>
        <v>2022</v>
      </c>
      <c r="C348" t="str">
        <f>IF($A348="","",games!$C348)</f>
        <v>Action</v>
      </c>
      <c r="D348">
        <f>IF($A348="","",COUNTIF(connections!$A$2:$A$1400,$A348)+COUNTIF(connections!$B$2:$B$1400,$A348))</f>
        <v>1</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 is Coming</v>
      </c>
      <c r="B349">
        <f>IF($A349="","",games!$B349)</f>
        <v>2025</v>
      </c>
      <c r="C349" t="str">
        <f>IF($A349="","",games!$C349)</f>
        <v>Deckbuilder</v>
      </c>
      <c r="D349">
        <f>IF($A349="","",COUNTIF(connections!$A$2:$A$1400,$A349)+COUNTIF(connections!$B$2:$B$1400,$A349))</f>
        <v>1</v>
      </c>
      <c r="E349">
        <f t="shared" si="65"/>
        <v>3</v>
      </c>
      <c r="F349">
        <f t="shared" si="66"/>
        <v>9</v>
      </c>
      <c r="G349" t="e">
        <f t="shared" si="67"/>
        <v>#N/A</v>
      </c>
      <c r="H349" t="e">
        <f t="shared" si="68"/>
        <v>#N/A</v>
      </c>
      <c r="I349" t="e">
        <f t="shared" si="69"/>
        <v>#N/A</v>
      </c>
      <c r="J349" t="e">
        <f t="shared" si="70"/>
        <v>#N/A</v>
      </c>
      <c r="K349">
        <f t="shared" si="71"/>
        <v>2025</v>
      </c>
      <c r="L349">
        <f t="shared" si="72"/>
        <v>3.2069999999999999</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Heading Out</v>
      </c>
      <c r="B350">
        <f>IF($A350="","",games!$B350)</f>
        <v>2023</v>
      </c>
      <c r="C350" t="str">
        <f>IF($A350="","",games!$C350)</f>
        <v>Action</v>
      </c>
      <c r="D350">
        <f>IF($A350="","",COUNTIF(connections!$A$2:$A$1400,$A350)+COUNTIF(connections!$B$2:$B$1400,$A350))</f>
        <v>0</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3.5E-4</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Heat Signature</v>
      </c>
      <c r="B351">
        <f>IF($A351="","",games!$B351)</f>
        <v>2017</v>
      </c>
      <c r="C351" t="str">
        <f>IF($A351="","",games!$C351)</f>
        <v>Action</v>
      </c>
      <c r="D351">
        <f>IF($A351="","",COUNTIF(connections!$A$2:$A$1400,$A351)+COUNTIF(connections!$B$2:$B$1400,$A351))</f>
        <v>0</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Heavy Bullets</v>
      </c>
      <c r="B352">
        <f>IF($A352="","",games!$B352)</f>
        <v>2014</v>
      </c>
      <c r="C352" t="str">
        <f>IF($A352="","",games!$C352)</f>
        <v>Action</v>
      </c>
      <c r="D352">
        <f>IF($A352="","",COUNTIF(connections!$A$2:$A$1400,$A352)+COUNTIF(connections!$B$2:$B$1400,$A352))</f>
        <v>0</v>
      </c>
      <c r="E352">
        <f t="shared" si="65"/>
        <v>1</v>
      </c>
      <c r="F352">
        <f t="shared" si="66"/>
        <v>12</v>
      </c>
      <c r="G352">
        <f t="shared" si="67"/>
        <v>2014</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Hell Clock</v>
      </c>
      <c r="B353">
        <f>IF($A353="","",games!$B353)</f>
        <v>2025</v>
      </c>
      <c r="C353" t="str">
        <f>IF($A353="","",games!$C353)</f>
        <v>Action</v>
      </c>
      <c r="D353">
        <f>IF($A353="","",COUNTIF(connections!$A$2:$A$1400,$A353)+COUNTIF(connections!$B$2:$B$1400,$A353))</f>
        <v>3</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Hell Maiden</v>
      </c>
      <c r="B354">
        <f>IF($A354="","",games!$B354)</f>
        <v>2026</v>
      </c>
      <c r="C354" t="str">
        <f>IF($A354="","",games!$C354)</f>
        <v>Action</v>
      </c>
      <c r="D354">
        <f>IF($A354="","",COUNTIF(connections!$A$2:$A$1400,$A354)+COUNTIF(connections!$B$2:$B$1400,$A354))</f>
        <v>4</v>
      </c>
      <c r="E354">
        <f t="shared" si="65"/>
        <v>1</v>
      </c>
      <c r="F354">
        <f t="shared" si="66"/>
        <v>14</v>
      </c>
      <c r="G354">
        <f t="shared" si="67"/>
        <v>2026</v>
      </c>
      <c r="H354">
        <f t="shared" si="68"/>
        <v>1.3220000000000001</v>
      </c>
      <c r="I354" t="e">
        <f t="shared" si="69"/>
        <v>#N/A</v>
      </c>
      <c r="J354" t="e">
        <f t="shared" si="70"/>
        <v>#N/A</v>
      </c>
      <c r="K354" t="e">
        <f t="shared" si="71"/>
        <v>#N/A</v>
      </c>
      <c r="L354" t="e">
        <f t="shared" si="72"/>
        <v>#N/A</v>
      </c>
      <c r="M354" t="e">
        <f t="shared" si="73"/>
        <v>#N/A</v>
      </c>
      <c r="N354" t="e">
        <f t="shared" si="74"/>
        <v>#N/A</v>
      </c>
      <c r="O354">
        <f t="shared" si="75"/>
        <v>4.0003539999999997</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Hellboy Web of Wyrd</v>
      </c>
      <c r="B355">
        <f>IF($A355="","",games!$B355)</f>
        <v>2023</v>
      </c>
      <c r="C355" t="str">
        <f>IF($A355="","",games!$C355)</f>
        <v>Action</v>
      </c>
      <c r="D355">
        <f>IF($A355="","",COUNTIF(connections!$A$2:$A$1400,$A355)+COUNTIF(connections!$B$2:$B$1400,$A355))</f>
        <v>1</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Hellcard</v>
      </c>
      <c r="B356">
        <f>IF($A356="","",games!$B356)</f>
        <v>2023</v>
      </c>
      <c r="C356" t="str">
        <f>IF($A356="","",games!$C356)</f>
        <v>Deckbuilder</v>
      </c>
      <c r="D356">
        <f>IF($A356="","",COUNTIF(connections!$A$2:$A$1400,$A356)+COUNTIF(connections!$B$2:$B$1400,$A356))</f>
        <v>2</v>
      </c>
      <c r="E356">
        <f t="shared" si="65"/>
        <v>3</v>
      </c>
      <c r="F356">
        <f t="shared" si="66"/>
        <v>16</v>
      </c>
      <c r="G356" t="e">
        <f t="shared" si="67"/>
        <v>#N/A</v>
      </c>
      <c r="H356" t="e">
        <f t="shared" si="68"/>
        <v>#N/A</v>
      </c>
      <c r="I356" t="e">
        <f t="shared" si="69"/>
        <v>#N/A</v>
      </c>
      <c r="J356" t="e">
        <f t="shared" si="70"/>
        <v>#N/A</v>
      </c>
      <c r="K356">
        <f t="shared" si="71"/>
        <v>2023</v>
      </c>
      <c r="L356">
        <f t="shared" si="72"/>
        <v>3.3679999999999999</v>
      </c>
      <c r="M356" t="e">
        <f t="shared" si="73"/>
        <v>#N/A</v>
      </c>
      <c r="N356" t="e">
        <f t="shared" si="74"/>
        <v>#N/A</v>
      </c>
      <c r="O356">
        <f t="shared" si="75"/>
        <v>2.000356</v>
      </c>
      <c r="P356" t="str">
        <f>IF(OR($A356="",games!$H356=""),"",games!$H356)</f>
        <v>Yes</v>
      </c>
      <c r="Q356">
        <f t="shared" si="76"/>
        <v>2.000356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Helskate</v>
      </c>
      <c r="B357">
        <f>IF($A357="","",games!$B357)</f>
        <v>2025</v>
      </c>
      <c r="C357" t="str">
        <f>IF($A357="","",games!$C357)</f>
        <v>Action</v>
      </c>
      <c r="D357">
        <f>IF($A357="","",COUNTIF(connections!$A$2:$A$1400,$A357)+COUNTIF(connections!$B$2:$B$1400,$A357))</f>
        <v>1</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Heretic's Fork</v>
      </c>
      <c r="B358">
        <f>IF($A358="","",games!$B358)</f>
        <v>2023</v>
      </c>
      <c r="C358" t="str">
        <f>IF($A358="","",games!$C358)</f>
        <v>Action</v>
      </c>
      <c r="D358">
        <f>IF($A358="","",COUNTIF(connections!$A$2:$A$1400,$A358)+COUNTIF(connections!$B$2:$B$1400,$A358))</f>
        <v>2</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Yes</v>
      </c>
      <c r="Q358">
        <f t="shared" si="76"/>
        <v>2.0003579999999999</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Heroes of Hammerwatch</v>
      </c>
      <c r="B359">
        <f>IF($A359="","",games!$B359)</f>
        <v>2018</v>
      </c>
      <c r="C359" t="str">
        <f>IF($A359="","",games!$C359)</f>
        <v>Action</v>
      </c>
      <c r="D359">
        <f>IF($A359="","",COUNTIF(connections!$A$2:$A$1400,$A359)+COUNTIF(connections!$B$2:$B$1400,$A359))</f>
        <v>3</v>
      </c>
      <c r="E359">
        <f t="shared" si="65"/>
        <v>1</v>
      </c>
      <c r="F359">
        <f t="shared" si="66"/>
        <v>19</v>
      </c>
      <c r="G359">
        <f t="shared" si="67"/>
        <v>2018</v>
      </c>
      <c r="H359">
        <f t="shared" si="68"/>
        <v>1.4370000000000001</v>
      </c>
      <c r="I359" t="e">
        <f t="shared" si="69"/>
        <v>#N/A</v>
      </c>
      <c r="J359" t="e">
        <f t="shared" si="70"/>
        <v>#N/A</v>
      </c>
      <c r="K359" t="e">
        <f t="shared" si="71"/>
        <v>#N/A</v>
      </c>
      <c r="L359" t="e">
        <f t="shared" si="72"/>
        <v>#N/A</v>
      </c>
      <c r="M359" t="e">
        <f t="shared" si="73"/>
        <v>#N/A</v>
      </c>
      <c r="N359" t="e">
        <f t="shared" si="74"/>
        <v>#N/A</v>
      </c>
      <c r="O359">
        <f t="shared" si="75"/>
        <v>3.000359</v>
      </c>
      <c r="P359" t="str">
        <f>IF(OR($A359="",games!$H359=""),"",games!$H359)</f>
        <v>Yes</v>
      </c>
      <c r="Q359">
        <f t="shared" si="76"/>
        <v>3.000359</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Heroes of Hammerwatch II</v>
      </c>
      <c r="B360">
        <f>IF($A360="","",games!$B360)</f>
        <v>2025</v>
      </c>
      <c r="C360" t="str">
        <f>IF($A360="","",games!$C360)</f>
        <v>Action</v>
      </c>
      <c r="D360">
        <f>IF($A360="","",COUNTIF(connections!$A$2:$A$1400,$A360)+COUNTIF(connections!$B$2:$B$1400,$A360))</f>
        <v>1</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Yes</v>
      </c>
      <c r="Q360">
        <f t="shared" si="76"/>
        <v>1.0003599999999999</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Hexagod</v>
      </c>
      <c r="B361">
        <f>IF($A361="","",games!$B361)</f>
        <v>2025</v>
      </c>
      <c r="C361" t="str">
        <f>IF($A361="","",games!$C361)</f>
        <v>Strategy</v>
      </c>
      <c r="D361">
        <f>IF($A361="","",COUNTIF(connections!$A$2:$A$1400,$A361)+COUNTIF(connections!$B$2:$B$1400,$A361))</f>
        <v>1</v>
      </c>
      <c r="E361">
        <f t="shared" si="65"/>
        <v>2</v>
      </c>
      <c r="F361">
        <f t="shared" si="66"/>
        <v>21</v>
      </c>
      <c r="G361" t="e">
        <f t="shared" si="67"/>
        <v>#N/A</v>
      </c>
      <c r="H361" t="e">
        <f t="shared" si="68"/>
        <v>#N/A</v>
      </c>
      <c r="I361">
        <f t="shared" si="69"/>
        <v>2025</v>
      </c>
      <c r="J361">
        <f t="shared" si="70"/>
        <v>2.4830000000000001</v>
      </c>
      <c r="K361" t="e">
        <f t="shared" si="71"/>
        <v>#N/A</v>
      </c>
      <c r="L361" t="e">
        <f t="shared" si="72"/>
        <v>#N/A</v>
      </c>
      <c r="M361" t="e">
        <f t="shared" si="73"/>
        <v>#N/A</v>
      </c>
      <c r="N361" t="e">
        <f t="shared" si="74"/>
        <v>#N/A</v>
      </c>
      <c r="O361">
        <f t="shared" si="75"/>
        <v>1.0003610000000001</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Hive Blight</v>
      </c>
      <c r="B362">
        <f>IF($A362="","",games!$B362)</f>
        <v>2026</v>
      </c>
      <c r="C362" t="str">
        <f>IF($A362="","",games!$C362)</f>
        <v>Strategy</v>
      </c>
      <c r="D362">
        <f>IF($A362="","",COUNTIF(connections!$A$2:$A$1400,$A362)+COUNTIF(connections!$B$2:$B$1400,$A362))</f>
        <v>2</v>
      </c>
      <c r="E362">
        <f t="shared" si="65"/>
        <v>2</v>
      </c>
      <c r="F362">
        <f t="shared" si="66"/>
        <v>22</v>
      </c>
      <c r="G362" t="e">
        <f t="shared" si="67"/>
        <v>#N/A</v>
      </c>
      <c r="H362" t="e">
        <f t="shared" si="68"/>
        <v>#N/A</v>
      </c>
      <c r="I362">
        <f t="shared" si="69"/>
        <v>2026</v>
      </c>
      <c r="J362">
        <f t="shared" si="70"/>
        <v>2.5060000000000002</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HoloCure: Save the Fans!</v>
      </c>
      <c r="B363">
        <f>IF($A363="","",games!$B363)</f>
        <v>2023</v>
      </c>
      <c r="C363" t="str">
        <f>IF($A363="","",games!$C363)</f>
        <v>Action</v>
      </c>
      <c r="D363">
        <f>IF($A363="","",COUNTIF(connections!$A$2:$A$1400,$A363)+COUNTIF(connections!$B$2:$B$1400,$A363))</f>
        <v>1</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HoloDungeon: Koyori vs HollowLive in Honsha Tower</v>
      </c>
      <c r="B364">
        <f>IF($A364="","",games!$B364)</f>
        <v>2026</v>
      </c>
      <c r="C364" t="str">
        <f>IF($A364="","",games!$C364)</f>
        <v>Traditional</v>
      </c>
      <c r="D364">
        <f>IF($A364="","",COUNTIF(connections!$A$2:$A$1400,$A364)+COUNTIF(connections!$B$2:$B$1400,$A364))</f>
        <v>1</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2026</v>
      </c>
      <c r="N364">
        <f t="shared" si="74"/>
        <v>4.5519999999999996</v>
      </c>
      <c r="O364">
        <f t="shared" si="75"/>
        <v>1.000364</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Hoplite</v>
      </c>
      <c r="B365">
        <f>IF($A365="","",games!$B365)</f>
        <v>2013</v>
      </c>
      <c r="C365" t="str">
        <f>IF($A365="","",games!$C365)</f>
        <v>Traditional</v>
      </c>
      <c r="D365">
        <f>IF($A365="","",COUNTIF(connections!$A$2:$A$1400,$A365)+COUNTIF(connections!$B$2:$B$1400,$A365))</f>
        <v>2</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2013</v>
      </c>
      <c r="N365">
        <f t="shared" si="74"/>
        <v>4.5750000000000002</v>
      </c>
      <c r="O365">
        <f t="shared" si="75"/>
        <v>2.0003649999999999</v>
      </c>
      <c r="P365" t="str">
        <f>IF(OR($A365="",games!$H365=""),"",games!$H365)</f>
        <v>Yes</v>
      </c>
      <c r="Q365">
        <f t="shared" si="76"/>
        <v>2.0003649999999999</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House of Necrosis</v>
      </c>
      <c r="B366">
        <f>IF($A366="","",games!$B366)</f>
        <v>2025</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2025</v>
      </c>
      <c r="N366">
        <f t="shared" si="74"/>
        <v>4.5979999999999999</v>
      </c>
      <c r="O366">
        <f t="shared" si="75"/>
        <v>2.0003660000000001</v>
      </c>
      <c r="P366" t="str">
        <f>IF(OR($A366="",games!$H366=""),"",games!$H366)</f>
        <v/>
      </c>
      <c r="Q366" t="str">
        <f t="shared" si="76"/>
        <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How Many Dudes?</v>
      </c>
      <c r="B367">
        <f>IF($A367="","",games!$B367)</f>
        <v>2026</v>
      </c>
      <c r="C367" t="str">
        <f>IF($A367="","",games!$C367)</f>
        <v>Action</v>
      </c>
      <c r="D367">
        <f>IF($A367="","",COUNTIF(connections!$A$2:$A$1400,$A367)+COUNTIF(connections!$B$2:$B$1400,$A367))</f>
        <v>2</v>
      </c>
      <c r="E367">
        <f t="shared" si="65"/>
        <v>1</v>
      </c>
      <c r="F367">
        <f t="shared" si="66"/>
        <v>27</v>
      </c>
      <c r="G367">
        <f t="shared" si="67"/>
        <v>2026</v>
      </c>
      <c r="H367">
        <f t="shared" si="68"/>
        <v>1.621</v>
      </c>
      <c r="I367" t="e">
        <f t="shared" si="69"/>
        <v>#N/A</v>
      </c>
      <c r="J367" t="e">
        <f t="shared" si="70"/>
        <v>#N/A</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Hungry Horrors</v>
      </c>
      <c r="B368">
        <f>IF($A368="","",games!$B368)</f>
        <v>2026</v>
      </c>
      <c r="C368" t="str">
        <f>IF($A368="","",games!$C368)</f>
        <v>Deckbuilder</v>
      </c>
      <c r="D368">
        <f>IF($A368="","",COUNTIF(connections!$A$2:$A$1400,$A368)+COUNTIF(connections!$B$2:$B$1400,$A368))</f>
        <v>4</v>
      </c>
      <c r="E368">
        <f t="shared" si="65"/>
        <v>3</v>
      </c>
      <c r="F368">
        <f t="shared" si="66"/>
        <v>28</v>
      </c>
      <c r="G368" t="e">
        <f t="shared" si="67"/>
        <v>#N/A</v>
      </c>
      <c r="H368" t="e">
        <f t="shared" si="68"/>
        <v>#N/A</v>
      </c>
      <c r="I368" t="e">
        <f t="shared" si="69"/>
        <v>#N/A</v>
      </c>
      <c r="J368" t="e">
        <f t="shared" si="70"/>
        <v>#N/A</v>
      </c>
      <c r="K368">
        <f t="shared" si="71"/>
        <v>2026</v>
      </c>
      <c r="L368">
        <f t="shared" si="72"/>
        <v>3.6440000000000001</v>
      </c>
      <c r="M368" t="e">
        <f t="shared" si="73"/>
        <v>#N/A</v>
      </c>
      <c r="N368" t="e">
        <f t="shared" si="74"/>
        <v>#N/A</v>
      </c>
      <c r="O368">
        <f t="shared" si="75"/>
        <v>4.0003679999999999</v>
      </c>
      <c r="P368" t="str">
        <f>IF(OR($A368="",games!$H368=""),"",games!$H368)</f>
        <v/>
      </c>
      <c r="Q368" t="str">
        <f t="shared" si="76"/>
        <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Hunter X Hunter: Nen X Survivor</v>
      </c>
      <c r="B369">
        <f>IF($A369="","",games!$B369)</f>
        <v>2026</v>
      </c>
      <c r="C369" t="str">
        <f>IF($A369="","",games!$C369)</f>
        <v>Action</v>
      </c>
      <c r="D369">
        <f>IF($A369="","",COUNTIF(connections!$A$2:$A$1400,$A369)+COUNTIF(connections!$B$2:$B$1400,$A369))</f>
        <v>1</v>
      </c>
      <c r="E369">
        <f t="shared" si="65"/>
        <v>1</v>
      </c>
      <c r="F369">
        <f t="shared" si="66"/>
        <v>29</v>
      </c>
      <c r="G369">
        <f t="shared" si="67"/>
        <v>2026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HyperRogue</v>
      </c>
      <c r="B370">
        <f>IF($A370="","",games!$B370)</f>
        <v>2012</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2012</v>
      </c>
      <c r="N370">
        <f t="shared" si="74"/>
        <v>4.6899999999999995</v>
      </c>
      <c r="O370">
        <f t="shared" si="75"/>
        <v>6.0003700000000002</v>
      </c>
      <c r="P370" t="str">
        <f>IF(OR($A370="",games!$H370=""),"",games!$H370)</f>
        <v/>
      </c>
      <c r="Q370" t="str">
        <f t="shared" si="76"/>
        <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 Am Legion: Stand Survivors</v>
      </c>
      <c r="B371">
        <f>IF($A371="","",games!$B371)</f>
        <v>2025</v>
      </c>
      <c r="C371" t="str">
        <f>IF($A371="","",games!$C371)</f>
        <v>Action</v>
      </c>
      <c r="D371">
        <f>IF($A371="","",COUNTIF(connections!$A$2:$A$1400,$A371)+COUNTIF(connections!$B$2:$B$1400,$A371))</f>
        <v>1</v>
      </c>
      <c r="E371">
        <f t="shared" si="65"/>
        <v>1</v>
      </c>
      <c r="F371">
        <f t="shared" si="66"/>
        <v>31</v>
      </c>
      <c r="G371">
        <f t="shared" si="67"/>
        <v>2025</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 Am Overburdened</v>
      </c>
      <c r="B372">
        <f>IF($A372="","",games!$B372)</f>
        <v>2017</v>
      </c>
      <c r="C372" t="str">
        <f>IF($A372="","",games!$C372)</f>
        <v>Traditional</v>
      </c>
      <c r="D372">
        <f>IF($A372="","",COUNTIF(connections!$A$2:$A$1400,$A372)+COUNTIF(connections!$B$2:$B$1400,$A372))</f>
        <v>2</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2017</v>
      </c>
      <c r="N372">
        <f t="shared" si="74"/>
        <v>4.7359999999999998</v>
      </c>
      <c r="O372">
        <f t="shared" si="75"/>
        <v>2.000372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Icewall</v>
      </c>
      <c r="B373">
        <f>IF($A373="","",games!$B373)</f>
        <v>2022</v>
      </c>
      <c r="C373" t="str">
        <f>IF($A373="","",games!$C373)</f>
        <v>Action</v>
      </c>
      <c r="D373">
        <f>IF($A373="","",COUNTIF(connections!$A$2:$A$1400,$A373)+COUNTIF(connections!$B$2:$B$1400,$A373))</f>
        <v>1</v>
      </c>
      <c r="E373">
        <f t="shared" si="65"/>
        <v>1</v>
      </c>
      <c r="F373">
        <f t="shared" si="66"/>
        <v>33</v>
      </c>
      <c r="G373">
        <f t="shared" si="67"/>
        <v>2022</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Immortal Redneck</v>
      </c>
      <c r="B374">
        <f>IF($A374="","",games!$B374)</f>
        <v>2017</v>
      </c>
      <c r="C374" t="str">
        <f>IF($A374="","",games!$C374)</f>
        <v>Action</v>
      </c>
      <c r="D374">
        <f>IF($A374="","",COUNTIF(connections!$A$2:$A$1400,$A374)+COUNTIF(connections!$B$2:$B$1400,$A374))</f>
        <v>1</v>
      </c>
      <c r="E374">
        <f t="shared" si="65"/>
        <v>1</v>
      </c>
      <c r="F374">
        <f t="shared" si="66"/>
        <v>0</v>
      </c>
      <c r="G374">
        <f t="shared" si="67"/>
        <v>2017</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 Celebration of Violence</v>
      </c>
      <c r="B375">
        <f>IF($A375="","",games!$B375)</f>
        <v>2016</v>
      </c>
      <c r="C375" t="str">
        <f>IF($A375="","",games!$C375)</f>
        <v>Action</v>
      </c>
      <c r="D375">
        <f>IF($A375="","",COUNTIF(connections!$A$2:$A$1400,$A375)+COUNTIF(connections!$B$2:$B$1400,$A375))</f>
        <v>1</v>
      </c>
      <c r="E375">
        <f t="shared" si="65"/>
        <v>1</v>
      </c>
      <c r="F375">
        <f t="shared" si="66"/>
        <v>1</v>
      </c>
      <c r="G375">
        <f t="shared" si="67"/>
        <v>2016</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
      </c>
      <c r="Q375" t="str">
        <f t="shared" si="76"/>
        <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Incursion</v>
      </c>
      <c r="B376">
        <f>IF($A376="","",games!$B376)</f>
        <v>2007</v>
      </c>
      <c r="C376" t="str">
        <f>IF($A376="","",games!$C376)</f>
        <v>Traditional</v>
      </c>
      <c r="D376">
        <f>IF($A376="","",COUNTIF(connections!$A$2:$A$1400,$A376)+COUNTIF(connections!$B$2:$B$1400,$A376))</f>
        <v>6</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2007</v>
      </c>
      <c r="N376">
        <f t="shared" si="74"/>
        <v>4.0460000000000003</v>
      </c>
      <c r="O376">
        <f t="shared" si="75"/>
        <v>6.0003760000000002</v>
      </c>
      <c r="P376" t="str">
        <f>IF(OR($A376="",games!$H376=""),"",games!$H376)</f>
        <v>Yes</v>
      </c>
      <c r="Q376">
        <f t="shared" si="76"/>
        <v>6.0003760000000002</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Infinite Space III: Sea of Stars</v>
      </c>
      <c r="B377">
        <f>IF($A377="","",games!$B377)</f>
        <v>2015</v>
      </c>
      <c r="C377" t="str">
        <f>IF($A377="","",games!$C377)</f>
        <v>Strategy</v>
      </c>
      <c r="D377">
        <f>IF($A377="","",COUNTIF(connections!$A$2:$A$1400,$A377)+COUNTIF(connections!$B$2:$B$1400,$A377))</f>
        <v>1</v>
      </c>
      <c r="E377">
        <f t="shared" si="65"/>
        <v>2</v>
      </c>
      <c r="F377">
        <f t="shared" si="66"/>
        <v>3</v>
      </c>
      <c r="G377" t="e">
        <f t="shared" si="67"/>
        <v>#N/A</v>
      </c>
      <c r="H377" t="e">
        <f t="shared" si="68"/>
        <v>#N/A</v>
      </c>
      <c r="I377">
        <f t="shared" si="69"/>
        <v>2015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Infra Arcana</v>
      </c>
      <c r="B378">
        <f>IF($A378="","",games!$B378)</f>
        <v>2011</v>
      </c>
      <c r="C378" t="str">
        <f>IF($A378="","",games!$C378)</f>
        <v>Traditional</v>
      </c>
      <c r="D378">
        <f>IF($A378="","",COUNTIF(connections!$A$2:$A$1400,$A378)+COUNTIF(connections!$B$2:$B$1400,$A378))</f>
        <v>3</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2011</v>
      </c>
      <c r="N378">
        <f t="shared" si="74"/>
        <v>4.0919999999999996</v>
      </c>
      <c r="O378">
        <f t="shared" si="75"/>
        <v>3.000378</v>
      </c>
      <c r="P378" t="str">
        <f>IF(OR($A378="",games!$H378=""),"",games!$H378)</f>
        <v>Yes</v>
      </c>
      <c r="Q378">
        <f t="shared" si="76"/>
        <v>3.000378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Inkbound</v>
      </c>
      <c r="B379">
        <f>IF($A379="","",games!$B379)</f>
        <v>2023</v>
      </c>
      <c r="C379" t="str">
        <f>IF($A379="","",games!$C379)</f>
        <v>Strategy</v>
      </c>
      <c r="D379">
        <f>IF($A379="","",COUNTIF(connections!$A$2:$A$1400,$A379)+COUNTIF(connections!$B$2:$B$1400,$A379))</f>
        <v>1</v>
      </c>
      <c r="E379">
        <f t="shared" si="65"/>
        <v>2</v>
      </c>
      <c r="F379">
        <f t="shared" si="66"/>
        <v>5</v>
      </c>
      <c r="G379" t="e">
        <f t="shared" si="67"/>
        <v>#N/A</v>
      </c>
      <c r="H379" t="e">
        <f t="shared" si="68"/>
        <v>#N/A</v>
      </c>
      <c r="I379">
        <f t="shared" si="69"/>
        <v>2023</v>
      </c>
      <c r="J379">
        <f t="shared" si="70"/>
        <v>2.1150000000000002</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Inkshade</v>
      </c>
      <c r="B380">
        <f>IF($A380="","",games!$B380)</f>
        <v>2025</v>
      </c>
      <c r="C380" t="str">
        <f>IF($A380="","",games!$C380)</f>
        <v>Strategy</v>
      </c>
      <c r="D380">
        <f>IF($A380="","",COUNTIF(connections!$A$2:$A$1400,$A380)+COUNTIF(connections!$B$2:$B$1400,$A380))</f>
        <v>2</v>
      </c>
      <c r="E380">
        <f t="shared" si="65"/>
        <v>2</v>
      </c>
      <c r="F380">
        <f t="shared" si="66"/>
        <v>6</v>
      </c>
      <c r="G380" t="e">
        <f t="shared" si="67"/>
        <v>#N/A</v>
      </c>
      <c r="H380" t="e">
        <f t="shared" si="68"/>
        <v>#N/A</v>
      </c>
      <c r="I380">
        <f t="shared" si="69"/>
        <v>2025</v>
      </c>
      <c r="J380">
        <f t="shared" si="70"/>
        <v>2.1379999999999999</v>
      </c>
      <c r="K380" t="e">
        <f t="shared" si="71"/>
        <v>#N/A</v>
      </c>
      <c r="L380" t="e">
        <f t="shared" si="72"/>
        <v>#N/A</v>
      </c>
      <c r="M380" t="e">
        <f t="shared" si="73"/>
        <v>#N/A</v>
      </c>
      <c r="N380" t="e">
        <f t="shared" si="74"/>
        <v>#N/A</v>
      </c>
      <c r="O380">
        <f t="shared" si="75"/>
        <v>2.0003799999999998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Inscryption</v>
      </c>
      <c r="B381">
        <f>IF($A381="","",games!$B381)</f>
        <v>2021</v>
      </c>
      <c r="C381" t="str">
        <f>IF($A381="","",games!$C381)</f>
        <v>Deckbuilder</v>
      </c>
      <c r="D381">
        <f>IF($A381="","",COUNTIF(connections!$A$2:$A$1400,$A381)+COUNTIF(connections!$B$2:$B$1400,$A381))</f>
        <v>14</v>
      </c>
      <c r="E381">
        <f t="shared" si="65"/>
        <v>3</v>
      </c>
      <c r="F381">
        <f t="shared" si="66"/>
        <v>7</v>
      </c>
      <c r="G381" t="e">
        <f t="shared" si="67"/>
        <v>#N/A</v>
      </c>
      <c r="H381" t="e">
        <f t="shared" si="68"/>
        <v>#N/A</v>
      </c>
      <c r="I381" t="e">
        <f t="shared" si="69"/>
        <v>#N/A</v>
      </c>
      <c r="J381" t="e">
        <f t="shared" si="70"/>
        <v>#N/A</v>
      </c>
      <c r="K381">
        <f t="shared" si="71"/>
        <v>2021</v>
      </c>
      <c r="L381">
        <f t="shared" si="72"/>
        <v>3.161</v>
      </c>
      <c r="M381" t="e">
        <f t="shared" si="73"/>
        <v>#N/A</v>
      </c>
      <c r="N381" t="e">
        <f t="shared" si="74"/>
        <v>#N/A</v>
      </c>
      <c r="O381">
        <f t="shared" si="75"/>
        <v>14.000381000000001</v>
      </c>
      <c r="P381" t="str">
        <f>IF(OR($A381="",games!$H381=""),"",games!$H381)</f>
        <v>Yes</v>
      </c>
      <c r="Q381">
        <f t="shared" si="76"/>
        <v>14.000381000000001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Insurmountable</v>
      </c>
      <c r="B382">
        <f>IF($A382="","",games!$B382)</f>
        <v>2021</v>
      </c>
      <c r="C382" t="str">
        <f>IF($A382="","",games!$C382)</f>
        <v>Strategy</v>
      </c>
      <c r="D382">
        <f>IF($A382="","",COUNTIF(connections!$A$2:$A$1400,$A382)+COUNTIF(connections!$B$2:$B$1400,$A382))</f>
        <v>2</v>
      </c>
      <c r="E382">
        <f t="shared" si="65"/>
        <v>2</v>
      </c>
      <c r="F382">
        <f t="shared" si="66"/>
        <v>8</v>
      </c>
      <c r="G382" t="e">
        <f t="shared" si="67"/>
        <v>#N/A</v>
      </c>
      <c r="H382" t="e">
        <f t="shared" si="68"/>
        <v>#N/A</v>
      </c>
      <c r="I382">
        <f t="shared" si="69"/>
        <v>2021</v>
      </c>
      <c r="J382">
        <f t="shared" si="70"/>
        <v>2.1840000000000002</v>
      </c>
      <c r="K382" t="e">
        <f t="shared" si="71"/>
        <v>#N/A</v>
      </c>
      <c r="L382" t="e">
        <f t="shared" si="72"/>
        <v>#N/A</v>
      </c>
      <c r="M382" t="e">
        <f t="shared" si="73"/>
        <v>#N/A</v>
      </c>
      <c r="N382" t="e">
        <f t="shared" si="74"/>
        <v>#N/A</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Into the Breach</v>
      </c>
      <c r="B383">
        <f>IF($A383="","",games!$B383)</f>
        <v>2018</v>
      </c>
      <c r="C383" t="str">
        <f>IF($A383="","",games!$C383)</f>
        <v>Strategy</v>
      </c>
      <c r="D383">
        <f>IF($A383="","",COUNTIF(connections!$A$2:$A$1400,$A383)+COUNTIF(connections!$B$2:$B$1400,$A383))</f>
        <v>22</v>
      </c>
      <c r="E383">
        <f t="shared" si="65"/>
        <v>2</v>
      </c>
      <c r="F383">
        <f t="shared" si="66"/>
        <v>9</v>
      </c>
      <c r="G383" t="e">
        <f t="shared" si="67"/>
        <v>#N/A</v>
      </c>
      <c r="H383" t="e">
        <f t="shared" si="68"/>
        <v>#N/A</v>
      </c>
      <c r="I383">
        <f t="shared" si="69"/>
        <v>2018</v>
      </c>
      <c r="J383">
        <f t="shared" si="70"/>
        <v>2.2069999999999999</v>
      </c>
      <c r="K383" t="e">
        <f t="shared" si="71"/>
        <v>#N/A</v>
      </c>
      <c r="L383" t="e">
        <f t="shared" si="72"/>
        <v>#N/A</v>
      </c>
      <c r="M383" t="e">
        <f t="shared" si="73"/>
        <v>#N/A</v>
      </c>
      <c r="N383" t="e">
        <f t="shared" si="74"/>
        <v>#N/A</v>
      </c>
      <c r="O383">
        <f t="shared" si="75"/>
        <v>22.000382999999999</v>
      </c>
      <c r="P383" t="str">
        <f>IF(OR($A383="",games!$H383=""),"",games!$H383)</f>
        <v>Yes</v>
      </c>
      <c r="Q383">
        <f t="shared" si="76"/>
        <v>22.000382999999999</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Into The Grid</v>
      </c>
      <c r="B384">
        <f>IF($A384="","",games!$B384)</f>
        <v>2025</v>
      </c>
      <c r="C384" t="str">
        <f>IF($A384="","",games!$C384)</f>
        <v>Deckbuilder</v>
      </c>
      <c r="D384">
        <f>IF($A384="","",COUNTIF(connections!$A$2:$A$1400,$A384)+COUNTIF(connections!$B$2:$B$1400,$A384))</f>
        <v>1</v>
      </c>
      <c r="E384">
        <f t="shared" si="65"/>
        <v>3</v>
      </c>
      <c r="F384">
        <f t="shared" si="66"/>
        <v>10</v>
      </c>
      <c r="G384" t="e">
        <f t="shared" si="67"/>
        <v>#N/A</v>
      </c>
      <c r="H384" t="e">
        <f t="shared" si="68"/>
        <v>#N/A</v>
      </c>
      <c r="I384" t="e">
        <f t="shared" si="69"/>
        <v>#N/A</v>
      </c>
      <c r="J384" t="e">
        <f t="shared" si="70"/>
        <v>#N/A</v>
      </c>
      <c r="K384">
        <f t="shared" si="71"/>
        <v>2025</v>
      </c>
      <c r="L384">
        <f t="shared" si="72"/>
        <v>3.23</v>
      </c>
      <c r="M384" t="e">
        <f t="shared" si="73"/>
        <v>#N/A</v>
      </c>
      <c r="N384" t="e">
        <f t="shared" si="74"/>
        <v>#N/A</v>
      </c>
      <c r="O384">
        <f t="shared" si="75"/>
        <v>1.0003839999999999</v>
      </c>
      <c r="P384" t="str">
        <f>IF(OR($A384="",games!$H384=""),"",games!$H384)</f>
        <v/>
      </c>
      <c r="Q384" t="str">
        <f t="shared" si="76"/>
        <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Iratus: Lord of the Dead</v>
      </c>
      <c r="B385">
        <f>IF($A385="","",games!$B385)</f>
        <v>2019</v>
      </c>
      <c r="C385" t="str">
        <f>IF($A385="","",games!$C385)</f>
        <v>Strategy</v>
      </c>
      <c r="D385">
        <f>IF($A385="","",COUNTIF(connections!$A$2:$A$1400,$A385)+COUNTIF(connections!$B$2:$B$1400,$A385))</f>
        <v>2</v>
      </c>
      <c r="E385">
        <f t="shared" si="65"/>
        <v>2</v>
      </c>
      <c r="F385">
        <f t="shared" si="66"/>
        <v>11</v>
      </c>
      <c r="G385" t="e">
        <f t="shared" si="67"/>
        <v>#N/A</v>
      </c>
      <c r="H385" t="e">
        <f t="shared" si="68"/>
        <v>#N/A</v>
      </c>
      <c r="I385">
        <f t="shared" si="69"/>
        <v>2019</v>
      </c>
      <c r="J385">
        <f t="shared" si="70"/>
        <v>2.2530000000000001</v>
      </c>
      <c r="K385" t="e">
        <f t="shared" si="71"/>
        <v>#N/A</v>
      </c>
      <c r="L385" t="e">
        <f t="shared" si="72"/>
        <v>#N/A</v>
      </c>
      <c r="M385" t="e">
        <f t="shared" si="73"/>
        <v>#N/A</v>
      </c>
      <c r="N385" t="e">
        <f t="shared" si="74"/>
        <v>#N/A</v>
      </c>
      <c r="O385">
        <f t="shared" si="75"/>
        <v>2.0003850000000001</v>
      </c>
      <c r="P385" t="str">
        <f>IF(OR($A385="",games!$H385=""),"",games!$H385)</f>
        <v>Yes</v>
      </c>
      <c r="Q385">
        <f t="shared" si="76"/>
        <v>2.0003850000000001</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Iter Vehemens Ad Necem</v>
      </c>
      <c r="B386">
        <f>IF($A386="","",games!$B386)</f>
        <v>2001</v>
      </c>
      <c r="C386" t="str">
        <f>IF($A386="","",games!$C386)</f>
        <v>Traditional</v>
      </c>
      <c r="D386">
        <f>IF($A386="","",COUNTIF(connections!$A$2:$A$1400,$A386)+COUNTIF(connections!$B$2:$B$1400,$A386))</f>
        <v>2</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2001</v>
      </c>
      <c r="N386">
        <f t="shared" ref="N386:N449" si="87">IF($A386="",NA(),IF($C386="Traditional",4+$F386*0.023,NA()))</f>
        <v>4.2759999999999998</v>
      </c>
      <c r="O386">
        <f t="shared" ref="O386:O449" si="88">IF($A386="","",$D386+ROW()/1000000)</f>
        <v>2.0003860000000002</v>
      </c>
      <c r="P386" t="str">
        <f>IF(OR($A386="",games!$H386=""),"",games!$H386)</f>
        <v>Yes</v>
      </c>
      <c r="Q386">
        <f t="shared" ref="Q386:Q449" si="89">IF(OR($A386="",$P386&lt;&gt;"Yes"),"",$D386+ROW()/1000000)</f>
        <v>2.0003860000000002</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Izuna 2: The Unemployed Ninja Returns</v>
      </c>
      <c r="B387">
        <f>IF($A387="","",games!$B387)</f>
        <v>2007</v>
      </c>
      <c r="C387" t="str">
        <f>IF($A387="","",games!$C387)</f>
        <v>Traditional</v>
      </c>
      <c r="D387">
        <f>IF($A387="","",COUNTIF(connections!$A$2:$A$1400,$A387)+COUNTIF(connections!$B$2:$B$1400,$A387))</f>
        <v>1</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2007</v>
      </c>
      <c r="N387">
        <f t="shared" si="87"/>
        <v>4.2990000000000004</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Izuna: Legend of the Unemployed Ninja</v>
      </c>
      <c r="B388">
        <f>IF($A388="","",games!$B388)</f>
        <v>2006</v>
      </c>
      <c r="C388" t="str">
        <f>IF($A388="","",games!$C388)</f>
        <v>Traditional</v>
      </c>
      <c r="D388">
        <f>IF($A388="","",COUNTIF(connections!$A$2:$A$1400,$A388)+COUNTIF(connections!$B$2:$B$1400,$A388))</f>
        <v>2</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2006</v>
      </c>
      <c r="N388">
        <f t="shared" si="87"/>
        <v>4.3220000000000001</v>
      </c>
      <c r="O388">
        <f t="shared" si="88"/>
        <v>2.0003880000000001</v>
      </c>
      <c r="P388" t="str">
        <f>IF(OR($A388="",games!$H388=""),"",games!$H388)</f>
        <v>Yes</v>
      </c>
      <c r="Q388">
        <f t="shared" si="89"/>
        <v>2.0003880000000001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Jotunnslayer: Hordes of Hel</v>
      </c>
      <c r="B389">
        <f>IF($A389="","",games!$B389)</f>
        <v>2025</v>
      </c>
      <c r="C389" t="str">
        <f>IF($A389="","",games!$C389)</f>
        <v>Action</v>
      </c>
      <c r="D389">
        <f>IF($A389="","",COUNTIF(connections!$A$2:$A$1400,$A389)+COUNTIF(connections!$B$2:$B$1400,$A389))</f>
        <v>4</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4.0003890000000002</v>
      </c>
      <c r="P389" t="str">
        <f>IF(OR($A389="",games!$H389=""),"",games!$H389)</f>
        <v/>
      </c>
      <c r="Q389" t="str">
        <f t="shared" si="89"/>
        <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Juicy Realm</v>
      </c>
      <c r="B390">
        <f>IF($A390="","",games!$B390)</f>
        <v>2018</v>
      </c>
      <c r="C390" t="str">
        <f>IF($A390="","",games!$C390)</f>
        <v>Action</v>
      </c>
      <c r="D390">
        <f>IF($A390="","",COUNTIF(connections!$A$2:$A$1400,$A390)+COUNTIF(connections!$B$2:$B$1400,$A390))</f>
        <v>0</v>
      </c>
      <c r="E390">
        <f t="shared" si="78"/>
        <v>1</v>
      </c>
      <c r="F390">
        <f t="shared" si="79"/>
        <v>16</v>
      </c>
      <c r="G390">
        <f t="shared" si="80"/>
        <v>2018</v>
      </c>
      <c r="H390">
        <f t="shared" si="81"/>
        <v>1.3679999999999999</v>
      </c>
      <c r="I390" t="e">
        <f t="shared" si="82"/>
        <v>#N/A</v>
      </c>
      <c r="J390" t="e">
        <f t="shared" si="83"/>
        <v>#N/A</v>
      </c>
      <c r="K390" t="e">
        <f t="shared" si="84"/>
        <v>#N/A</v>
      </c>
      <c r="L390" t="e">
        <f t="shared" si="85"/>
        <v>#N/A</v>
      </c>
      <c r="M390" t="e">
        <f t="shared" si="86"/>
        <v>#N/A</v>
      </c>
      <c r="N390" t="e">
        <f t="shared" si="87"/>
        <v>#N/A</v>
      </c>
      <c r="O390">
        <f t="shared" si="88"/>
        <v>3.8999999999999999E-4</v>
      </c>
      <c r="P390" t="str">
        <f>IF(OR($A390="",games!$H390=""),"",games!$H390)</f>
        <v/>
      </c>
      <c r="Q390" t="str">
        <f t="shared" si="89"/>
        <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Jupiter Hell</v>
      </c>
      <c r="B391">
        <f>IF($A391="","",games!$B391)</f>
        <v>2019</v>
      </c>
      <c r="C391" t="str">
        <f>IF($A391="","",games!$C391)</f>
        <v>Traditional</v>
      </c>
      <c r="D391">
        <f>IF($A391="","",COUNTIF(connections!$A$2:$A$1400,$A391)+COUNTIF(connections!$B$2:$B$1400,$A391))</f>
        <v>1</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2019</v>
      </c>
      <c r="N391">
        <f t="shared" si="87"/>
        <v>4.391</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Just King</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Kādomon: Hyper Auto Battlers</v>
      </c>
      <c r="B393">
        <f>IF($A393="","",games!$B393)</f>
        <v>2024</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2024</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Katanaut</v>
      </c>
      <c r="B394">
        <f>IF($A394="","",games!$B394)</f>
        <v>2025</v>
      </c>
      <c r="C394" t="str">
        <f>IF($A394="","",games!$C394)</f>
        <v>Action</v>
      </c>
      <c r="D394">
        <f>IF($A394="","",COUNTIF(connections!$A$2:$A$1400,$A394)+COUNTIF(connections!$B$2:$B$1400,$A394))</f>
        <v>1</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
      </c>
      <c r="Q394" t="str">
        <f t="shared" si="89"/>
        <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KeeperRL</v>
      </c>
      <c r="B395">
        <f>IF($A395="","",games!$B395)</f>
        <v>2015</v>
      </c>
      <c r="C395" t="str">
        <f>IF($A395="","",games!$C395)</f>
        <v>Traditional</v>
      </c>
      <c r="D395">
        <f>IF($A395="","",COUNTIF(connections!$A$2:$A$1400,$A395)+COUNTIF(connections!$B$2:$B$1400,$A395))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2015</v>
      </c>
      <c r="N395">
        <f t="shared" si="87"/>
        <v>4.4829999999999997</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Keeper's Toll</v>
      </c>
      <c r="B396">
        <f>IF($A396="","",games!$B396)</f>
        <v>2023</v>
      </c>
      <c r="C396" t="str">
        <f>IF($A396="","",games!$C396)</f>
        <v>Action</v>
      </c>
      <c r="D396">
        <f>IF($A396="","",COUNTIF(connections!$A$2:$A$1400,$A396)+COUNTIF(connections!$B$2:$B$1400,$A396))</f>
        <v>1</v>
      </c>
      <c r="E396">
        <f t="shared" si="78"/>
        <v>1</v>
      </c>
      <c r="F396">
        <f t="shared" si="79"/>
        <v>22</v>
      </c>
      <c r="G396">
        <f t="shared" si="80"/>
        <v>2023</v>
      </c>
      <c r="H396">
        <f t="shared" si="81"/>
        <v>1.506</v>
      </c>
      <c r="I396" t="e">
        <f t="shared" si="82"/>
        <v>#N/A</v>
      </c>
      <c r="J396" t="e">
        <f t="shared" si="83"/>
        <v>#N/A</v>
      </c>
      <c r="K396" t="e">
        <f t="shared" si="84"/>
        <v>#N/A</v>
      </c>
      <c r="L396" t="e">
        <f t="shared" si="85"/>
        <v>#N/A</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Kill the Brickman</v>
      </c>
      <c r="B397">
        <f>IF($A397="","",games!$B397)</f>
        <v>2025</v>
      </c>
      <c r="C397" t="str">
        <f>IF($A397="","",games!$C397)</f>
        <v>Strategy</v>
      </c>
      <c r="D397">
        <f>IF($A397="","",COUNTIF(connections!$A$2:$A$1400,$A397)+COUNTIF(connections!$B$2:$B$1400,$A397))</f>
        <v>0</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3.97E-4</v>
      </c>
      <c r="P397" t="str">
        <f>IF(OR($A397="",games!$H397=""),"",games!$H397)</f>
        <v/>
      </c>
      <c r="Q397" t="str">
        <f t="shared" si="89"/>
        <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Kill The Music</v>
      </c>
      <c r="B398">
        <f>IF($A398="","",games!$B398)</f>
        <v>2025</v>
      </c>
      <c r="C398" t="str">
        <f>IF($A398="","",games!$C398)</f>
        <v>Action</v>
      </c>
      <c r="D398">
        <f>IF($A398="","",COUNTIF(connections!$A$2:$A$1400,$A398)+COUNTIF(connections!$B$2:$B$1400,$A398))</f>
        <v>4</v>
      </c>
      <c r="E398">
        <f t="shared" si="78"/>
        <v>1</v>
      </c>
      <c r="F398">
        <f t="shared" si="79"/>
        <v>24</v>
      </c>
      <c r="G398">
        <f t="shared" si="80"/>
        <v>2025</v>
      </c>
      <c r="H398">
        <f t="shared" si="81"/>
        <v>1.552</v>
      </c>
      <c r="I398" t="e">
        <f t="shared" si="82"/>
        <v>#N/A</v>
      </c>
      <c r="J398" t="e">
        <f t="shared" si="83"/>
        <v>#N/A</v>
      </c>
      <c r="K398" t="e">
        <f t="shared" si="84"/>
        <v>#N/A</v>
      </c>
      <c r="L398" t="e">
        <f t="shared" si="85"/>
        <v>#N/A</v>
      </c>
      <c r="M398" t="e">
        <f t="shared" si="86"/>
        <v>#N/A</v>
      </c>
      <c r="N398" t="e">
        <f t="shared" si="87"/>
        <v>#N/A</v>
      </c>
      <c r="O398">
        <f t="shared" si="88"/>
        <v>4.0003979999999997</v>
      </c>
      <c r="P398" t="str">
        <f>IF(OR($A398="",games!$H398=""),"",games!$H398)</f>
        <v>Yes</v>
      </c>
      <c r="Q398">
        <f t="shared" si="89"/>
        <v>4.0003979999999997</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Kingdom: New Lands</v>
      </c>
      <c r="B399">
        <f>IF($A399="","",games!$B399)</f>
        <v>2016</v>
      </c>
      <c r="C399" t="str">
        <f>IF($A399="","",games!$C399)</f>
        <v>Strategy</v>
      </c>
      <c r="D399">
        <f>IF($A399="","",COUNTIF(connections!$A$2:$A$1400,$A399)+COUNTIF(connections!$B$2:$B$1400,$A399))</f>
        <v>3</v>
      </c>
      <c r="E399">
        <f t="shared" si="78"/>
        <v>2</v>
      </c>
      <c r="F399">
        <f t="shared" si="79"/>
        <v>25</v>
      </c>
      <c r="G399" t="e">
        <f t="shared" si="80"/>
        <v>#N/A</v>
      </c>
      <c r="H399" t="e">
        <f t="shared" si="81"/>
        <v>#N/A</v>
      </c>
      <c r="I399">
        <f t="shared" si="82"/>
        <v>2016</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Kitty Survivors: Rogues of Catmere</v>
      </c>
      <c r="B400">
        <f>IF($A400="","",games!$B400)</f>
        <v>2023</v>
      </c>
      <c r="C400" t="str">
        <f>IF($A400="","",games!$C400)</f>
        <v>Action</v>
      </c>
      <c r="D400">
        <f>IF($A400="","",COUNTIF(connections!$A$2:$A$1400,$A400)+COUNTIF(connections!$B$2:$B$1400,$A400))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Knightica</v>
      </c>
      <c r="B401">
        <f>IF($A401="","",games!$B401)</f>
        <v>2025</v>
      </c>
      <c r="C401" t="str">
        <f>IF($A401="","",games!$C401)</f>
        <v>Strategy</v>
      </c>
      <c r="D401">
        <f>IF($A401="","",COUNTIF(connections!$A$2:$A$1400,$A401)+COUNTIF(connections!$B$2:$B$1400,$A401))</f>
        <v>3</v>
      </c>
      <c r="E401">
        <f t="shared" si="78"/>
        <v>2</v>
      </c>
      <c r="F401">
        <f t="shared" si="79"/>
        <v>27</v>
      </c>
      <c r="G401" t="e">
        <f t="shared" si="80"/>
        <v>#N/A</v>
      </c>
      <c r="H401" t="e">
        <f t="shared" si="81"/>
        <v>#N/A</v>
      </c>
      <c r="I401">
        <f t="shared" si="82"/>
        <v>2025</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Knights in Tight Spaces</v>
      </c>
      <c r="B402">
        <f>IF($A402="","",games!$B402)</f>
        <v>2025</v>
      </c>
      <c r="C402" t="str">
        <f>IF($A402="","",games!$C402)</f>
        <v>Deckbuilder</v>
      </c>
      <c r="D402">
        <f>IF($A402="","",COUNTIF(connections!$A$2:$A$1400,$A402)+COUNTIF(connections!$B$2:$B$1400,$A402))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Knock on the Coffin Lid</v>
      </c>
      <c r="B403">
        <f>IF($A403="","",games!$B403)</f>
        <v>2020</v>
      </c>
      <c r="C403" t="str">
        <f>IF($A403="","",games!$C403)</f>
        <v>Deckbuilder</v>
      </c>
      <c r="D403">
        <f>IF($A403="","",COUNTIF(connections!$A$2:$A$1400,$A403)+COUNTIF(connections!$B$2:$B$1400,$A403))</f>
        <v>1</v>
      </c>
      <c r="E403">
        <f t="shared" si="78"/>
        <v>3</v>
      </c>
      <c r="F403">
        <f t="shared" si="79"/>
        <v>29</v>
      </c>
      <c r="G403" t="e">
        <f t="shared" si="80"/>
        <v>#N/A</v>
      </c>
      <c r="H403" t="e">
        <f t="shared" si="81"/>
        <v>#N/A</v>
      </c>
      <c r="I403" t="e">
        <f t="shared" si="82"/>
        <v>#N/A</v>
      </c>
      <c r="J403" t="e">
        <f t="shared" si="83"/>
        <v>#N/A</v>
      </c>
      <c r="K403">
        <f t="shared" si="84"/>
        <v>2020</v>
      </c>
      <c r="L403">
        <f t="shared" si="85"/>
        <v>3.6669999999999998</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Labyrinth of Legendary Loot</v>
      </c>
      <c r="B404">
        <f>IF($A404="","",games!$B404)</f>
        <v>2020</v>
      </c>
      <c r="C404" t="str">
        <f>IF($A404="","",games!$C404)</f>
        <v>Traditional</v>
      </c>
      <c r="D404">
        <f>IF($A404="","",COUNTIF(connections!$A$2:$A$1400,$A404)+COUNTIF(connections!$B$2:$B$1400,$A404))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2020</v>
      </c>
      <c r="N404">
        <f t="shared" si="87"/>
        <v>4.6899999999999995</v>
      </c>
      <c r="O404">
        <f t="shared" si="88"/>
        <v>3.0004040000000001</v>
      </c>
      <c r="P404" t="str">
        <f>IF(OR($A404="",games!$H404=""),"",games!$H404)</f>
        <v>Yes</v>
      </c>
      <c r="Q404">
        <f t="shared" si="89"/>
        <v>3.0004040000000001</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Lake of Creatures</v>
      </c>
      <c r="B405">
        <f>IF($A405="","",games!$B405)</f>
        <v>2024</v>
      </c>
      <c r="C405" t="str">
        <f>IF($A405="","",games!$C405)</f>
        <v>Action</v>
      </c>
      <c r="D405">
        <f>IF($A405="","",COUNTIF(connections!$A$2:$A$1400,$A405)+COUNTIF(connections!$B$2:$B$1400,$A405))</f>
        <v>3</v>
      </c>
      <c r="E405">
        <f t="shared" si="78"/>
        <v>1</v>
      </c>
      <c r="F405">
        <f t="shared" si="79"/>
        <v>31</v>
      </c>
      <c r="G405">
        <f t="shared" si="80"/>
        <v>2024</v>
      </c>
      <c r="H405">
        <f t="shared" si="81"/>
        <v>1.7130000000000001</v>
      </c>
      <c r="I405" t="e">
        <f t="shared" si="82"/>
        <v>#N/A</v>
      </c>
      <c r="J405" t="e">
        <f t="shared" si="83"/>
        <v>#N/A</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LambdaRogue: The Book of Stars</v>
      </c>
      <c r="B406">
        <f>IF($A406="","",games!$B406)</f>
        <v>2006</v>
      </c>
      <c r="C406" t="str">
        <f>IF($A406="","",games!$C406)</f>
        <v>Traditional</v>
      </c>
      <c r="D406">
        <f>IF($A406="","",COUNTIF(connections!$A$2:$A$1400,$A406)+COUNTIF(connections!$B$2:$B$1400,$A406))</f>
        <v>4</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4.0004059999999999</v>
      </c>
      <c r="P406" t="str">
        <f>IF(OR($A406="",games!$H406=""),"",games!$H406)</f>
        <v>Yes</v>
      </c>
      <c r="Q406">
        <f t="shared" si="89"/>
        <v>4.0004059999999999</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Larn</v>
      </c>
      <c r="B407">
        <f>IF($A407="","",games!$B407)</f>
        <v>1986</v>
      </c>
      <c r="C407" t="str">
        <f>IF($A407="","",games!$C407)</f>
        <v>Traditional</v>
      </c>
      <c r="D407">
        <f>IF($A407="","",COUNTIF(connections!$A$2:$A$1400,$A407)+COUNTIF(connections!$B$2:$B$1400,$A407))</f>
        <v>1</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1986</v>
      </c>
      <c r="N407">
        <f t="shared" si="87"/>
        <v>4.7590000000000003</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Legend of Keepers: Career of a Dungeon Manager</v>
      </c>
      <c r="B408">
        <f>IF($A408="","",games!$B408)</f>
        <v>2019</v>
      </c>
      <c r="C408" t="str">
        <f>IF($A408="","",games!$C408)</f>
        <v>Strategy</v>
      </c>
      <c r="D408">
        <f>IF($A408="","",COUNTIF(connections!$A$2:$A$1400,$A408)+COUNTIF(connections!$B$2:$B$1400,$A408))</f>
        <v>4</v>
      </c>
      <c r="E408">
        <f t="shared" si="78"/>
        <v>2</v>
      </c>
      <c r="F408">
        <f t="shared" si="79"/>
        <v>0</v>
      </c>
      <c r="G408" t="e">
        <f t="shared" si="80"/>
        <v>#N/A</v>
      </c>
      <c r="H408" t="e">
        <f t="shared" si="81"/>
        <v>#N/A</v>
      </c>
      <c r="I408">
        <f t="shared" si="82"/>
        <v>2019</v>
      </c>
      <c r="J408">
        <f t="shared" si="83"/>
        <v>2</v>
      </c>
      <c r="K408" t="e">
        <f t="shared" si="84"/>
        <v>#N/A</v>
      </c>
      <c r="L408" t="e">
        <f t="shared" si="85"/>
        <v>#N/A</v>
      </c>
      <c r="M408" t="e">
        <f t="shared" si="86"/>
        <v>#N/A</v>
      </c>
      <c r="N408" t="e">
        <f t="shared" si="87"/>
        <v>#N/A</v>
      </c>
      <c r="O408">
        <f t="shared" si="88"/>
        <v>4.0004080000000002</v>
      </c>
      <c r="P408" t="str">
        <f>IF(OR($A408="",games!$H408=""),"",games!$H408)</f>
        <v>Yes</v>
      </c>
      <c r="Q408">
        <f t="shared" si="89"/>
        <v>4.0004080000000002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Let Him Cook</v>
      </c>
      <c r="B409">
        <f>IF($A409="","",games!$B409)</f>
        <v>2024</v>
      </c>
      <c r="C409" t="str">
        <f>IF($A409="","",games!$C409)</f>
        <v>Action</v>
      </c>
      <c r="D409">
        <f>IF($A409="","",COUNTIF(connections!$A$2:$A$1400,$A409)+COUNTIF(connections!$B$2:$B$1400,$A409))</f>
        <v>1</v>
      </c>
      <c r="E409">
        <f t="shared" si="78"/>
        <v>1</v>
      </c>
      <c r="F409">
        <f t="shared" si="79"/>
        <v>1</v>
      </c>
      <c r="G409">
        <f t="shared" si="80"/>
        <v>2024</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Lethal Dungeon</v>
      </c>
      <c r="B410">
        <f>IF($A410="","",games!$B410)</f>
        <v>2026</v>
      </c>
      <c r="C410" t="str">
        <f>IF($A410="","",games!$C410)</f>
        <v>Deckbuilder</v>
      </c>
      <c r="D410">
        <f>IF($A410="","",COUNTIF(connections!$A$2:$A$1400,$A410)+COUNTIF(connections!$B$2:$B$1400,$A410))</f>
        <v>1</v>
      </c>
      <c r="E410">
        <f t="shared" si="78"/>
        <v>3</v>
      </c>
      <c r="F410">
        <f t="shared" si="79"/>
        <v>2</v>
      </c>
      <c r="G410" t="e">
        <f t="shared" si="80"/>
        <v>#N/A</v>
      </c>
      <c r="H410" t="e">
        <f t="shared" si="81"/>
        <v>#N/A</v>
      </c>
      <c r="I410" t="e">
        <f t="shared" si="82"/>
        <v>#N/A</v>
      </c>
      <c r="J410" t="e">
        <f t="shared" si="83"/>
        <v>#N/A</v>
      </c>
      <c r="K410">
        <f t="shared" si="84"/>
        <v>2026</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Let's! Revolution!</v>
      </c>
      <c r="B411">
        <f>IF($A411="","",games!$B411)</f>
        <v>2023</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2023</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Linley's Dungeon Crawl</v>
      </c>
      <c r="B412">
        <f>IF($A412="","",games!$B412)</f>
        <v>1995</v>
      </c>
      <c r="C412" t="str">
        <f>IF($A412="","",games!$C412)</f>
        <v>Traditional</v>
      </c>
      <c r="D412">
        <f>IF($A412="","",COUNTIF(connections!$A$2:$A$1400,$A412)+COUNTIF(connections!$B$2:$B$1400,$A412))</f>
        <v>5</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1995</v>
      </c>
      <c r="N412">
        <f t="shared" si="87"/>
        <v>4.0919999999999996</v>
      </c>
      <c r="O412">
        <f t="shared" si="88"/>
        <v>5.0004119999999999</v>
      </c>
      <c r="P412" t="str">
        <f>IF(OR($A412="",games!$H412=""),"",games!$H412)</f>
        <v>Yes</v>
      </c>
      <c r="Q412">
        <f t="shared" si="89"/>
        <v>5.0004119999999999</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Lone Ruin</v>
      </c>
      <c r="B413">
        <f>IF($A413="","",games!$B413)</f>
        <v>2023</v>
      </c>
      <c r="C413" t="str">
        <f>IF($A413="","",games!$C413)</f>
        <v>Action</v>
      </c>
      <c r="D413">
        <f>IF($A413="","",COUNTIF(connections!$A$2:$A$1400,$A413)+COUNTIF(connections!$B$2:$B$1400,$A413))</f>
        <v>3</v>
      </c>
      <c r="E413">
        <f t="shared" si="78"/>
        <v>1</v>
      </c>
      <c r="F413">
        <f t="shared" si="79"/>
        <v>5</v>
      </c>
      <c r="G413">
        <f t="shared" si="80"/>
        <v>2023</v>
      </c>
      <c r="H413">
        <f t="shared" si="81"/>
        <v>1.115</v>
      </c>
      <c r="I413" t="e">
        <f t="shared" si="82"/>
        <v>#N/A</v>
      </c>
      <c r="J413" t="e">
        <f t="shared" si="83"/>
        <v>#N/A</v>
      </c>
      <c r="K413" t="e">
        <f t="shared" si="84"/>
        <v>#N/A</v>
      </c>
      <c r="L413" t="e">
        <f t="shared" si="85"/>
        <v>#N/A</v>
      </c>
      <c r="M413" t="e">
        <f t="shared" si="86"/>
        <v>#N/A</v>
      </c>
      <c r="N413" t="e">
        <f t="shared" si="87"/>
        <v>#N/A</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LoneStar</v>
      </c>
      <c r="B414">
        <f>IF($A414="","",games!$B414)</f>
        <v>2024</v>
      </c>
      <c r="C414" t="str">
        <f>IF($A414="","",games!$C414)</f>
        <v>Strategy</v>
      </c>
      <c r="D414">
        <f>IF($A414="","",COUNTIF(connections!$A$2:$A$1400,$A414)+COUNTIF(connections!$B$2:$B$1400,$A414))</f>
        <v>1</v>
      </c>
      <c r="E414">
        <f t="shared" si="78"/>
        <v>2</v>
      </c>
      <c r="F414">
        <f t="shared" si="79"/>
        <v>6</v>
      </c>
      <c r="G414" t="e">
        <f t="shared" si="80"/>
        <v>#N/A</v>
      </c>
      <c r="H414" t="e">
        <f t="shared" si="81"/>
        <v>#N/A</v>
      </c>
      <c r="I414">
        <f t="shared" si="82"/>
        <v>2024</v>
      </c>
      <c r="J414">
        <f t="shared" si="83"/>
        <v>2.1379999999999999</v>
      </c>
      <c r="K414" t="e">
        <f t="shared" si="84"/>
        <v>#N/A</v>
      </c>
      <c r="L414" t="e">
        <f t="shared" si="85"/>
        <v>#N/A</v>
      </c>
      <c r="M414" t="e">
        <f t="shared" si="86"/>
        <v>#N/A</v>
      </c>
      <c r="N414" t="e">
        <f t="shared" si="87"/>
        <v>#N/A</v>
      </c>
      <c r="O414">
        <f t="shared" si="88"/>
        <v>1.0004139999999999</v>
      </c>
      <c r="P414" t="str">
        <f>IF(OR($A414="",games!$H414=""),"",games!$H414)</f>
        <v>Yes</v>
      </c>
      <c r="Q414">
        <f t="shared" si="89"/>
        <v>1.0004139999999999</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Loop Hero</v>
      </c>
      <c r="B415">
        <f>IF($A415="","",games!$B415)</f>
        <v>2021</v>
      </c>
      <c r="C415" t="str">
        <f>IF($A415="","",games!$C415)</f>
        <v>Strategy</v>
      </c>
      <c r="D415">
        <f>IF($A415="","",COUNTIF(connections!$A$2:$A$1400,$A415)+COUNTIF(connections!$B$2:$B$1400,$A415))</f>
        <v>3</v>
      </c>
      <c r="E415">
        <f t="shared" si="78"/>
        <v>2</v>
      </c>
      <c r="F415">
        <f t="shared" si="79"/>
        <v>7</v>
      </c>
      <c r="G415" t="e">
        <f t="shared" si="80"/>
        <v>#N/A</v>
      </c>
      <c r="H415" t="e">
        <f t="shared" si="81"/>
        <v>#N/A</v>
      </c>
      <c r="I415">
        <f t="shared" si="82"/>
        <v>2021</v>
      </c>
      <c r="J415">
        <f t="shared" si="83"/>
        <v>2.161</v>
      </c>
      <c r="K415" t="e">
        <f t="shared" si="84"/>
        <v>#N/A</v>
      </c>
      <c r="L415" t="e">
        <f t="shared" si="85"/>
        <v>#N/A</v>
      </c>
      <c r="M415" t="e">
        <f t="shared" si="86"/>
        <v>#N/A</v>
      </c>
      <c r="N415" t="e">
        <f t="shared" si="87"/>
        <v>#N/A</v>
      </c>
      <c r="O415">
        <f t="shared" si="88"/>
        <v>3.0004149999999998</v>
      </c>
      <c r="P415" t="str">
        <f>IF(OR($A415="",games!$H415=""),"",games!$H415)</f>
        <v>Yes</v>
      </c>
      <c r="Q415">
        <f t="shared" si="89"/>
        <v>3.0004149999999998</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Loot Rascals</v>
      </c>
      <c r="B416">
        <f>IF($A416="","",games!$B416)</f>
        <v>2017</v>
      </c>
      <c r="C416" t="str">
        <f>IF($A416="","",games!$C416)</f>
        <v>Strategy</v>
      </c>
      <c r="D416">
        <f>IF($A416="","",COUNTIF(connections!$A$2:$A$1400,$A416)+COUNTIF(connections!$B$2:$B$1400,$A416))</f>
        <v>3</v>
      </c>
      <c r="E416">
        <f t="shared" si="78"/>
        <v>2</v>
      </c>
      <c r="F416">
        <f t="shared" si="79"/>
        <v>8</v>
      </c>
      <c r="G416" t="e">
        <f t="shared" si="80"/>
        <v>#N/A</v>
      </c>
      <c r="H416" t="e">
        <f t="shared" si="81"/>
        <v>#N/A</v>
      </c>
      <c r="I416">
        <f t="shared" si="82"/>
        <v>2017</v>
      </c>
      <c r="J416">
        <f t="shared" si="83"/>
        <v>2.1840000000000002</v>
      </c>
      <c r="K416" t="e">
        <f t="shared" si="84"/>
        <v>#N/A</v>
      </c>
      <c r="L416" t="e">
        <f t="shared" si="85"/>
        <v>#N/A</v>
      </c>
      <c r="M416" t="e">
        <f t="shared" si="86"/>
        <v>#N/A</v>
      </c>
      <c r="N416" t="e">
        <f t="shared" si="87"/>
        <v>#N/A</v>
      </c>
      <c r="O416">
        <f t="shared" si="88"/>
        <v>3.000416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Loot River</v>
      </c>
      <c r="B417">
        <f>IF($A417="","",games!$B417)</f>
        <v>2022</v>
      </c>
      <c r="C417" t="str">
        <f>IF($A417="","",games!$C417)</f>
        <v>Strategy</v>
      </c>
      <c r="D417">
        <f>IF($A417="","",COUNTIF(connections!$A$2:$A$1400,$A417)+COUNTIF(connections!$B$2:$B$1400,$A417))</f>
        <v>0</v>
      </c>
      <c r="E417">
        <f t="shared" si="78"/>
        <v>2</v>
      </c>
      <c r="F417">
        <f t="shared" si="79"/>
        <v>9</v>
      </c>
      <c r="G417" t="e">
        <f t="shared" si="80"/>
        <v>#N/A</v>
      </c>
      <c r="H417" t="e">
        <f t="shared" si="81"/>
        <v>#N/A</v>
      </c>
      <c r="I417">
        <f t="shared" si="82"/>
        <v>2022</v>
      </c>
      <c r="J417">
        <f t="shared" si="83"/>
        <v>2.2069999999999999</v>
      </c>
      <c r="K417" t="e">
        <f t="shared" si="84"/>
        <v>#N/A</v>
      </c>
      <c r="L417" t="e">
        <f t="shared" si="85"/>
        <v>#N/A</v>
      </c>
      <c r="M417" t="e">
        <f t="shared" si="86"/>
        <v>#N/A</v>
      </c>
      <c r="N417" t="e">
        <f t="shared" si="87"/>
        <v>#N/A</v>
      </c>
      <c r="O417">
        <f t="shared" si="88"/>
        <v>4.17E-4</v>
      </c>
      <c r="P417" t="str">
        <f>IF(OR($A417="",games!$H417=""),"",games!$H417)</f>
        <v>Yes</v>
      </c>
      <c r="Q417">
        <f t="shared" si="89"/>
        <v>4.17E-4</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Lootplot</v>
      </c>
      <c r="B418">
        <f>IF($A418="","",games!$B418)</f>
        <v>2025</v>
      </c>
      <c r="C418" t="str">
        <f>IF($A418="","",games!$C418)</f>
        <v>Strategy</v>
      </c>
      <c r="D418">
        <f>IF($A418="","",COUNTIF(connections!$A$2:$A$1400,$A418)+COUNTIF(connections!$B$2:$B$1400,$A418))</f>
        <v>2</v>
      </c>
      <c r="E418">
        <f t="shared" si="78"/>
        <v>2</v>
      </c>
      <c r="F418">
        <f t="shared" si="79"/>
        <v>10</v>
      </c>
      <c r="G418" t="e">
        <f t="shared" si="80"/>
        <v>#N/A</v>
      </c>
      <c r="H418" t="e">
        <f t="shared" si="81"/>
        <v>#N/A</v>
      </c>
      <c r="I418">
        <f t="shared" si="82"/>
        <v>2025</v>
      </c>
      <c r="J418">
        <f t="shared" si="83"/>
        <v>2.23</v>
      </c>
      <c r="K418" t="e">
        <f t="shared" si="84"/>
        <v>#N/A</v>
      </c>
      <c r="L418" t="e">
        <f t="shared" si="85"/>
        <v>#N/A</v>
      </c>
      <c r="M418" t="e">
        <f t="shared" si="86"/>
        <v>#N/A</v>
      </c>
      <c r="N418" t="e">
        <f t="shared" si="87"/>
        <v>#N/A</v>
      </c>
      <c r="O418">
        <f t="shared" si="88"/>
        <v>2.0004179999999998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Lort</v>
      </c>
      <c r="B419">
        <f>IF($A419="","",games!$B419)</f>
        <v>2026</v>
      </c>
      <c r="C419" t="str">
        <f>IF($A419="","",games!$C419)</f>
        <v>Action</v>
      </c>
      <c r="D419">
        <f>IF($A419="","",COUNTIF(connections!$A$2:$A$1400,$A419)+COUNTIF(connections!$B$2:$B$1400,$A419))</f>
        <v>2</v>
      </c>
      <c r="E419">
        <f t="shared" si="78"/>
        <v>1</v>
      </c>
      <c r="F419">
        <f t="shared" si="79"/>
        <v>11</v>
      </c>
      <c r="G419">
        <f t="shared" si="80"/>
        <v>2026</v>
      </c>
      <c r="H419">
        <f t="shared" si="81"/>
        <v>1.2530000000000001</v>
      </c>
      <c r="I419" t="e">
        <f t="shared" si="82"/>
        <v>#N/A</v>
      </c>
      <c r="J419" t="e">
        <f t="shared" si="83"/>
        <v>#N/A</v>
      </c>
      <c r="K419" t="e">
        <f t="shared" si="84"/>
        <v>#N/A</v>
      </c>
      <c r="L419" t="e">
        <f t="shared" si="85"/>
        <v>#N/A</v>
      </c>
      <c r="M419" t="e">
        <f t="shared" si="86"/>
        <v>#N/A</v>
      </c>
      <c r="N419" t="e">
        <f t="shared" si="87"/>
        <v>#N/A</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Flame</v>
      </c>
      <c r="B420">
        <f>IF($A420="","",games!$B420)</f>
        <v>2019</v>
      </c>
      <c r="C420" t="str">
        <f>IF($A420="","",games!$C420)</f>
        <v>Traditional</v>
      </c>
      <c r="D420">
        <f>IF($A420="","",COUNTIF(connections!$A$2:$A$1400,$A420)+COUNTIF(connections!$B$2:$B$1400,$A420))</f>
        <v>2</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2019</v>
      </c>
      <c r="N420">
        <f t="shared" si="87"/>
        <v>4.2759999999999998</v>
      </c>
      <c r="O420">
        <f t="shared" si="88"/>
        <v>2.0004200000000001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Lost For Swords</v>
      </c>
      <c r="B421">
        <f>IF($A421="","",games!$B421)</f>
        <v>2023</v>
      </c>
      <c r="C421" t="str">
        <f>IF($A421="","",games!$C421)</f>
        <v>Deckbuilder</v>
      </c>
      <c r="D421">
        <f>IF($A421="","",COUNTIF(connections!$A$2:$A$1400,$A421)+COUNTIF(connections!$B$2:$B$1400,$A421))</f>
        <v>4</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4.0004210000000002</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Lost In Fantaland</v>
      </c>
      <c r="B422">
        <f>IF($A422="","",games!$B422)</f>
        <v>2022</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2022</v>
      </c>
      <c r="L422">
        <f t="shared" si="85"/>
        <v>3.3220000000000001</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Lost in Random: The Eternal Die</v>
      </c>
      <c r="B423">
        <f>IF($A423="","",games!$B423)</f>
        <v>2025</v>
      </c>
      <c r="C423" t="str">
        <f>IF($A423="","",games!$C423)</f>
        <v>Action</v>
      </c>
      <c r="D423">
        <f>IF($A423="","",COUNTIF(connections!$A$2:$A$1400,$A423)+COUNTIF(connections!$B$2:$B$1400,$A423))</f>
        <v>1</v>
      </c>
      <c r="E423">
        <f t="shared" si="78"/>
        <v>1</v>
      </c>
      <c r="F423">
        <f t="shared" si="79"/>
        <v>15</v>
      </c>
      <c r="G423">
        <f t="shared" si="80"/>
        <v>2025</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Lost Labyrinth</v>
      </c>
      <c r="B424">
        <f>IF($A424="","",games!$B424)</f>
        <v>2001</v>
      </c>
      <c r="C424" t="str">
        <f>IF($A424="","",games!$C424)</f>
        <v>Traditional</v>
      </c>
      <c r="D424">
        <f>IF($A424="","",COUNTIF(connections!$A$2:$A$1400,$A424)+COUNTIF(connections!$B$2:$B$1400,$A424))</f>
        <v>2</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2001</v>
      </c>
      <c r="N424">
        <f t="shared" si="87"/>
        <v>4.3680000000000003</v>
      </c>
      <c r="O424">
        <f t="shared" si="88"/>
        <v>2.0004240000000002</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Luck &amp; Loot</v>
      </c>
      <c r="B425">
        <f>IF($A425="","",games!$B425)</f>
        <v>2024</v>
      </c>
      <c r="C425" t="str">
        <f>IF($A425="","",games!$C425)</f>
        <v>Deckbuilder</v>
      </c>
      <c r="D425">
        <f>IF($A425="","",COUNTIF(connections!$A$2:$A$1400,$A425)+COUNTIF(connections!$B$2:$B$1400,$A425))</f>
        <v>3</v>
      </c>
      <c r="E425">
        <f t="shared" si="78"/>
        <v>3</v>
      </c>
      <c r="F425">
        <f t="shared" si="79"/>
        <v>17</v>
      </c>
      <c r="G425" t="e">
        <f t="shared" si="80"/>
        <v>#N/A</v>
      </c>
      <c r="H425" t="e">
        <f t="shared" si="81"/>
        <v>#N/A</v>
      </c>
      <c r="I425" t="e">
        <f t="shared" si="82"/>
        <v>#N/A</v>
      </c>
      <c r="J425" t="e">
        <f t="shared" si="83"/>
        <v>#N/A</v>
      </c>
      <c r="K425">
        <f t="shared" si="84"/>
        <v>2024</v>
      </c>
      <c r="L425">
        <f t="shared" si="85"/>
        <v>3.391</v>
      </c>
      <c r="M425" t="e">
        <f t="shared" si="86"/>
        <v>#N/A</v>
      </c>
      <c r="N425" t="e">
        <f t="shared" si="87"/>
        <v>#N/A</v>
      </c>
      <c r="O425">
        <f t="shared" si="88"/>
        <v>3.0004249999999999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Luck be a Landlord</v>
      </c>
      <c r="B426">
        <f>IF($A426="","",games!$B426)</f>
        <v>2021</v>
      </c>
      <c r="C426" t="str">
        <f>IF($A426="","",games!$C426)</f>
        <v>Deckbuilder</v>
      </c>
      <c r="D426">
        <f>IF($A426="","",COUNTIF(connections!$A$2:$A$1400,$A426)+COUNTIF(connections!$B$2:$B$1400,$A426))</f>
        <v>23</v>
      </c>
      <c r="E426">
        <f t="shared" si="78"/>
        <v>3</v>
      </c>
      <c r="F426">
        <f t="shared" si="79"/>
        <v>18</v>
      </c>
      <c r="G426" t="e">
        <f t="shared" si="80"/>
        <v>#N/A</v>
      </c>
      <c r="H426" t="e">
        <f t="shared" si="81"/>
        <v>#N/A</v>
      </c>
      <c r="I426" t="e">
        <f t="shared" si="82"/>
        <v>#N/A</v>
      </c>
      <c r="J426" t="e">
        <f t="shared" si="83"/>
        <v>#N/A</v>
      </c>
      <c r="K426">
        <f t="shared" si="84"/>
        <v>2021</v>
      </c>
      <c r="L426">
        <f t="shared" si="85"/>
        <v>3.4140000000000001</v>
      </c>
      <c r="M426" t="e">
        <f t="shared" si="86"/>
        <v>#N/A</v>
      </c>
      <c r="N426" t="e">
        <f t="shared" si="87"/>
        <v>#N/A</v>
      </c>
      <c r="O426">
        <f t="shared" si="88"/>
        <v>23.000426000000001</v>
      </c>
      <c r="P426" t="str">
        <f>IF(OR($A426="",games!$H426=""),"",games!$H426)</f>
        <v>Yes</v>
      </c>
      <c r="Q426">
        <f t="shared" si="89"/>
        <v>23.000426000000001</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Lucky Hero</v>
      </c>
      <c r="B427">
        <f>IF($A427="","",games!$B427)</f>
        <v>2023</v>
      </c>
      <c r="C427" t="str">
        <f>IF($A427="","",games!$C427)</f>
        <v>Deckbuilder</v>
      </c>
      <c r="D427">
        <f>IF($A427="","",COUNTIF(connections!$A$2:$A$1400,$A427)+COUNTIF(connections!$B$2:$B$1400,$A427))</f>
        <v>1</v>
      </c>
      <c r="E427">
        <f t="shared" si="78"/>
        <v>3</v>
      </c>
      <c r="F427">
        <f t="shared" si="79"/>
        <v>19</v>
      </c>
      <c r="G427" t="e">
        <f t="shared" si="80"/>
        <v>#N/A</v>
      </c>
      <c r="H427" t="e">
        <f t="shared" si="81"/>
        <v>#N/A</v>
      </c>
      <c r="I427" t="e">
        <f t="shared" si="82"/>
        <v>#N/A</v>
      </c>
      <c r="J427" t="e">
        <f t="shared" si="83"/>
        <v>#N/A</v>
      </c>
      <c r="K427">
        <f t="shared" si="84"/>
        <v>2023</v>
      </c>
      <c r="L427">
        <f t="shared" si="85"/>
        <v>3.4369999999999998</v>
      </c>
      <c r="M427" t="e">
        <f t="shared" si="86"/>
        <v>#N/A</v>
      </c>
      <c r="N427" t="e">
        <f t="shared" si="87"/>
        <v>#N/A</v>
      </c>
      <c r="O427">
        <f t="shared" si="88"/>
        <v>1.000427</v>
      </c>
      <c r="P427" t="str">
        <f>IF(OR($A427="",games!$H427=""),"",games!$H427)</f>
        <v>Yes</v>
      </c>
      <c r="Q427">
        <f t="shared" si="89"/>
        <v>1.000427</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Lucky Shot</v>
      </c>
      <c r="B428">
        <f>IF($A428="","",games!$B428)</f>
        <v>2026</v>
      </c>
      <c r="C428" t="str">
        <f>IF($A428="","",games!$C428)</f>
        <v>Action</v>
      </c>
      <c r="D428">
        <f>IF($A428="","",COUNTIF(connections!$A$2:$A$1400,$A428)+COUNTIF(connections!$B$2:$B$1400,$A428))</f>
        <v>1</v>
      </c>
      <c r="E428">
        <f t="shared" si="78"/>
        <v>1</v>
      </c>
      <c r="F428">
        <f t="shared" si="79"/>
        <v>20</v>
      </c>
      <c r="G428">
        <f t="shared" si="80"/>
        <v>2026</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Lunchbreak Tactics</v>
      </c>
      <c r="B429">
        <f>IF($A429="","",games!$B429)</f>
        <v>2026</v>
      </c>
      <c r="C429" t="str">
        <f>IF($A429="","",games!$C429)</f>
        <v>Strategy</v>
      </c>
      <c r="D429">
        <f>IF($A429="","",COUNTIF(connections!$A$2:$A$1400,$A429)+COUNTIF(connections!$B$2:$B$1400,$A429))</f>
        <v>1</v>
      </c>
      <c r="E429">
        <f t="shared" si="78"/>
        <v>2</v>
      </c>
      <c r="F429">
        <f t="shared" si="79"/>
        <v>21</v>
      </c>
      <c r="G429" t="e">
        <f t="shared" si="80"/>
        <v>#N/A</v>
      </c>
      <c r="H429" t="e">
        <f t="shared" si="81"/>
        <v>#N/A</v>
      </c>
      <c r="I429">
        <f t="shared" si="82"/>
        <v>2026</v>
      </c>
      <c r="J429">
        <f t="shared" si="83"/>
        <v>2.4830000000000001</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Mad King Redemption</v>
      </c>
      <c r="B430">
        <f>IF($A430="","",games!$B430)</f>
        <v>2026</v>
      </c>
      <c r="C430" t="str">
        <f>IF($A430="","",games!$C430)</f>
        <v>Action</v>
      </c>
      <c r="D430">
        <f>IF($A430="","",COUNTIF(connections!$A$2:$A$1400,$A430)+COUNTIF(connections!$B$2:$B$1400,$A430))</f>
        <v>0</v>
      </c>
      <c r="E430">
        <f t="shared" si="78"/>
        <v>1</v>
      </c>
      <c r="F430">
        <f t="shared" si="79"/>
        <v>22</v>
      </c>
      <c r="G430">
        <f t="shared" si="80"/>
        <v>2026</v>
      </c>
      <c r="H430">
        <f t="shared" si="81"/>
        <v>1.506</v>
      </c>
      <c r="I430" t="e">
        <f t="shared" si="82"/>
        <v>#N/A</v>
      </c>
      <c r="J430" t="e">
        <f t="shared" si="83"/>
        <v>#N/A</v>
      </c>
      <c r="K430" t="e">
        <f t="shared" si="84"/>
        <v>#N/A</v>
      </c>
      <c r="L430" t="e">
        <f t="shared" si="85"/>
        <v>#N/A</v>
      </c>
      <c r="M430" t="e">
        <f t="shared" si="86"/>
        <v>#N/A</v>
      </c>
      <c r="N430" t="e">
        <f t="shared" si="87"/>
        <v>#N/A</v>
      </c>
      <c r="O430">
        <f t="shared" si="88"/>
        <v>4.2999999999999999E-4</v>
      </c>
      <c r="P430" t="str">
        <f>IF(OR($A430="",games!$H430=""),"",games!$H430)</f>
        <v/>
      </c>
      <c r="Q430" t="str">
        <f t="shared" si="89"/>
        <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Magic Survival</v>
      </c>
      <c r="B431">
        <f>IF($A431="","",games!$B431)</f>
        <v>2019</v>
      </c>
      <c r="C431" t="str">
        <f>IF($A431="","",games!$C431)</f>
        <v>Action</v>
      </c>
      <c r="D431">
        <f>IF($A431="","",COUNTIF(connections!$A$2:$A$1400,$A431)+COUNTIF(connections!$B$2:$B$1400,$A431))</f>
        <v>1</v>
      </c>
      <c r="E431">
        <f t="shared" si="78"/>
        <v>1</v>
      </c>
      <c r="F431">
        <f t="shared" si="79"/>
        <v>23</v>
      </c>
      <c r="G431">
        <f t="shared" si="80"/>
        <v>2019</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Magicraft</v>
      </c>
      <c r="B432">
        <f>IF($A432="","",games!$B432)</f>
        <v>2023</v>
      </c>
      <c r="C432" t="str">
        <f>IF($A432="","",games!$C432)</f>
        <v>Action</v>
      </c>
      <c r="D432">
        <f>IF($A432="","",COUNTIF(connections!$A$2:$A$1400,$A432)+COUNTIF(connections!$B$2:$B$1400,$A432))</f>
        <v>4</v>
      </c>
      <c r="E432">
        <f t="shared" si="78"/>
        <v>1</v>
      </c>
      <c r="F432">
        <f t="shared" si="79"/>
        <v>24</v>
      </c>
      <c r="G432">
        <f t="shared" si="80"/>
        <v>2023</v>
      </c>
      <c r="H432">
        <f t="shared" si="81"/>
        <v>1.552</v>
      </c>
      <c r="I432" t="e">
        <f t="shared" si="82"/>
        <v>#N/A</v>
      </c>
      <c r="J432" t="e">
        <f t="shared" si="83"/>
        <v>#N/A</v>
      </c>
      <c r="K432" t="e">
        <f t="shared" si="84"/>
        <v>#N/A</v>
      </c>
      <c r="L432" t="e">
        <f t="shared" si="85"/>
        <v>#N/A</v>
      </c>
      <c r="M432" t="e">
        <f t="shared" si="86"/>
        <v>#N/A</v>
      </c>
      <c r="N432" t="e">
        <f t="shared" si="87"/>
        <v>#N/A</v>
      </c>
      <c r="O432">
        <f t="shared" si="88"/>
        <v>4.000432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Maid Survivors: Little Angels</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
      </c>
      <c r="Q433" t="str">
        <f t="shared" si="89"/>
        <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Mainframe Defenders</v>
      </c>
      <c r="B434">
        <f>IF($A434="","",games!$B434)</f>
        <v>2020</v>
      </c>
      <c r="C434" t="str">
        <f>IF($A434="","",games!$C434)</f>
        <v>Traditional</v>
      </c>
      <c r="D434">
        <f>IF($A434="","",COUNTIF(connections!$A$2:$A$1400,$A434)+COUNTIF(connections!$B$2:$B$1400,$A434))</f>
        <v>1</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2020</v>
      </c>
      <c r="N434">
        <f t="shared" si="87"/>
        <v>4.5979999999999999</v>
      </c>
      <c r="O434">
        <f t="shared" si="88"/>
        <v>1.000434</v>
      </c>
      <c r="P434" t="str">
        <f>IF(OR($A434="",games!$H434=""),"",games!$H434)</f>
        <v>Yes</v>
      </c>
      <c r="Q434">
        <f t="shared" si="89"/>
        <v>1.000434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Mana Spark</v>
      </c>
      <c r="B435">
        <f>IF($A435="","",games!$B435)</f>
        <v>2018</v>
      </c>
      <c r="C435" t="str">
        <f>IF($A435="","",games!$C435)</f>
        <v>Action</v>
      </c>
      <c r="D435">
        <f>IF($A435="","",COUNTIF(connections!$A$2:$A$1400,$A435)+COUNTIF(connections!$B$2:$B$1400,$A435))</f>
        <v>2</v>
      </c>
      <c r="E435">
        <f t="shared" si="78"/>
        <v>1</v>
      </c>
      <c r="F435">
        <f t="shared" si="79"/>
        <v>27</v>
      </c>
      <c r="G435">
        <f t="shared" si="80"/>
        <v>2018</v>
      </c>
      <c r="H435">
        <f t="shared" si="81"/>
        <v>1.621</v>
      </c>
      <c r="I435" t="e">
        <f t="shared" si="82"/>
        <v>#N/A</v>
      </c>
      <c r="J435" t="e">
        <f t="shared" si="83"/>
        <v>#N/A</v>
      </c>
      <c r="K435" t="e">
        <f t="shared" si="84"/>
        <v>#N/A</v>
      </c>
      <c r="L435" t="e">
        <f t="shared" si="85"/>
        <v>#N/A</v>
      </c>
      <c r="M435" t="e">
        <f t="shared" si="86"/>
        <v>#N/A</v>
      </c>
      <c r="N435" t="e">
        <f t="shared" si="87"/>
        <v>#N/A</v>
      </c>
      <c r="O435">
        <f t="shared" si="88"/>
        <v>2.000435</v>
      </c>
      <c r="P435" t="str">
        <f>IF(OR($A435="",games!$H435=""),"",games!$H435)</f>
        <v>Yes</v>
      </c>
      <c r="Q435">
        <f t="shared" si="89"/>
        <v>2.000435</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Masks of the Void: Origins</v>
      </c>
      <c r="B436">
        <f>IF($A436="","",games!$B436)</f>
        <v>2025</v>
      </c>
      <c r="C436" t="str">
        <f>IF($A436="","",games!$C436)</f>
        <v>Action</v>
      </c>
      <c r="D436">
        <f>IF($A436="","",COUNTIF(connections!$A$2:$A$1400,$A436)+COUNTIF(connections!$B$2:$B$1400,$A436))</f>
        <v>3</v>
      </c>
      <c r="E436">
        <f t="shared" si="78"/>
        <v>1</v>
      </c>
      <c r="F436">
        <f t="shared" si="79"/>
        <v>28</v>
      </c>
      <c r="G436">
        <f t="shared" si="80"/>
        <v>2025</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Master of Piece</v>
      </c>
      <c r="B437">
        <f>IF($A437="","",games!$B437)</f>
        <v>2026</v>
      </c>
      <c r="C437" t="str">
        <f>IF($A437="","",games!$C437)</f>
        <v>Deckbuilder</v>
      </c>
      <c r="D437">
        <f>IF($A437="","",COUNTIF(connections!$A$2:$A$1400,$A437)+COUNTIF(connections!$B$2:$B$1400,$A437))</f>
        <v>4</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4.0004369999999998</v>
      </c>
      <c r="P437" t="str">
        <f>IF(OR($A437="",games!$H437=""),"",games!$H437)</f>
        <v/>
      </c>
      <c r="Q437" t="str">
        <f t="shared" si="89"/>
        <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Maze Mice</v>
      </c>
      <c r="B438">
        <f>IF($A438="","",games!$B438)</f>
        <v>2025</v>
      </c>
      <c r="C438" t="str">
        <f>IF($A438="","",games!$C438)</f>
        <v>Action</v>
      </c>
      <c r="D438">
        <f>IF($A438="","",COUNTIF(connections!$A$2:$A$1400,$A438)+COUNTIF(connections!$B$2:$B$1400,$A438))</f>
        <v>1</v>
      </c>
      <c r="E438">
        <f t="shared" si="78"/>
        <v>1</v>
      </c>
      <c r="F438">
        <f t="shared" si="79"/>
        <v>30</v>
      </c>
      <c r="G438">
        <f t="shared" si="80"/>
        <v>2025</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Mechanibot</v>
      </c>
      <c r="B439">
        <f>IF($A439="","",games!$B439)</f>
        <v>2022</v>
      </c>
      <c r="C439" t="str">
        <f>IF($A439="","",games!$C439)</f>
        <v>Strategy</v>
      </c>
      <c r="D439">
        <f>IF($A439="","",COUNTIF(connections!$A$2:$A$1400,$A439)+COUNTIF(connections!$B$2:$B$1400,$A439))</f>
        <v>0</v>
      </c>
      <c r="E439">
        <f t="shared" si="78"/>
        <v>2</v>
      </c>
      <c r="F439">
        <f t="shared" si="79"/>
        <v>31</v>
      </c>
      <c r="G439" t="e">
        <f t="shared" si="80"/>
        <v>#N/A</v>
      </c>
      <c r="H439" t="e">
        <f t="shared" si="81"/>
        <v>#N/A</v>
      </c>
      <c r="I439">
        <f t="shared" si="82"/>
        <v>2022</v>
      </c>
      <c r="J439">
        <f t="shared" si="83"/>
        <v>2.7130000000000001</v>
      </c>
      <c r="K439" t="e">
        <f t="shared" si="84"/>
        <v>#N/A</v>
      </c>
      <c r="L439" t="e">
        <f t="shared" si="85"/>
        <v>#N/A</v>
      </c>
      <c r="M439" t="e">
        <f t="shared" si="86"/>
        <v>#N/A</v>
      </c>
      <c r="N439" t="e">
        <f t="shared" si="87"/>
        <v>#N/A</v>
      </c>
      <c r="O439">
        <f t="shared" si="88"/>
        <v>4.3899999999999999E-4</v>
      </c>
      <c r="P439" t="str">
        <f>IF(OR($A439="",games!$H439=""),"",games!$H439)</f>
        <v>Yes</v>
      </c>
      <c r="Q439">
        <f t="shared" si="89"/>
        <v>4.3899999999999999E-4</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Megabonk</v>
      </c>
      <c r="B440">
        <f>IF($A440="","",games!$B440)</f>
        <v>2025</v>
      </c>
      <c r="C440" t="str">
        <f>IF($A440="","",games!$C440)</f>
        <v>Action</v>
      </c>
      <c r="D440">
        <f>IF($A440="","",COUNTIF(connections!$A$2:$A$1400,$A440)+COUNTIF(connections!$B$2:$B$1400,$A440))</f>
        <v>4</v>
      </c>
      <c r="E440">
        <f t="shared" si="78"/>
        <v>1</v>
      </c>
      <c r="F440">
        <f t="shared" si="79"/>
        <v>32</v>
      </c>
      <c r="G440">
        <f t="shared" si="80"/>
        <v>2025</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Yes</v>
      </c>
      <c r="Q440">
        <f t="shared" si="89"/>
        <v>4.0004400000000002</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Meme Mayhem</v>
      </c>
      <c r="B441">
        <f>IF($A441="","",games!$B441)</f>
        <v>2024</v>
      </c>
      <c r="C441" t="str">
        <f>IF($A441="","",games!$C441)</f>
        <v>Deckbuilder</v>
      </c>
      <c r="D441">
        <f>IF($A441="","",COUNTIF(connections!$A$2:$A$1400,$A441)+COUNTIF(connections!$B$2:$B$1400,$A441))</f>
        <v>1</v>
      </c>
      <c r="E441">
        <f t="shared" si="78"/>
        <v>3</v>
      </c>
      <c r="F441">
        <f t="shared" si="79"/>
        <v>33</v>
      </c>
      <c r="G441" t="e">
        <f t="shared" si="80"/>
        <v>#N/A</v>
      </c>
      <c r="H441" t="e">
        <f t="shared" si="81"/>
        <v>#N/A</v>
      </c>
      <c r="I441" t="e">
        <f t="shared" si="82"/>
        <v>#N/A</v>
      </c>
      <c r="J441" t="e">
        <f t="shared" si="83"/>
        <v>#N/A</v>
      </c>
      <c r="K441">
        <f t="shared" si="84"/>
        <v>2024</v>
      </c>
      <c r="L441">
        <f t="shared" si="85"/>
        <v>3.7589999999999999</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Menace from the Deep</v>
      </c>
      <c r="B442">
        <f>IF($A442="","",games!$B442)</f>
        <v>2024</v>
      </c>
      <c r="C442" t="str">
        <f>IF($A442="","",games!$C442)</f>
        <v>Deckbuilder</v>
      </c>
      <c r="D442">
        <f>IF($A442="","",COUNTIF(connections!$A$2:$A$1400,$A442)+COUNTIF(connections!$B$2:$B$1400,$A442))</f>
        <v>1</v>
      </c>
      <c r="E442">
        <f t="shared" si="78"/>
        <v>3</v>
      </c>
      <c r="F442">
        <f t="shared" si="79"/>
        <v>0</v>
      </c>
      <c r="G442" t="e">
        <f t="shared" si="80"/>
        <v>#N/A</v>
      </c>
      <c r="H442" t="e">
        <f t="shared" si="81"/>
        <v>#N/A</v>
      </c>
      <c r="I442" t="e">
        <f t="shared" si="82"/>
        <v>#N/A</v>
      </c>
      <c r="J442" t="e">
        <f t="shared" si="83"/>
        <v>#N/A</v>
      </c>
      <c r="K442">
        <f t="shared" si="84"/>
        <v>2024</v>
      </c>
      <c r="L442">
        <f t="shared" si="85"/>
        <v>3</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Menherarium</v>
      </c>
      <c r="B443">
        <f>IF($A443="","",games!$B443)</f>
        <v>2026</v>
      </c>
      <c r="C443" t="str">
        <f>IF($A443="","",games!$C443)</f>
        <v>Deckbuilder</v>
      </c>
      <c r="D443">
        <f>IF($A443="","",COUNTIF(connections!$A$2:$A$1400,$A443)+COUNTIF(connections!$B$2:$B$1400,$A443))</f>
        <v>2</v>
      </c>
      <c r="E443">
        <f t="shared" si="78"/>
        <v>3</v>
      </c>
      <c r="F443">
        <f t="shared" si="79"/>
        <v>1</v>
      </c>
      <c r="G443" t="e">
        <f t="shared" si="80"/>
        <v>#N/A</v>
      </c>
      <c r="H443" t="e">
        <f t="shared" si="81"/>
        <v>#N/A</v>
      </c>
      <c r="I443" t="e">
        <f t="shared" si="82"/>
        <v>#N/A</v>
      </c>
      <c r="J443" t="e">
        <f t="shared" si="83"/>
        <v>#N/A</v>
      </c>
      <c r="K443">
        <f t="shared" si="84"/>
        <v>2026</v>
      </c>
      <c r="L443">
        <f t="shared" si="85"/>
        <v>3.0230000000000001</v>
      </c>
      <c r="M443" t="e">
        <f t="shared" si="86"/>
        <v>#N/A</v>
      </c>
      <c r="N443" t="e">
        <f t="shared" si="87"/>
        <v>#N/A</v>
      </c>
      <c r="O443">
        <f t="shared" si="88"/>
        <v>2.0004430000000002</v>
      </c>
      <c r="P443" t="str">
        <f>IF(OR($A443="",games!$H443=""),"",games!$H443)</f>
        <v/>
      </c>
      <c r="Q443" t="str">
        <f t="shared" si="89"/>
        <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Merge Maestro</v>
      </c>
      <c r="B444">
        <f>IF($A444="","",games!$B444)</f>
        <v>2025</v>
      </c>
      <c r="C444" t="str">
        <f>IF($A444="","",games!$C444)</f>
        <v>Deckbuilder</v>
      </c>
      <c r="D444">
        <f>IF($A444="","",COUNTIF(connections!$A$2:$A$1400,$A444)+COUNTIF(connections!$B$2:$B$1400,$A444))</f>
        <v>1</v>
      </c>
      <c r="E444">
        <f t="shared" si="78"/>
        <v>3</v>
      </c>
      <c r="F444">
        <f t="shared" si="79"/>
        <v>2</v>
      </c>
      <c r="G444" t="e">
        <f t="shared" si="80"/>
        <v>#N/A</v>
      </c>
      <c r="H444" t="e">
        <f t="shared" si="81"/>
        <v>#N/A</v>
      </c>
      <c r="I444" t="e">
        <f t="shared" si="82"/>
        <v>#N/A</v>
      </c>
      <c r="J444" t="e">
        <f t="shared" si="83"/>
        <v>#N/A</v>
      </c>
      <c r="K444">
        <f t="shared" si="84"/>
        <v>2025</v>
      </c>
      <c r="L444">
        <f t="shared" si="85"/>
        <v>3.0459999999999998</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Metal Slug Tactics</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Metal Unit</v>
      </c>
      <c r="B446">
        <f>IF($A446="","",games!$B446)</f>
        <v>2020</v>
      </c>
      <c r="C446" t="str">
        <f>IF($A446="","",games!$C446)</f>
        <v>Action</v>
      </c>
      <c r="D446">
        <f>IF($A446="","",COUNTIF(connections!$A$2:$A$1400,$A446)+COUNTIF(connections!$B$2:$B$1400,$A446))</f>
        <v>1</v>
      </c>
      <c r="E446">
        <f t="shared" si="78"/>
        <v>1</v>
      </c>
      <c r="F446">
        <f t="shared" si="79"/>
        <v>4</v>
      </c>
      <c r="G446">
        <f t="shared" si="80"/>
        <v>2020</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Metallic Child</v>
      </c>
      <c r="B447">
        <f>IF($A447="","",games!$B447)</f>
        <v>2021</v>
      </c>
      <c r="C447" t="str">
        <f>IF($A447="","",games!$C447)</f>
        <v>Action</v>
      </c>
      <c r="D447">
        <f>IF($A447="","",COUNTIF(connections!$A$2:$A$1400,$A447)+COUNTIF(connections!$B$2:$B$1400,$A447))</f>
        <v>0</v>
      </c>
      <c r="E447">
        <f t="shared" si="78"/>
        <v>1</v>
      </c>
      <c r="F447">
        <f t="shared" si="79"/>
        <v>5</v>
      </c>
      <c r="G447">
        <f t="shared" si="80"/>
        <v>2021</v>
      </c>
      <c r="H447">
        <f t="shared" si="81"/>
        <v>1.115</v>
      </c>
      <c r="I447" t="e">
        <f t="shared" si="82"/>
        <v>#N/A</v>
      </c>
      <c r="J447" t="e">
        <f t="shared" si="83"/>
        <v>#N/A</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Mewgenics</v>
      </c>
      <c r="B448">
        <f>IF($A448="","",games!$B448)</f>
        <v>2026</v>
      </c>
      <c r="C448" t="str">
        <f>IF($A448="","",games!$C448)</f>
        <v>Strategy</v>
      </c>
      <c r="D448">
        <f>IF($A448="","",COUNTIF(connections!$A$2:$A$1400,$A448)+COUNTIF(connections!$B$2:$B$1400,$A448))</f>
        <v>2</v>
      </c>
      <c r="E448">
        <f t="shared" si="78"/>
        <v>2</v>
      </c>
      <c r="F448">
        <f t="shared" si="79"/>
        <v>6</v>
      </c>
      <c r="G448" t="e">
        <f t="shared" si="80"/>
        <v>#N/A</v>
      </c>
      <c r="H448" t="e">
        <f t="shared" si="81"/>
        <v>#N/A</v>
      </c>
      <c r="I448">
        <f t="shared" si="82"/>
        <v>2026</v>
      </c>
      <c r="J448">
        <f t="shared" si="83"/>
        <v>2.1379999999999999</v>
      </c>
      <c r="K448" t="e">
        <f t="shared" si="84"/>
        <v>#N/A</v>
      </c>
      <c r="L448" t="e">
        <f t="shared" si="85"/>
        <v>#N/A</v>
      </c>
      <c r="M448" t="e">
        <f t="shared" si="86"/>
        <v>#N/A</v>
      </c>
      <c r="N448" t="e">
        <f t="shared" si="87"/>
        <v>#N/A</v>
      </c>
      <c r="O448">
        <f t="shared" si="88"/>
        <v>2.000448</v>
      </c>
      <c r="P448" t="str">
        <f>IF(OR($A448="",games!$H448=""),"",games!$H448)</f>
        <v>Yes</v>
      </c>
      <c r="Q448">
        <f t="shared" si="89"/>
        <v>2.000448</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Million Depth</v>
      </c>
      <c r="B449">
        <f>IF($A449="","",games!$B449)</f>
        <v>2025</v>
      </c>
      <c r="C449" t="str">
        <f>IF($A449="","",games!$C449)</f>
        <v>Action</v>
      </c>
      <c r="D449">
        <f>IF($A449="","",COUNTIF(connections!$A$2:$A$1400,$A449)+COUNTIF(connections!$B$2:$B$1400,$A449))</f>
        <v>0</v>
      </c>
      <c r="E449">
        <f t="shared" si="78"/>
        <v>1</v>
      </c>
      <c r="F449">
        <f t="shared" si="79"/>
        <v>7</v>
      </c>
      <c r="G449">
        <f t="shared" si="80"/>
        <v>2025</v>
      </c>
      <c r="H449">
        <f t="shared" si="81"/>
        <v>1.161</v>
      </c>
      <c r="I449" t="e">
        <f t="shared" si="82"/>
        <v>#N/A</v>
      </c>
      <c r="J449" t="e">
        <f t="shared" si="83"/>
        <v>#N/A</v>
      </c>
      <c r="K449" t="e">
        <f t="shared" si="84"/>
        <v>#N/A</v>
      </c>
      <c r="L449" t="e">
        <f t="shared" si="85"/>
        <v>#N/A</v>
      </c>
      <c r="M449" t="e">
        <f t="shared" si="86"/>
        <v>#N/A</v>
      </c>
      <c r="N449" t="e">
        <f t="shared" si="87"/>
        <v>#N/A</v>
      </c>
      <c r="O449">
        <f t="shared" si="88"/>
        <v>4.4900000000000002E-4</v>
      </c>
      <c r="P449" t="str">
        <f>IF(OR($A449="",games!$H449=""),"",games!$H449)</f>
        <v/>
      </c>
      <c r="Q449" t="str">
        <f t="shared" si="89"/>
        <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Mimic Logic</v>
      </c>
      <c r="B450">
        <f>IF($A450="","",games!$B450)</f>
        <v>2024</v>
      </c>
      <c r="C450" t="str">
        <f>IF($A450="","",games!$C450)</f>
        <v>Strategy</v>
      </c>
      <c r="D450">
        <f>IF($A450="","",COUNTIF(connections!$A$2:$A$1400,$A450)+COUNTIF(connections!$B$2:$B$1400,$A450))</f>
        <v>1</v>
      </c>
      <c r="E450">
        <f t="shared" ref="E450:E513" si="91">IF($A450="","",IFERROR(MATCH($C450,$R$2:$R$5,0),0))</f>
        <v>2</v>
      </c>
      <c r="F450">
        <f t="shared" ref="F450:F513" si="92">IF($A450="","",MOD(ROW(),34))</f>
        <v>8</v>
      </c>
      <c r="G450" t="e">
        <f t="shared" ref="G450:G513" si="93">IF($A450="",NA(),IF($C450="Action",$B450,NA()))</f>
        <v>#N/A</v>
      </c>
      <c r="H450" t="e">
        <f t="shared" ref="H450:H513" si="94">IF($A450="",NA(),IF($C450="Action",1+$F450*0.023,NA()))</f>
        <v>#N/A</v>
      </c>
      <c r="I450">
        <f t="shared" ref="I450:I513" si="95">IF($A450="",NA(),IF($C450="Strategy",$B450,NA()))</f>
        <v>2024</v>
      </c>
      <c r="J450">
        <f t="shared" ref="J450:J513" si="96">IF($A450="",NA(),IF($C450="Strategy",2+$F450*0.023,NA()))</f>
        <v>2.1840000000000002</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Miracle Chou Party: Sanae to Tenshi no Gensou Labyrinth</v>
      </c>
      <c r="B451">
        <f>IF($A451="","",games!$B451)</f>
        <v>2012</v>
      </c>
      <c r="C451" t="str">
        <f>IF($A451="","",games!$C451)</f>
        <v>Traditional</v>
      </c>
      <c r="D451">
        <f>IF($A451="","",COUNTIF(connections!$A$2:$A$1400,$A451)+COUNTIF(connections!$B$2:$B$1400,$A451))</f>
        <v>2</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2012</v>
      </c>
      <c r="N451">
        <f t="shared" si="100"/>
        <v>4.2069999999999999</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Miracle Party: Fushigi no Gensoukyou 2</v>
      </c>
      <c r="B452">
        <f>IF($A452="","",games!$B452)</f>
        <v>2011</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2011</v>
      </c>
      <c r="N452">
        <f t="shared" si="100"/>
        <v>4.2300000000000004</v>
      </c>
      <c r="O452">
        <f t="shared" si="101"/>
        <v>3.0004520000000001</v>
      </c>
      <c r="P452" t="str">
        <f>IF(OR($A452="",games!$H452=""),"",games!$H452)</f>
        <v/>
      </c>
      <c r="Q452" t="str">
        <f t="shared" si="102"/>
        <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Mission: Thunderbolt</v>
      </c>
      <c r="B453">
        <f>IF($A453="","",games!$B453)</f>
        <v>1987</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1987</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Mistrogue: Mist and the Living Dungeons</v>
      </c>
      <c r="B454">
        <f>IF($A454="","",games!$B454)</f>
        <v>2023</v>
      </c>
      <c r="C454" t="str">
        <f>IF($A454="","",games!$C454)</f>
        <v>Action</v>
      </c>
      <c r="D454">
        <f>IF($A454="","",COUNTIF(connections!$A$2:$A$1400,$A454)+COUNTIF(connections!$B$2:$B$1400,$A454))</f>
        <v>1</v>
      </c>
      <c r="E454">
        <f t="shared" si="91"/>
        <v>1</v>
      </c>
      <c r="F454">
        <f t="shared" si="92"/>
        <v>12</v>
      </c>
      <c r="G454">
        <f t="shared" si="93"/>
        <v>2023</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Mobmania</v>
      </c>
      <c r="B455">
        <f>IF($A455="","",games!$B455)</f>
        <v>2022</v>
      </c>
      <c r="C455" t="str">
        <f>IF($A455="","",games!$C455)</f>
        <v>Action</v>
      </c>
      <c r="D455">
        <f>IF($A455="","",COUNTIF(connections!$A$2:$A$1400,$A455)+COUNTIF(connections!$B$2:$B$1400,$A455))</f>
        <v>1</v>
      </c>
      <c r="E455">
        <f t="shared" si="91"/>
        <v>1</v>
      </c>
      <c r="F455">
        <f t="shared" si="92"/>
        <v>13</v>
      </c>
      <c r="G455">
        <f t="shared" si="93"/>
        <v>2022</v>
      </c>
      <c r="H455">
        <f t="shared" si="94"/>
        <v>1.2989999999999999</v>
      </c>
      <c r="I455" t="e">
        <f t="shared" si="95"/>
        <v>#N/A</v>
      </c>
      <c r="J455" t="e">
        <f t="shared" si="96"/>
        <v>#N/A</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Monmusu Gladiator</v>
      </c>
      <c r="B456">
        <f>IF($A456="","",games!$B456)</f>
        <v>2021</v>
      </c>
      <c r="C456" t="str">
        <f>IF($A456="","",games!$C456)</f>
        <v>Deckbuilder</v>
      </c>
      <c r="D456">
        <f>IF($A456="","",COUNTIF(connections!$A$2:$A$1400,$A456)+COUNTIF(connections!$B$2:$B$1400,$A456))</f>
        <v>1</v>
      </c>
      <c r="E456">
        <f t="shared" si="91"/>
        <v>3</v>
      </c>
      <c r="F456">
        <f t="shared" si="92"/>
        <v>14</v>
      </c>
      <c r="G456" t="e">
        <f t="shared" si="93"/>
        <v>#N/A</v>
      </c>
      <c r="H456" t="e">
        <f t="shared" si="94"/>
        <v>#N/A</v>
      </c>
      <c r="I456" t="e">
        <f t="shared" si="95"/>
        <v>#N/A</v>
      </c>
      <c r="J456" t="e">
        <f t="shared" si="96"/>
        <v>#N/A</v>
      </c>
      <c r="K456">
        <f t="shared" si="97"/>
        <v>2021</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Gate</v>
      </c>
      <c r="B457">
        <f>IF($A457="","",games!$B457)</f>
        <v>2002</v>
      </c>
      <c r="C457" t="str">
        <f>IF($A457="","",games!$C457)</f>
        <v>Traditional</v>
      </c>
      <c r="D457">
        <f>IF($A457="","",COUNTIF(connections!$A$2:$A$1400,$A457)+COUNTIF(connections!$B$2:$B$1400,$A457))</f>
        <v>3</v>
      </c>
      <c r="E457">
        <f t="shared" si="91"/>
        <v>4</v>
      </c>
      <c r="F457">
        <f t="shared" si="92"/>
        <v>15</v>
      </c>
      <c r="G457" t="e">
        <f t="shared" si="93"/>
        <v>#N/A</v>
      </c>
      <c r="H457" t="e">
        <f t="shared" si="94"/>
        <v>#N/A</v>
      </c>
      <c r="I457" t="e">
        <f t="shared" si="95"/>
        <v>#N/A</v>
      </c>
      <c r="J457" t="e">
        <f t="shared" si="96"/>
        <v>#N/A</v>
      </c>
      <c r="K457" t="e">
        <f t="shared" si="97"/>
        <v>#N/A</v>
      </c>
      <c r="L457" t="e">
        <f t="shared" si="98"/>
        <v>#N/A</v>
      </c>
      <c r="M457">
        <f t="shared" si="99"/>
        <v>2002</v>
      </c>
      <c r="N457">
        <f t="shared" si="100"/>
        <v>4.3449999999999998</v>
      </c>
      <c r="O457">
        <f t="shared" si="101"/>
        <v>3.0004569999999999</v>
      </c>
      <c r="P457" t="str">
        <f>IF(OR($A457="",games!$H457=""),"",games!$H457)</f>
        <v>Yes</v>
      </c>
      <c r="Q457">
        <f t="shared" si="102"/>
        <v>3.0004569999999999</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Gate: Ooinaru Dungeon - Fuuin no Orb</v>
      </c>
      <c r="B458">
        <f>IF($A458="","",games!$B458)</f>
        <v>2003</v>
      </c>
      <c r="C458" t="str">
        <f>IF($A458="","",games!$C458)</f>
        <v>Traditional</v>
      </c>
      <c r="D458">
        <f>IF($A458="","",COUNTIF(connections!$A$2:$A$1400,$A458)+COUNTIF(connections!$B$2:$B$1400,$A458))</f>
        <v>1</v>
      </c>
      <c r="E458">
        <f t="shared" si="91"/>
        <v>4</v>
      </c>
      <c r="F458">
        <f t="shared" si="92"/>
        <v>16</v>
      </c>
      <c r="G458" t="e">
        <f t="shared" si="93"/>
        <v>#N/A</v>
      </c>
      <c r="H458" t="e">
        <f t="shared" si="94"/>
        <v>#N/A</v>
      </c>
      <c r="I458" t="e">
        <f t="shared" si="95"/>
        <v>#N/A</v>
      </c>
      <c r="J458" t="e">
        <f t="shared" si="96"/>
        <v>#N/A</v>
      </c>
      <c r="K458" t="e">
        <f t="shared" si="97"/>
        <v>#N/A</v>
      </c>
      <c r="L458" t="e">
        <f t="shared" si="98"/>
        <v>#N/A</v>
      </c>
      <c r="M458">
        <f t="shared" si="99"/>
        <v>2003</v>
      </c>
      <c r="N458">
        <f t="shared" si="100"/>
        <v>4.3680000000000003</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Girls and the Mysterious Adventure</v>
      </c>
      <c r="B459">
        <f>IF($A459="","",games!$B459)</f>
        <v>2020</v>
      </c>
      <c r="C459" t="str">
        <f>IF($A459="","",games!$C459)</f>
        <v>Traditional</v>
      </c>
      <c r="D459">
        <f>IF($A459="","",COUNTIF(connections!$A$2:$A$1400,$A459)+COUNTIF(connections!$B$2:$B$1400,$A459))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 Girls and the Mysterious Adventure 2</v>
      </c>
      <c r="B460">
        <f>IF($A460="","",games!$B460)</f>
        <v>2022</v>
      </c>
      <c r="C460" t="str">
        <f>IF($A460="","",games!$C460)</f>
        <v>Traditional</v>
      </c>
      <c r="D460">
        <f>IF($A460="","",COUNTIF(connections!$A$2:$A$1400,$A460)+COUNTIF(connections!$B$2:$B$1400,$A460))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2022</v>
      </c>
      <c r="N460">
        <f t="shared" si="100"/>
        <v>4.4139999999999997</v>
      </c>
      <c r="O460">
        <f t="shared" si="101"/>
        <v>1.0004599999999999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 Slayers</v>
      </c>
      <c r="B461">
        <f>IF($A461="","",games!$B461)</f>
        <v>2017</v>
      </c>
      <c r="C461" t="str">
        <f>IF($A461="","",games!$C461)</f>
        <v>Deckbuilder</v>
      </c>
      <c r="D461">
        <f>IF($A461="","",COUNTIF(connections!$A$2:$A$1400,$A461)+COUNTIF(connections!$B$2:$B$1400,$A461))</f>
        <v>2</v>
      </c>
      <c r="E461">
        <f t="shared" si="91"/>
        <v>3</v>
      </c>
      <c r="F461">
        <f t="shared" si="92"/>
        <v>19</v>
      </c>
      <c r="G461" t="e">
        <f t="shared" si="93"/>
        <v>#N/A</v>
      </c>
      <c r="H461" t="e">
        <f t="shared" si="94"/>
        <v>#N/A</v>
      </c>
      <c r="I461" t="e">
        <f t="shared" si="95"/>
        <v>#N/A</v>
      </c>
      <c r="J461" t="e">
        <f t="shared" si="96"/>
        <v>#N/A</v>
      </c>
      <c r="K461">
        <f t="shared" si="97"/>
        <v>2017</v>
      </c>
      <c r="L461">
        <f t="shared" si="98"/>
        <v>3.4369999999999998</v>
      </c>
      <c r="M461" t="e">
        <f t="shared" si="99"/>
        <v>#N/A</v>
      </c>
      <c r="N461" t="e">
        <f t="shared" si="100"/>
        <v>#N/A</v>
      </c>
      <c r="O461">
        <f t="shared" si="101"/>
        <v>2.000461</v>
      </c>
      <c r="P461" t="str">
        <f>IF(OR($A461="",games!$H461=""),"",games!$H461)</f>
        <v>Yes</v>
      </c>
      <c r="Q461">
        <f t="shared" si="102"/>
        <v>2.000461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Monster Train</v>
      </c>
      <c r="B462">
        <f>IF($A462="","",games!$B462)</f>
        <v>2020</v>
      </c>
      <c r="C462" t="str">
        <f>IF($A462="","",games!$C462)</f>
        <v>Deckbuilder</v>
      </c>
      <c r="D462">
        <f>IF($A462="","",COUNTIF(connections!$A$2:$A$1400,$A462)+COUNTIF(connections!$B$2:$B$1400,$A462))</f>
        <v>13</v>
      </c>
      <c r="E462">
        <f t="shared" si="91"/>
        <v>3</v>
      </c>
      <c r="F462">
        <f t="shared" si="92"/>
        <v>20</v>
      </c>
      <c r="G462" t="e">
        <f t="shared" si="93"/>
        <v>#N/A</v>
      </c>
      <c r="H462" t="e">
        <f t="shared" si="94"/>
        <v>#N/A</v>
      </c>
      <c r="I462" t="e">
        <f t="shared" si="95"/>
        <v>#N/A</v>
      </c>
      <c r="J462" t="e">
        <f t="shared" si="96"/>
        <v>#N/A</v>
      </c>
      <c r="K462">
        <f t="shared" si="97"/>
        <v>2020</v>
      </c>
      <c r="L462">
        <f t="shared" si="98"/>
        <v>3.46</v>
      </c>
      <c r="M462" t="e">
        <f t="shared" si="99"/>
        <v>#N/A</v>
      </c>
      <c r="N462" t="e">
        <f t="shared" si="100"/>
        <v>#N/A</v>
      </c>
      <c r="O462">
        <f t="shared" si="101"/>
        <v>13.000462000000001</v>
      </c>
      <c r="P462" t="str">
        <f>IF(OR($A462="",games!$H462=""),"",games!$H462)</f>
        <v>Yes</v>
      </c>
      <c r="Q462">
        <f t="shared" si="102"/>
        <v>13.000462000000001</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Monster Train 2</v>
      </c>
      <c r="B463">
        <f>IF($A463="","",games!$B463)</f>
        <v>2025</v>
      </c>
      <c r="C463" t="str">
        <f>IF($A463="","",games!$C463)</f>
        <v>Deckbuilder</v>
      </c>
      <c r="D463">
        <f>IF($A463="","",COUNTIF(connections!$A$2:$A$1400,$A463)+COUNTIF(connections!$B$2:$B$1400,$A463))</f>
        <v>1</v>
      </c>
      <c r="E463">
        <f t="shared" si="91"/>
        <v>3</v>
      </c>
      <c r="F463">
        <f t="shared" si="92"/>
        <v>21</v>
      </c>
      <c r="G463" t="e">
        <f t="shared" si="93"/>
        <v>#N/A</v>
      </c>
      <c r="H463" t="e">
        <f t="shared" si="94"/>
        <v>#N/A</v>
      </c>
      <c r="I463" t="e">
        <f t="shared" si="95"/>
        <v>#N/A</v>
      </c>
      <c r="J463" t="e">
        <f t="shared" si="96"/>
        <v>#N/A</v>
      </c>
      <c r="K463">
        <f t="shared" si="97"/>
        <v>2025</v>
      </c>
      <c r="L463">
        <f t="shared" si="98"/>
        <v>3.4830000000000001</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Monsters are Coming!</v>
      </c>
      <c r="B464">
        <f>IF($A464="","",games!$B464)</f>
        <v>2025</v>
      </c>
      <c r="C464" t="str">
        <f>IF($A464="","",games!$C464)</f>
        <v>Action</v>
      </c>
      <c r="D464">
        <f>IF($A464="","",COUNTIF(connections!$A$2:$A$1400,$A464)+COUNTIF(connections!$B$2:$B$1400,$A464))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Monstrum</v>
      </c>
      <c r="B465">
        <f>IF($A465="","",games!$B465)</f>
        <v>2015</v>
      </c>
      <c r="C465" t="str">
        <f>IF($A465="","",games!$C465)</f>
        <v>Action</v>
      </c>
      <c r="D465">
        <f>IF($A465="","",COUNTIF(connections!$A$2:$A$1400,$A465)+COUNTIF(connections!$B$2:$B$1400,$A465))</f>
        <v>3</v>
      </c>
      <c r="E465">
        <f t="shared" si="91"/>
        <v>1</v>
      </c>
      <c r="F465">
        <f t="shared" si="92"/>
        <v>23</v>
      </c>
      <c r="G465">
        <f t="shared" si="93"/>
        <v>2015</v>
      </c>
      <c r="H465">
        <f t="shared" si="94"/>
        <v>1.5289999999999999</v>
      </c>
      <c r="I465" t="e">
        <f t="shared" si="95"/>
        <v>#N/A</v>
      </c>
      <c r="J465" t="e">
        <f t="shared" si="96"/>
        <v>#N/A</v>
      </c>
      <c r="K465" t="e">
        <f t="shared" si="97"/>
        <v>#N/A</v>
      </c>
      <c r="L465" t="e">
        <f t="shared" si="98"/>
        <v>#N/A</v>
      </c>
      <c r="M465" t="e">
        <f t="shared" si="99"/>
        <v>#N/A</v>
      </c>
      <c r="N465" t="e">
        <f t="shared" si="100"/>
        <v>#N/A</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Montabi</v>
      </c>
      <c r="B466">
        <f>IF($A466="","",games!$B466)</f>
        <v>2026</v>
      </c>
      <c r="C466" t="str">
        <f>IF($A466="","",games!$C466)</f>
        <v>Deckbuilder</v>
      </c>
      <c r="D466">
        <f>IF($A466="","",COUNTIF(connections!$A$2:$A$1400,$A466)+COUNTIF(connections!$B$2:$B$1400,$A466))</f>
        <v>3</v>
      </c>
      <c r="E466">
        <f t="shared" si="91"/>
        <v>3</v>
      </c>
      <c r="F466">
        <f t="shared" si="92"/>
        <v>24</v>
      </c>
      <c r="G466" t="e">
        <f t="shared" si="93"/>
        <v>#N/A</v>
      </c>
      <c r="H466" t="e">
        <f t="shared" si="94"/>
        <v>#N/A</v>
      </c>
      <c r="I466" t="e">
        <f t="shared" si="95"/>
        <v>#N/A</v>
      </c>
      <c r="J466" t="e">
        <f t="shared" si="96"/>
        <v>#N/A</v>
      </c>
      <c r="K466">
        <f t="shared" si="97"/>
        <v>2026</v>
      </c>
      <c r="L466">
        <f t="shared" si="98"/>
        <v>3.552</v>
      </c>
      <c r="M466" t="e">
        <f t="shared" si="99"/>
        <v>#N/A</v>
      </c>
      <c r="N466" t="e">
        <f t="shared" si="100"/>
        <v>#N/A</v>
      </c>
      <c r="O466">
        <f t="shared" si="101"/>
        <v>3.0004659999999999</v>
      </c>
      <c r="P466" t="str">
        <f>IF(OR($A466="",games!$H466=""),"",games!$H466)</f>
        <v/>
      </c>
      <c r="Q466" t="str">
        <f t="shared" si="102"/>
        <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 Hunters</v>
      </c>
      <c r="B467">
        <f>IF($A467="","",games!$B467)</f>
        <v>2016</v>
      </c>
      <c r="C467" t="str">
        <f>IF($A467="","",games!$C467)</f>
        <v>Action</v>
      </c>
      <c r="D467">
        <f>IF($A467="","",COUNTIF(connections!$A$2:$A$1400,$A467)+COUNTIF(connections!$B$2:$B$1400,$A467))</f>
        <v>1</v>
      </c>
      <c r="E467">
        <f t="shared" si="91"/>
        <v>1</v>
      </c>
      <c r="F467">
        <f t="shared" si="92"/>
        <v>25</v>
      </c>
      <c r="G467">
        <f t="shared" si="93"/>
        <v>2016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Yes</v>
      </c>
      <c r="Q467">
        <f t="shared" si="102"/>
        <v>1.000467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Moon Watch</v>
      </c>
      <c r="B468">
        <f>IF($A468="","",games!$B468)</f>
        <v>2024</v>
      </c>
      <c r="C468" t="str">
        <f>IF($A468="","",games!$C468)</f>
        <v>Action</v>
      </c>
      <c r="D468">
        <f>IF($A468="","",COUNTIF(connections!$A$2:$A$1400,$A468)+COUNTIF(connections!$B$2:$B$1400,$A468))</f>
        <v>1</v>
      </c>
      <c r="E468">
        <f t="shared" si="91"/>
        <v>1</v>
      </c>
      <c r="F468">
        <f t="shared" si="92"/>
        <v>26</v>
      </c>
      <c r="G468">
        <f t="shared" si="93"/>
        <v>2024</v>
      </c>
      <c r="H468">
        <f t="shared" si="94"/>
        <v>1.5979999999999999</v>
      </c>
      <c r="I468" t="e">
        <f t="shared" si="95"/>
        <v>#N/A</v>
      </c>
      <c r="J468" t="e">
        <f t="shared" si="96"/>
        <v>#N/A</v>
      </c>
      <c r="K468" t="e">
        <f t="shared" si="97"/>
        <v>#N/A</v>
      </c>
      <c r="L468" t="e">
        <f t="shared" si="98"/>
        <v>#N/A</v>
      </c>
      <c r="M468" t="e">
        <f t="shared" si="99"/>
        <v>#N/A</v>
      </c>
      <c r="N468" t="e">
        <f t="shared" si="100"/>
        <v>#N/A</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Moonlighter</v>
      </c>
      <c r="B469">
        <f>IF($A469="","",games!$B469)</f>
        <v>2018</v>
      </c>
      <c r="C469" t="str">
        <f>IF($A469="","",games!$C469)</f>
        <v>Action</v>
      </c>
      <c r="D469">
        <f>IF($A469="","",COUNTIF(connections!$A$2:$A$1400,$A469)+COUNTIF(connections!$B$2:$B$1400,$A469))</f>
        <v>4</v>
      </c>
      <c r="E469">
        <f t="shared" si="91"/>
        <v>1</v>
      </c>
      <c r="F469">
        <f t="shared" si="92"/>
        <v>27</v>
      </c>
      <c r="G469">
        <f t="shared" si="93"/>
        <v>2018</v>
      </c>
      <c r="H469">
        <f t="shared" si="94"/>
        <v>1.621</v>
      </c>
      <c r="I469" t="e">
        <f t="shared" si="95"/>
        <v>#N/A</v>
      </c>
      <c r="J469" t="e">
        <f t="shared" si="96"/>
        <v>#N/A</v>
      </c>
      <c r="K469" t="e">
        <f t="shared" si="97"/>
        <v>#N/A</v>
      </c>
      <c r="L469" t="e">
        <f t="shared" si="98"/>
        <v>#N/A</v>
      </c>
      <c r="M469" t="e">
        <f t="shared" si="99"/>
        <v>#N/A</v>
      </c>
      <c r="N469" t="e">
        <f t="shared" si="100"/>
        <v>#N/A</v>
      </c>
      <c r="O469">
        <f t="shared" si="101"/>
        <v>4.0004689999999998</v>
      </c>
      <c r="P469" t="str">
        <f>IF(OR($A469="",games!$H469=""),"",games!$H469)</f>
        <v>Yes</v>
      </c>
      <c r="Q469">
        <f t="shared" si="102"/>
        <v>4.0004689999999998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Moonlighter 2: The Endless Vault</v>
      </c>
      <c r="B470">
        <f>IF($A470="","",games!$B470)</f>
        <v>2025</v>
      </c>
      <c r="C470" t="str">
        <f>IF($A470="","",games!$C470)</f>
        <v>Action</v>
      </c>
      <c r="D470">
        <f>IF($A470="","",COUNTIF(connections!$A$2:$A$1400,$A470)+COUNTIF(connections!$B$2:$B$1400,$A470))</f>
        <v>1</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Moonring</v>
      </c>
      <c r="B471">
        <f>IF($A471="","",games!$B471)</f>
        <v>2023</v>
      </c>
      <c r="C471" t="str">
        <f>IF($A471="","",games!$C471)</f>
        <v>Traditional</v>
      </c>
      <c r="D471">
        <f>IF($A471="","",COUNTIF(connections!$A$2:$A$1400,$A471)+COUNTIF(connections!$B$2:$B$1400,$A471))</f>
        <v>4</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2023</v>
      </c>
      <c r="N471">
        <f t="shared" si="100"/>
        <v>4.6669999999999998</v>
      </c>
      <c r="O471">
        <f t="shared" si="101"/>
        <v>4.0004710000000001</v>
      </c>
      <c r="P471" t="str">
        <f>IF(OR($A471="",games!$H471=""),"",games!$H471)</f>
        <v>Yes</v>
      </c>
      <c r="Q471">
        <f t="shared" si="102"/>
        <v>4.0004710000000001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Morbid Metal</v>
      </c>
      <c r="B472">
        <f>IF($A472="","",games!$B472)</f>
        <v>2026</v>
      </c>
      <c r="C472" t="str">
        <f>IF($A472="","",games!$C472)</f>
        <v>Action</v>
      </c>
      <c r="D472">
        <f>IF($A472="","",COUNTIF(connections!$A$2:$A$1400,$A472)+COUNTIF(connections!$B$2:$B$1400,$A472))</f>
        <v>1</v>
      </c>
      <c r="E472">
        <f t="shared" si="91"/>
        <v>1</v>
      </c>
      <c r="F472">
        <f t="shared" si="92"/>
        <v>30</v>
      </c>
      <c r="G472">
        <f t="shared" si="93"/>
        <v>2026</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
      </c>
      <c r="Q472" t="str">
        <f t="shared" si="102"/>
        <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Moria</v>
      </c>
      <c r="B473">
        <f>IF($A473="","",games!$B473)</f>
        <v>1983</v>
      </c>
      <c r="C473" t="str">
        <f>IF($A473="","",games!$C473)</f>
        <v>Traditional</v>
      </c>
      <c r="D473">
        <f>IF($A473="","",COUNTIF(connections!$A$2:$A$1400,$A473)+COUNTIF(connections!$B$2:$B$1400,$A473))</f>
        <v>4</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1983</v>
      </c>
      <c r="N473">
        <f t="shared" si="100"/>
        <v>4.7130000000000001</v>
      </c>
      <c r="O473">
        <f t="shared" si="101"/>
        <v>4.0004730000000004</v>
      </c>
      <c r="P473" t="str">
        <f>IF(OR($A473="",games!$H473=""),"",games!$H473)</f>
        <v>Yes</v>
      </c>
      <c r="Q473">
        <f t="shared" si="102"/>
        <v>4.0004730000000004</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Morimens</v>
      </c>
      <c r="B474">
        <f>IF($A474="","",games!$B474)</f>
        <v>2024</v>
      </c>
      <c r="C474" t="str">
        <f>IF($A474="","",games!$C474)</f>
        <v>Deckbuilder</v>
      </c>
      <c r="D474">
        <f>IF($A474="","",COUNTIF(connections!$A$2:$A$1400,$A474)+COUNTIF(connections!$B$2:$B$1400,$A474))</f>
        <v>1</v>
      </c>
      <c r="E474">
        <f t="shared" si="91"/>
        <v>3</v>
      </c>
      <c r="F474">
        <f t="shared" si="92"/>
        <v>32</v>
      </c>
      <c r="G474" t="e">
        <f t="shared" si="93"/>
        <v>#N/A</v>
      </c>
      <c r="H474" t="e">
        <f t="shared" si="94"/>
        <v>#N/A</v>
      </c>
      <c r="I474" t="e">
        <f t="shared" si="95"/>
        <v>#N/A</v>
      </c>
      <c r="J474" t="e">
        <f t="shared" si="96"/>
        <v>#N/A</v>
      </c>
      <c r="K474">
        <f t="shared" si="97"/>
        <v>2024</v>
      </c>
      <c r="L474">
        <f t="shared" si="98"/>
        <v>3.7359999999999998</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Morsels</v>
      </c>
      <c r="B475">
        <f>IF($A475="","",games!$B475)</f>
        <v>2025</v>
      </c>
      <c r="C475" t="str">
        <f>IF($A475="","",games!$C475)</f>
        <v>Action</v>
      </c>
      <c r="D475">
        <f>IF($A475="","",COUNTIF(connections!$A$2:$A$1400,$A475)+COUNTIF(connections!$B$2:$B$1400,$A475))</f>
        <v>0</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4.75E-4</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Mortal Sin</v>
      </c>
      <c r="B476">
        <f>IF($A476="","",games!$B476)</f>
        <v>2023</v>
      </c>
      <c r="C476" t="str">
        <f>IF($A476="","",games!$C476)</f>
        <v>Action</v>
      </c>
      <c r="D476">
        <f>IF($A476="","",COUNTIF(connections!$A$2:$A$1400,$A476)+COUNTIF(connections!$B$2:$B$1400,$A476))</f>
        <v>2</v>
      </c>
      <c r="E476">
        <f t="shared" si="91"/>
        <v>1</v>
      </c>
      <c r="F476">
        <f t="shared" si="92"/>
        <v>0</v>
      </c>
      <c r="G476">
        <f t="shared" si="93"/>
        <v>2023</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Mothergunship</v>
      </c>
      <c r="B477">
        <f>IF($A477="","",games!$B477)</f>
        <v>2018</v>
      </c>
      <c r="C477" t="str">
        <f>IF($A477="","",games!$C477)</f>
        <v>Action</v>
      </c>
      <c r="D477">
        <f>IF($A477="","",COUNTIF(connections!$A$2:$A$1400,$A477)+COUNTIF(connections!$B$2:$B$1400,$A477))</f>
        <v>2</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2.0004770000000001</v>
      </c>
      <c r="P477" t="str">
        <f>IF(OR($A477="",games!$H477=""),"",games!$H477)</f>
        <v>Yes</v>
      </c>
      <c r="Q477">
        <f t="shared" si="102"/>
        <v>2.0004770000000001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Mothergunship: Forge</v>
      </c>
      <c r="B478">
        <f>IF($A478="","",games!$B478)</f>
        <v>2022</v>
      </c>
      <c r="C478" t="str">
        <f>IF($A478="","",games!$C478)</f>
        <v>Action</v>
      </c>
      <c r="D478">
        <f>IF($A478="","",COUNTIF(connections!$A$2:$A$1400,$A478)+COUNTIF(connections!$B$2:$B$1400,$A478))</f>
        <v>1</v>
      </c>
      <c r="E478">
        <f t="shared" si="91"/>
        <v>1</v>
      </c>
      <c r="F478">
        <f t="shared" si="92"/>
        <v>2</v>
      </c>
      <c r="G478">
        <f t="shared" si="93"/>
        <v>2022</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Yes</v>
      </c>
      <c r="Q478">
        <f t="shared" si="102"/>
        <v>1.000478</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Motto!? Fushigi no Gensoukyou: Under the Moonlight</v>
      </c>
      <c r="B479">
        <f>IF($A479="","",games!$B479)</f>
        <v>2011</v>
      </c>
      <c r="C479" t="str">
        <f>IF($A479="","",games!$C479)</f>
        <v>Traditional</v>
      </c>
      <c r="D479">
        <f>IF($A479="","",COUNTIF(connections!$A$2:$A$1400,$A479)+COUNTIF(connections!$B$2:$B$1400,$A479))</f>
        <v>2</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2011</v>
      </c>
      <c r="N479">
        <f t="shared" si="100"/>
        <v>4.069</v>
      </c>
      <c r="O479">
        <f t="shared" si="101"/>
        <v>2.0004789999999999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Mr. Sun's Hatbox</v>
      </c>
      <c r="B480">
        <f>IF($A480="","",games!$B480)</f>
        <v>2023</v>
      </c>
      <c r="C480" t="str">
        <f>IF($A480="","",games!$C480)</f>
        <v>Action</v>
      </c>
      <c r="D480">
        <f>IF($A480="","",COUNTIF(connections!$A$2:$A$1400,$A480)+COUNTIF(connections!$B$2:$B$1400,$A480))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Muck</v>
      </c>
      <c r="B481">
        <f>IF($A481="","",games!$B481)</f>
        <v>2021</v>
      </c>
      <c r="C481" t="str">
        <f>IF($A481="","",games!$C481)</f>
        <v>Action</v>
      </c>
      <c r="D481">
        <f>IF($A481="","",COUNTIF(connections!$A$2:$A$1400,$A481)+COUNTIF(connections!$B$2:$B$1400,$A481))</f>
        <v>3</v>
      </c>
      <c r="E481">
        <f t="shared" si="91"/>
        <v>1</v>
      </c>
      <c r="F481">
        <f t="shared" si="92"/>
        <v>5</v>
      </c>
      <c r="G481">
        <f t="shared" si="93"/>
        <v>2021</v>
      </c>
      <c r="H481">
        <f t="shared" si="94"/>
        <v>1.115</v>
      </c>
      <c r="I481" t="e">
        <f t="shared" si="95"/>
        <v>#N/A</v>
      </c>
      <c r="J481" t="e">
        <f t="shared" si="96"/>
        <v>#N/A</v>
      </c>
      <c r="K481" t="e">
        <f t="shared" si="97"/>
        <v>#N/A</v>
      </c>
      <c r="L481" t="e">
        <f t="shared" si="98"/>
        <v>#N/A</v>
      </c>
      <c r="M481" t="e">
        <f t="shared" si="99"/>
        <v>#N/A</v>
      </c>
      <c r="N481" t="e">
        <f t="shared" si="100"/>
        <v>#N/A</v>
      </c>
      <c r="O481">
        <f t="shared" si="101"/>
        <v>3.0004810000000002</v>
      </c>
      <c r="P481" t="str">
        <f>IF(OR($A481="",games!$H481=""),"",games!$H481)</f>
        <v>Yes</v>
      </c>
      <c r="Q481">
        <f t="shared" si="102"/>
        <v>3.0004810000000002</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My Card Is Better Than Your Card!</v>
      </c>
      <c r="B482">
        <f>IF($A482="","",games!$B482)</f>
        <v>2025</v>
      </c>
      <c r="C482" t="str">
        <f>IF($A482="","",games!$C482)</f>
        <v>Deckbuilder</v>
      </c>
      <c r="D482">
        <f>IF($A482="","",COUNTIF(connections!$A$2:$A$1400,$A482)+COUNTIF(connections!$B$2:$B$1400,$A482))</f>
        <v>1</v>
      </c>
      <c r="E482">
        <f t="shared" si="91"/>
        <v>3</v>
      </c>
      <c r="F482">
        <f t="shared" si="92"/>
        <v>6</v>
      </c>
      <c r="G482" t="e">
        <f t="shared" si="93"/>
        <v>#N/A</v>
      </c>
      <c r="H482" t="e">
        <f t="shared" si="94"/>
        <v>#N/A</v>
      </c>
      <c r="I482" t="e">
        <f t="shared" si="95"/>
        <v>#N/A</v>
      </c>
      <c r="J482" t="e">
        <f t="shared" si="96"/>
        <v>#N/A</v>
      </c>
      <c r="K482">
        <f t="shared" si="97"/>
        <v>2025</v>
      </c>
      <c r="L482">
        <f t="shared" si="98"/>
        <v>3.1379999999999999</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Mystery Chronicle: One Way Heroics</v>
      </c>
      <c r="B483">
        <f>IF($A483="","",games!$B483)</f>
        <v>2016</v>
      </c>
      <c r="C483" t="str">
        <f>IF($A483="","",games!$C483)</f>
        <v>Traditional</v>
      </c>
      <c r="D483">
        <f>IF($A483="","",COUNTIF(connections!$A$2:$A$1400,$A483)+COUNTIF(connections!$B$2:$B$1400,$A483))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2016</v>
      </c>
      <c r="N483">
        <f t="shared" si="100"/>
        <v>4.1609999999999996</v>
      </c>
      <c r="O483">
        <f t="shared" si="101"/>
        <v>1.000483</v>
      </c>
      <c r="P483" t="str">
        <f>IF(OR($A483="",games!$H483=""),"",games!$H483)</f>
        <v>Yes</v>
      </c>
      <c r="Q483">
        <f t="shared" si="102"/>
        <v>1.000483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Mystery Dungeon 2: Shiren the Wanderer</v>
      </c>
      <c r="B484">
        <f>IF($A484="","",games!$B484)</f>
        <v>1995</v>
      </c>
      <c r="C484" t="str">
        <f>IF($A484="","",games!$C484)</f>
        <v>Traditional</v>
      </c>
      <c r="D484">
        <f>IF($A484="","",COUNTIF(connections!$A$2:$A$1400,$A484)+COUNTIF(connections!$B$2:$B$1400,$A484))</f>
        <v>9</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1995</v>
      </c>
      <c r="N484">
        <f t="shared" si="100"/>
        <v>4.1840000000000002</v>
      </c>
      <c r="O484">
        <f t="shared" si="101"/>
        <v>9.0004840000000002</v>
      </c>
      <c r="P484" t="str">
        <f>IF(OR($A484="",games!$H484=""),"",games!$H484)</f>
        <v>Yes</v>
      </c>
      <c r="Q484">
        <f t="shared" si="102"/>
        <v>9.0004840000000002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Mythical Concept Starnaut</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Nadir</v>
      </c>
      <c r="B486">
        <f>IF($A486="","",games!$B486)</f>
        <v>2022</v>
      </c>
      <c r="C486" t="str">
        <f>IF($A486="","",games!$C486)</f>
        <v>Deckbuilder</v>
      </c>
      <c r="D486">
        <f>IF($A486="","",COUNTIF(connections!$A$2:$A$1400,$A486)+COUNTIF(connections!$B$2:$B$1400,$A486))</f>
        <v>2</v>
      </c>
      <c r="E486">
        <f t="shared" si="91"/>
        <v>3</v>
      </c>
      <c r="F486">
        <f t="shared" si="92"/>
        <v>10</v>
      </c>
      <c r="G486" t="e">
        <f t="shared" si="93"/>
        <v>#N/A</v>
      </c>
      <c r="H486" t="e">
        <f t="shared" si="94"/>
        <v>#N/A</v>
      </c>
      <c r="I486" t="e">
        <f t="shared" si="95"/>
        <v>#N/A</v>
      </c>
      <c r="J486" t="e">
        <f t="shared" si="96"/>
        <v>#N/A</v>
      </c>
      <c r="K486">
        <f t="shared" si="97"/>
        <v>2022</v>
      </c>
      <c r="L486">
        <f t="shared" si="98"/>
        <v>3.23</v>
      </c>
      <c r="M486" t="e">
        <f t="shared" si="99"/>
        <v>#N/A</v>
      </c>
      <c r="N486" t="e">
        <f t="shared" si="100"/>
        <v>#N/A</v>
      </c>
      <c r="O486">
        <f t="shared" si="101"/>
        <v>2.000486</v>
      </c>
      <c r="P486" t="str">
        <f>IF(OR($A486="",games!$H486=""),"",games!$H486)</f>
        <v/>
      </c>
      <c r="Q486" t="str">
        <f t="shared" si="102"/>
        <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NecroBouncer</v>
      </c>
      <c r="B487">
        <f>IF($A487="","",games!$B487)</f>
        <v>2022</v>
      </c>
      <c r="C487" t="str">
        <f>IF($A487="","",games!$C487)</f>
        <v>Action</v>
      </c>
      <c r="D487">
        <f>IF($A487="","",COUNTIF(connections!$A$2:$A$1400,$A487)+COUNTIF(connections!$B$2:$B$1400,$A487))</f>
        <v>2</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Necroking</v>
      </c>
      <c r="B488">
        <f>IF($A488="","",games!$B488)</f>
        <v>2024</v>
      </c>
      <c r="C488" t="str">
        <f>IF($A488="","",games!$C488)</f>
        <v>Strategy</v>
      </c>
      <c r="D488">
        <f>IF($A488="","",COUNTIF(connections!$A$2:$A$1400,$A488)+COUNTIF(connections!$B$2:$B$1400,$A488))</f>
        <v>0</v>
      </c>
      <c r="E488">
        <f t="shared" si="91"/>
        <v>2</v>
      </c>
      <c r="F488">
        <f t="shared" si="92"/>
        <v>12</v>
      </c>
      <c r="G488" t="e">
        <f t="shared" si="93"/>
        <v>#N/A</v>
      </c>
      <c r="H488" t="e">
        <f t="shared" si="94"/>
        <v>#N/A</v>
      </c>
      <c r="I488">
        <f t="shared" si="95"/>
        <v>2024</v>
      </c>
      <c r="J488">
        <f t="shared" si="96"/>
        <v>2.2759999999999998</v>
      </c>
      <c r="K488" t="e">
        <f t="shared" si="97"/>
        <v>#N/A</v>
      </c>
      <c r="L488" t="e">
        <f t="shared" si="98"/>
        <v>#N/A</v>
      </c>
      <c r="M488" t="e">
        <f t="shared" si="99"/>
        <v>#N/A</v>
      </c>
      <c r="N488" t="e">
        <f t="shared" si="100"/>
        <v>#N/A</v>
      </c>
      <c r="O488">
        <f t="shared" si="101"/>
        <v>4.8799999999999999E-4</v>
      </c>
      <c r="P488" t="str">
        <f>IF(OR($A488="",games!$H488=""),"",games!$H488)</f>
        <v>Yes</v>
      </c>
      <c r="Q488">
        <f t="shared" si="102"/>
        <v>4.8799999999999999E-4</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Necrosmith</v>
      </c>
      <c r="B489">
        <f>IF($A489="","",games!$B489)</f>
        <v>2022</v>
      </c>
      <c r="C489" t="str">
        <f>IF($A489="","",games!$C489)</f>
        <v>Action</v>
      </c>
      <c r="D489">
        <f>IF($A489="","",COUNTIF(connections!$A$2:$A$1400,$A489)+COUNTIF(connections!$B$2:$B$1400,$A489))</f>
        <v>2</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Necrosmith 2</v>
      </c>
      <c r="B490">
        <f>IF($A490="","",games!$B490)</f>
        <v>2024</v>
      </c>
      <c r="C490" t="str">
        <f>IF($A490="","",games!$C490)</f>
        <v>Action</v>
      </c>
      <c r="D490">
        <f>IF($A490="","",COUNTIF(connections!$A$2:$A$1400,$A490)+COUNTIF(connections!$B$2:$B$1400,$A490))</f>
        <v>1</v>
      </c>
      <c r="E490">
        <f t="shared" si="91"/>
        <v>1</v>
      </c>
      <c r="F490">
        <f t="shared" si="92"/>
        <v>14</v>
      </c>
      <c r="G490">
        <f t="shared" si="93"/>
        <v>2024</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Neon Abyss</v>
      </c>
      <c r="B491">
        <f>IF($A491="","",games!$B491)</f>
        <v>2019</v>
      </c>
      <c r="C491" t="str">
        <f>IF($A491="","",games!$C491)</f>
        <v>Action</v>
      </c>
      <c r="D491">
        <f>IF($A491="","",COUNTIF(connections!$A$2:$A$1400,$A491)+COUNTIF(connections!$B$2:$B$1400,$A491))</f>
        <v>2</v>
      </c>
      <c r="E491">
        <f t="shared" si="91"/>
        <v>1</v>
      </c>
      <c r="F491">
        <f t="shared" si="92"/>
        <v>15</v>
      </c>
      <c r="G491">
        <f t="shared" si="93"/>
        <v>2019</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Yes</v>
      </c>
      <c r="Q491">
        <f t="shared" si="102"/>
        <v>2.0004909999999998</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Neon Abyss 2</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Neophyte</v>
      </c>
      <c r="B493">
        <f>IF($A493="","",games!$B493)</f>
        <v>2022</v>
      </c>
      <c r="C493" t="str">
        <f>IF($A493="","",games!$C493)</f>
        <v>Action</v>
      </c>
      <c r="D493">
        <f>IF($A493="","",COUNTIF(connections!$A$2:$A$1400,$A493)+COUNTIF(connections!$B$2:$B$1400,$A493))</f>
        <v>1</v>
      </c>
      <c r="E493">
        <f t="shared" si="91"/>
        <v>1</v>
      </c>
      <c r="F493">
        <f t="shared" si="92"/>
        <v>17</v>
      </c>
      <c r="G493">
        <f t="shared" si="93"/>
        <v>2022</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NetHack</v>
      </c>
      <c r="B494">
        <f>IF($A494="","",games!$B494)</f>
        <v>1987</v>
      </c>
      <c r="C494" t="str">
        <f>IF($A494="","",games!$C494)</f>
        <v>Traditional</v>
      </c>
      <c r="D494">
        <f>IF($A494="","",COUNTIF(connections!$A$2:$A$1400,$A494)+COUNTIF(connections!$B$2:$B$1400,$A494))</f>
        <v>30</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1987</v>
      </c>
      <c r="N494">
        <f t="shared" si="100"/>
        <v>4.4139999999999997</v>
      </c>
      <c r="O494">
        <f t="shared" si="101"/>
        <v>30.000494</v>
      </c>
      <c r="P494" t="str">
        <f>IF(OR($A494="",games!$H494=""),"",games!$H494)</f>
        <v>Yes</v>
      </c>
      <c r="Q494">
        <f t="shared" si="102"/>
        <v>30.000494</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Netherworld Covenant</v>
      </c>
      <c r="B495">
        <f>IF($A495="","",games!$B495)</f>
        <v>2025</v>
      </c>
      <c r="C495" t="str">
        <f>IF($A495="","",games!$C495)</f>
        <v>Action</v>
      </c>
      <c r="D495">
        <f>IF($A495="","",COUNTIF(connections!$A$2:$A$1400,$A495)+COUNTIF(connections!$B$2:$B$1400,$A495))</f>
        <v>2</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Nigate Tale</v>
      </c>
      <c r="B496">
        <f>IF($A496="","",games!$B496)</f>
        <v>2021</v>
      </c>
      <c r="C496" t="str">
        <f>IF($A496="","",games!$C496)</f>
        <v>Action</v>
      </c>
      <c r="D496">
        <f>IF($A496="","",COUNTIF(connections!$A$2:$A$1400,$A496)+COUNTIF(connections!$B$2:$B$1400,$A496))</f>
        <v>1</v>
      </c>
      <c r="E496">
        <f t="shared" si="91"/>
        <v>1</v>
      </c>
      <c r="F496">
        <f t="shared" si="92"/>
        <v>20</v>
      </c>
      <c r="G496">
        <f t="shared" si="93"/>
        <v>2021</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Night Swarm</v>
      </c>
      <c r="B497">
        <f>IF($A497="","",games!$B497)</f>
        <v>2025</v>
      </c>
      <c r="C497" t="str">
        <f>IF($A497="","",games!$C497)</f>
        <v>Action</v>
      </c>
      <c r="D497">
        <f>IF($A497="","",COUNTIF(connections!$A$2:$A$1400,$A497)+COUNTIF(connections!$B$2:$B$1400,$A497))</f>
        <v>1</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Nimrods</v>
      </c>
      <c r="B498">
        <f>IF($A498="","",games!$B498)</f>
        <v>2024</v>
      </c>
      <c r="C498" t="str">
        <f>IF($A498="","",games!$C498)</f>
        <v>Action</v>
      </c>
      <c r="D498">
        <f>IF($A498="","",COUNTIF(connections!$A$2:$A$1400,$A498)+COUNTIF(connections!$B$2:$B$1400,$A498))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
      </c>
      <c r="Q498" t="str">
        <f t="shared" si="102"/>
        <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Node Crown</v>
      </c>
      <c r="B499">
        <f>IF($A499="","",games!$B499)</f>
        <v>2026</v>
      </c>
      <c r="C499" t="str">
        <f>IF($A499="","",games!$C499)</f>
        <v>Deckbuilder</v>
      </c>
      <c r="D499">
        <f>IF($A499="","",COUNTIF(connections!$A$2:$A$1400,$A499)+COUNTIF(connections!$B$2:$B$1400,$A499))</f>
        <v>5</v>
      </c>
      <c r="E499">
        <f t="shared" si="91"/>
        <v>3</v>
      </c>
      <c r="F499">
        <f t="shared" si="92"/>
        <v>23</v>
      </c>
      <c r="G499" t="e">
        <f t="shared" si="93"/>
        <v>#N/A</v>
      </c>
      <c r="H499" t="e">
        <f t="shared" si="94"/>
        <v>#N/A</v>
      </c>
      <c r="I499" t="e">
        <f t="shared" si="95"/>
        <v>#N/A</v>
      </c>
      <c r="J499" t="e">
        <f t="shared" si="96"/>
        <v>#N/A</v>
      </c>
      <c r="K499">
        <f t="shared" si="97"/>
        <v>2026</v>
      </c>
      <c r="L499">
        <f t="shared" si="98"/>
        <v>3.5289999999999999</v>
      </c>
      <c r="M499" t="e">
        <f t="shared" si="99"/>
        <v>#N/A</v>
      </c>
      <c r="N499" t="e">
        <f t="shared" si="100"/>
        <v>#N/A</v>
      </c>
      <c r="O499">
        <f t="shared" si="101"/>
        <v>5.0004989999999996</v>
      </c>
      <c r="P499" t="str">
        <f>IF(OR($A499="",games!$H499=""),"",games!$H499)</f>
        <v/>
      </c>
      <c r="Q499" t="str">
        <f t="shared" si="102"/>
        <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Node Farm</v>
      </c>
      <c r="B500">
        <f>IF($A500="","",games!$B500)</f>
        <v>2024</v>
      </c>
      <c r="C500" t="str">
        <f>IF($A500="","",games!$C500)</f>
        <v>Strategy</v>
      </c>
      <c r="D500">
        <f>IF($A500="","",COUNTIF(connections!$A$2:$A$1400,$A500)+COUNTIF(connections!$B$2:$B$1400,$A500))</f>
        <v>1</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Noita</v>
      </c>
      <c r="B501">
        <f>IF($A501="","",games!$B501)</f>
        <v>2019</v>
      </c>
      <c r="C501" t="str">
        <f>IF($A501="","",games!$C501)</f>
        <v>Action</v>
      </c>
      <c r="D501">
        <f>IF($A501="","",COUNTIF(connections!$A$2:$A$1400,$A501)+COUNTIF(connections!$B$2:$B$1400,$A501))</f>
        <v>6</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6.0005009999999999</v>
      </c>
      <c r="P501" t="str">
        <f>IF(OR($A501="",games!$H501=""),"",games!$H501)</f>
        <v>Yes</v>
      </c>
      <c r="Q501">
        <f t="shared" si="102"/>
        <v>6.0005009999999999</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Nomad Survival</v>
      </c>
      <c r="B502">
        <f>IF($A502="","",games!$B502)</f>
        <v>2022</v>
      </c>
      <c r="C502" t="str">
        <f>IF($A502="","",games!$C502)</f>
        <v>Action</v>
      </c>
      <c r="D502">
        <f>IF($A502="","",COUNTIF(connections!$A$2:$A$1400,$A502)+COUNTIF(connections!$B$2:$B$1400,$A502))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Noobs Are Coming</v>
      </c>
      <c r="B503">
        <f>IF($A503="","",games!$B503)</f>
        <v>2025</v>
      </c>
      <c r="C503" t="str">
        <f>IF($A503="","",games!$C503)</f>
        <v>Action</v>
      </c>
      <c r="D503">
        <f>IF($A503="","",COUNTIF(connections!$A$2:$A$1400,$A503)+COUNTIF(connections!$B$2:$B$1400,$A503))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Noobs Want to Live</v>
      </c>
      <c r="B504">
        <f>IF($A504="","",games!$B504)</f>
        <v>2023</v>
      </c>
      <c r="C504" t="str">
        <f>IF($A504="","",games!$C504)</f>
        <v>Action</v>
      </c>
      <c r="D504">
        <f>IF($A504="","",COUNTIF(connections!$A$2:$A$1400,$A504)+COUNTIF(connections!$B$2:$B$1400,$A504))</f>
        <v>1</v>
      </c>
      <c r="E504">
        <f t="shared" si="91"/>
        <v>1</v>
      </c>
      <c r="F504">
        <f t="shared" si="92"/>
        <v>28</v>
      </c>
      <c r="G504">
        <f t="shared" si="93"/>
        <v>2023</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Nordhold</v>
      </c>
      <c r="B505">
        <f>IF($A505="","",games!$B505)</f>
        <v>2025</v>
      </c>
      <c r="C505" t="str">
        <f>IF($A505="","",games!$C505)</f>
        <v>Strategy</v>
      </c>
      <c r="D505">
        <f>IF($A505="","",COUNTIF(connections!$A$2:$A$1400,$A505)+COUNTIF(connections!$B$2:$B$1400,$A505))</f>
        <v>2</v>
      </c>
      <c r="E505">
        <f t="shared" si="91"/>
        <v>2</v>
      </c>
      <c r="F505">
        <f t="shared" si="92"/>
        <v>29</v>
      </c>
      <c r="G505" t="e">
        <f t="shared" si="93"/>
        <v>#N/A</v>
      </c>
      <c r="H505" t="e">
        <f t="shared" si="94"/>
        <v>#N/A</v>
      </c>
      <c r="I505">
        <f t="shared" si="95"/>
        <v>2025</v>
      </c>
      <c r="J505">
        <f t="shared" si="96"/>
        <v>2.6669999999999998</v>
      </c>
      <c r="K505" t="e">
        <f t="shared" si="97"/>
        <v>#N/A</v>
      </c>
      <c r="L505" t="e">
        <f t="shared" si="98"/>
        <v>#N/A</v>
      </c>
      <c r="M505" t="e">
        <f t="shared" si="99"/>
        <v>#N/A</v>
      </c>
      <c r="N505" t="e">
        <f t="shared" si="100"/>
        <v>#N/A</v>
      </c>
      <c r="O505">
        <f t="shared" si="101"/>
        <v>2.000505</v>
      </c>
      <c r="P505" t="str">
        <f>IF(OR($A505="",games!$H505=""),"",games!$H505)</f>
        <v>Yes</v>
      </c>
      <c r="Q505">
        <f t="shared" si="102"/>
        <v>2.000505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Nordic Ashes: Survivors of Ragnarok</v>
      </c>
      <c r="B506">
        <f>IF($A506="","",games!$B506)</f>
        <v>2022</v>
      </c>
      <c r="C506" t="str">
        <f>IF($A506="","",games!$C506)</f>
        <v>Action</v>
      </c>
      <c r="D506">
        <f>IF($A506="","",COUNTIF(connections!$A$2:$A$1400,$A506)+COUNTIF(connections!$B$2:$B$1400,$A506))</f>
        <v>1</v>
      </c>
      <c r="E506">
        <f t="shared" si="91"/>
        <v>1</v>
      </c>
      <c r="F506">
        <f t="shared" si="92"/>
        <v>30</v>
      </c>
      <c r="G506">
        <f t="shared" si="93"/>
        <v>2022</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No-Skin</v>
      </c>
      <c r="B507">
        <f>IF($A507="","",games!$B507)</f>
        <v>2025</v>
      </c>
      <c r="C507" t="str">
        <f>IF($A507="","",games!$C507)</f>
        <v>Strategy</v>
      </c>
      <c r="D507">
        <f>IF($A507="","",COUNTIF(connections!$A$2:$A$1400,$A507)+COUNTIF(connections!$B$2:$B$1400,$A507))</f>
        <v>0</v>
      </c>
      <c r="E507">
        <f t="shared" si="91"/>
        <v>2</v>
      </c>
      <c r="F507">
        <f t="shared" si="92"/>
        <v>31</v>
      </c>
      <c r="G507" t="e">
        <f t="shared" si="93"/>
        <v>#N/A</v>
      </c>
      <c r="H507" t="e">
        <f t="shared" si="94"/>
        <v>#N/A</v>
      </c>
      <c r="I507">
        <f t="shared" si="95"/>
        <v>2025</v>
      </c>
      <c r="J507">
        <f t="shared" si="96"/>
        <v>2.7130000000000001</v>
      </c>
      <c r="K507" t="e">
        <f t="shared" si="97"/>
        <v>#N/A</v>
      </c>
      <c r="L507" t="e">
        <f t="shared" si="98"/>
        <v>#N/A</v>
      </c>
      <c r="M507" t="e">
        <f t="shared" si="99"/>
        <v>#N/A</v>
      </c>
      <c r="N507" t="e">
        <f t="shared" si="100"/>
        <v>#N/A</v>
      </c>
      <c r="O507">
        <f t="shared" si="101"/>
        <v>5.0699999999999996E-4</v>
      </c>
      <c r="P507" t="str">
        <f>IF(OR($A507="",games!$H507=""),"",games!$H507)</f>
        <v/>
      </c>
      <c r="Q507" t="str">
        <f t="shared" si="102"/>
        <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Nova Drift</v>
      </c>
      <c r="B508">
        <f>IF($A508="","",games!$B508)</f>
        <v>2019</v>
      </c>
      <c r="C508" t="str">
        <f>IF($A508="","",games!$C508)</f>
        <v>Action</v>
      </c>
      <c r="D508">
        <f>IF($A508="","",COUNTIF(connections!$A$2:$A$1400,$A508)+COUNTIF(connections!$B$2:$B$1400,$A508))</f>
        <v>1</v>
      </c>
      <c r="E508">
        <f t="shared" si="91"/>
        <v>1</v>
      </c>
      <c r="F508">
        <f t="shared" si="92"/>
        <v>32</v>
      </c>
      <c r="G508">
        <f t="shared" si="93"/>
        <v>2019</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Nowhere Prophet</v>
      </c>
      <c r="B509">
        <f>IF($A509="","",games!$B509)</f>
        <v>2019</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2019</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Nubby's Number Factory</v>
      </c>
      <c r="B510">
        <f>IF($A510="","",games!$B510)</f>
        <v>2024</v>
      </c>
      <c r="C510" t="str">
        <f>IF($A510="","",games!$C510)</f>
        <v>Strategy</v>
      </c>
      <c r="D510">
        <f>IF($A510="","",COUNTIF(connections!$A$2:$A$1400,$A510)+COUNTIF(connections!$B$2:$B$1400,$A510))</f>
        <v>5</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5.0005100000000002</v>
      </c>
      <c r="P510" t="str">
        <f>IF(OR($A510="",games!$H510=""),"",games!$H510)</f>
        <v>Yes</v>
      </c>
      <c r="Q510">
        <f t="shared" si="102"/>
        <v>5.0005100000000002</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Nuclear Throne</v>
      </c>
      <c r="B511">
        <f>IF($A511="","",games!$B511)</f>
        <v>2015</v>
      </c>
      <c r="C511" t="str">
        <f>IF($A511="","",games!$C511)</f>
        <v>Action</v>
      </c>
      <c r="D511">
        <f>IF($A511="","",COUNTIF(connections!$A$2:$A$1400,$A511)+COUNTIF(connections!$B$2:$B$1400,$A511))</f>
        <v>23</v>
      </c>
      <c r="E511">
        <f t="shared" si="91"/>
        <v>1</v>
      </c>
      <c r="F511">
        <f t="shared" si="92"/>
        <v>1</v>
      </c>
      <c r="G511">
        <f t="shared" si="93"/>
        <v>2015</v>
      </c>
      <c r="H511">
        <f t="shared" si="94"/>
        <v>1.0229999999999999</v>
      </c>
      <c r="I511" t="e">
        <f t="shared" si="95"/>
        <v>#N/A</v>
      </c>
      <c r="J511" t="e">
        <f t="shared" si="96"/>
        <v>#N/A</v>
      </c>
      <c r="K511" t="e">
        <f t="shared" si="97"/>
        <v>#N/A</v>
      </c>
      <c r="L511" t="e">
        <f t="shared" si="98"/>
        <v>#N/A</v>
      </c>
      <c r="M511" t="e">
        <f t="shared" si="99"/>
        <v>#N/A</v>
      </c>
      <c r="N511" t="e">
        <f t="shared" si="100"/>
        <v>#N/A</v>
      </c>
      <c r="O511">
        <f t="shared" si="101"/>
        <v>23.000510999999999</v>
      </c>
      <c r="P511" t="str">
        <f>IF(OR($A511="",games!$H511=""),"",games!$H511)</f>
        <v>Yes</v>
      </c>
      <c r="Q511">
        <f t="shared" si="102"/>
        <v>23.000510999999999</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Nunholy</v>
      </c>
      <c r="B512">
        <f>IF($A512="","",games!$B512)</f>
        <v>2025</v>
      </c>
      <c r="C512" t="str">
        <f>IF($A512="","",games!$C512)</f>
        <v>Action</v>
      </c>
      <c r="D512">
        <f>IF($A512="","",COUNTIF(connections!$A$2:$A$1400,$A512)+COUNTIF(connections!$B$2:$B$1400,$A512))</f>
        <v>1</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Oaken Tower</v>
      </c>
      <c r="B513">
        <f>IF($A513="","",games!$B513)</f>
        <v>2026</v>
      </c>
      <c r="C513" t="str">
        <f>IF($A513="","",games!$C513)</f>
        <v>Strategy</v>
      </c>
      <c r="D513">
        <f>IF($A513="","",COUNTIF(connections!$A$2:$A$1400,$A513)+COUNTIF(connections!$B$2:$B$1400,$A513))</f>
        <v>3</v>
      </c>
      <c r="E513">
        <f t="shared" si="91"/>
        <v>2</v>
      </c>
      <c r="F513">
        <f t="shared" si="92"/>
        <v>3</v>
      </c>
      <c r="G513" t="e">
        <f t="shared" si="93"/>
        <v>#N/A</v>
      </c>
      <c r="H513" t="e">
        <f t="shared" si="94"/>
        <v>#N/A</v>
      </c>
      <c r="I513">
        <f t="shared" si="95"/>
        <v>2026</v>
      </c>
      <c r="J513">
        <f t="shared" si="96"/>
        <v>2.069</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Oblivion Override</v>
      </c>
      <c r="B514">
        <f>IF($A514="","",games!$B514)</f>
        <v>2023</v>
      </c>
      <c r="C514" t="str">
        <f>IF($A514="","",games!$C514)</f>
        <v>Action</v>
      </c>
      <c r="D514">
        <f>IF($A514="","",COUNTIF(connections!$A$2:$A$1400,$A514)+COUNTIF(connections!$B$2:$B$1400,$A514))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Obsidian Prince</v>
      </c>
      <c r="B515">
        <f>IF($A515="","",games!$B515)</f>
        <v>2021</v>
      </c>
      <c r="C515" t="str">
        <f>IF($A515="","",games!$C515)</f>
        <v>Deckbuilder</v>
      </c>
      <c r="D515">
        <f>IF($A515="","",COUNTIF(connections!$A$2:$A$1400,$A515)+COUNTIF(connections!$B$2:$B$1400,$A515))</f>
        <v>2</v>
      </c>
      <c r="E515">
        <f t="shared" si="104"/>
        <v>3</v>
      </c>
      <c r="F515">
        <f t="shared" si="105"/>
        <v>5</v>
      </c>
      <c r="G515" t="e">
        <f t="shared" si="106"/>
        <v>#N/A</v>
      </c>
      <c r="H515" t="e">
        <f t="shared" si="107"/>
        <v>#N/A</v>
      </c>
      <c r="I515" t="e">
        <f t="shared" si="108"/>
        <v>#N/A</v>
      </c>
      <c r="J515" t="e">
        <f t="shared" si="109"/>
        <v>#N/A</v>
      </c>
      <c r="K515">
        <f t="shared" si="110"/>
        <v>2021</v>
      </c>
      <c r="L515">
        <f t="shared" si="111"/>
        <v>3.1150000000000002</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Octogeddon</v>
      </c>
      <c r="B516">
        <f>IF($A516="","",games!$B516)</f>
        <v>2018</v>
      </c>
      <c r="C516" t="str">
        <f>IF($A516="","",games!$C516)</f>
        <v>Action</v>
      </c>
      <c r="D516">
        <f>IF($A516="","",COUNTIF(connections!$A$2:$A$1400,$A516)+COUNTIF(connections!$B$2:$B$1400,$A516))</f>
        <v>0</v>
      </c>
      <c r="E516">
        <f t="shared" si="104"/>
        <v>1</v>
      </c>
      <c r="F516">
        <f t="shared" si="105"/>
        <v>6</v>
      </c>
      <c r="G516">
        <f t="shared" si="106"/>
        <v>2018</v>
      </c>
      <c r="H516">
        <f t="shared" si="107"/>
        <v>1.1379999999999999</v>
      </c>
      <c r="I516" t="e">
        <f t="shared" si="108"/>
        <v>#N/A</v>
      </c>
      <c r="J516" t="e">
        <f t="shared" si="109"/>
        <v>#N/A</v>
      </c>
      <c r="K516" t="e">
        <f t="shared" si="110"/>
        <v>#N/A</v>
      </c>
      <c r="L516" t="e">
        <f t="shared" si="111"/>
        <v>#N/A</v>
      </c>
      <c r="M516" t="e">
        <f t="shared" si="112"/>
        <v>#N/A</v>
      </c>
      <c r="N516" t="e">
        <f t="shared" si="113"/>
        <v>#N/A</v>
      </c>
      <c r="O516">
        <f t="shared" si="114"/>
        <v>5.1599999999999997E-4</v>
      </c>
      <c r="P516" t="str">
        <f>IF(OR($A516="",games!$H516=""),"",games!$H516)</f>
        <v>Yes</v>
      </c>
      <c r="Q516">
        <f t="shared" si="115"/>
        <v>5.1599999999999997E-4</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Oddcore</v>
      </c>
      <c r="B517">
        <f>IF($A517="","",games!$B517)</f>
        <v>2026</v>
      </c>
      <c r="C517" t="str">
        <f>IF($A517="","",games!$C517)</f>
        <v>Action</v>
      </c>
      <c r="D517">
        <f>IF($A517="","",COUNTIF(connections!$A$2:$A$1400,$A517)+COUNTIF(connections!$B$2:$B$1400,$A517))</f>
        <v>1</v>
      </c>
      <c r="E517">
        <f t="shared" si="104"/>
        <v>1</v>
      </c>
      <c r="F517">
        <f t="shared" si="105"/>
        <v>7</v>
      </c>
      <c r="G517">
        <f t="shared" si="106"/>
        <v>2026</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
      </c>
      <c r="Q517" t="str">
        <f t="shared" si="115"/>
        <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Odinfall</v>
      </c>
      <c r="B518">
        <f>IF($A518="","",games!$B518)</f>
        <v>2025</v>
      </c>
      <c r="C518" t="str">
        <f>IF($A518="","",games!$C518)</f>
        <v>Action</v>
      </c>
      <c r="D518">
        <f>IF($A518="","",COUNTIF(connections!$A$2:$A$1400,$A518)+COUNTIF(connections!$B$2:$B$1400,$A518))</f>
        <v>2</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Ogre Chambers 2222</v>
      </c>
      <c r="B519">
        <f>IF($A519="","",games!$B519)</f>
        <v>2026</v>
      </c>
      <c r="C519" t="str">
        <f>IF($A519="","",games!$C519)</f>
        <v>Action</v>
      </c>
      <c r="D519">
        <f>IF($A519="","",COUNTIF(connections!$A$2:$A$1400,$A519)+COUNTIF(connections!$B$2:$B$1400,$A519))</f>
        <v>3</v>
      </c>
      <c r="E519">
        <f t="shared" si="104"/>
        <v>1</v>
      </c>
      <c r="F519">
        <f t="shared" si="105"/>
        <v>9</v>
      </c>
      <c r="G519">
        <f t="shared" si="106"/>
        <v>2026</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Omega</v>
      </c>
      <c r="B520">
        <f>IF($A520="","",games!$B520)</f>
        <v>1987</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Omega Labyrinth</v>
      </c>
      <c r="B521">
        <f>IF($A521="","",games!$B521)</f>
        <v>2015</v>
      </c>
      <c r="C521" t="str">
        <f>IF($A521="","",games!$C521)</f>
        <v>Traditional</v>
      </c>
      <c r="D521">
        <f>IF($A521="","",COUNTIF(connections!$A$2:$A$1400,$A521)+COUNTIF(connections!$B$2:$B$1400,$A521))</f>
        <v>2</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2015</v>
      </c>
      <c r="N521">
        <f t="shared" si="113"/>
        <v>4.2530000000000001</v>
      </c>
      <c r="O521">
        <f t="shared" si="114"/>
        <v>2.000521</v>
      </c>
      <c r="P521" t="str">
        <f>IF(OR($A521="",games!$H521=""),"",games!$H521)</f>
        <v/>
      </c>
      <c r="Q521" t="str">
        <f t="shared" si="115"/>
        <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Omega Labyrinth Life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Omega Labyrinth Z</v>
      </c>
      <c r="B523">
        <f>IF($A523="","",games!$B523)</f>
        <v>2017</v>
      </c>
      <c r="C523" t="str">
        <f>IF($A523="","",games!$C523)</f>
        <v>Traditional</v>
      </c>
      <c r="D523">
        <f>IF($A523="","",COUNTIF(connections!$A$2:$A$1400,$A523)+COUNTIF(connections!$B$2:$B$1400,$A523))</f>
        <v>2</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2017</v>
      </c>
      <c r="N523">
        <f t="shared" si="113"/>
        <v>4.2990000000000004</v>
      </c>
      <c r="O523">
        <f t="shared" si="114"/>
        <v>2.0005229999999998</v>
      </c>
      <c r="P523" t="str">
        <f>IF(OR($A523="",games!$H523=""),"",games!$H523)</f>
        <v/>
      </c>
      <c r="Q523" t="str">
        <f t="shared" si="115"/>
        <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Omelet You Cook</v>
      </c>
      <c r="B524">
        <f>IF($A524="","",games!$B524)</f>
        <v>2025</v>
      </c>
      <c r="C524" t="str">
        <f>IF($A524="","",games!$C524)</f>
        <v>Deckbuilder</v>
      </c>
      <c r="D524">
        <f>IF($A524="","",COUNTIF(connections!$A$2:$A$1400,$A524)+COUNTIF(connections!$B$2:$B$1400,$A524))</f>
        <v>3</v>
      </c>
      <c r="E524">
        <f t="shared" si="104"/>
        <v>3</v>
      </c>
      <c r="F524">
        <f t="shared" si="105"/>
        <v>14</v>
      </c>
      <c r="G524" t="e">
        <f t="shared" si="106"/>
        <v>#N/A</v>
      </c>
      <c r="H524" t="e">
        <f t="shared" si="107"/>
        <v>#N/A</v>
      </c>
      <c r="I524" t="e">
        <f t="shared" si="108"/>
        <v>#N/A</v>
      </c>
      <c r="J524" t="e">
        <f t="shared" si="109"/>
        <v>#N/A</v>
      </c>
      <c r="K524">
        <f t="shared" si="110"/>
        <v>2025</v>
      </c>
      <c r="L524">
        <f t="shared" si="111"/>
        <v>3.3220000000000001</v>
      </c>
      <c r="M524" t="e">
        <f t="shared" si="112"/>
        <v>#N/A</v>
      </c>
      <c r="N524" t="e">
        <f t="shared" si="113"/>
        <v>#N/A</v>
      </c>
      <c r="O524">
        <f t="shared" si="114"/>
        <v>3.000524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One Step From Eden</v>
      </c>
      <c r="B525">
        <f>IF($A525="","",games!$B525)</f>
        <v>2020</v>
      </c>
      <c r="C525" t="str">
        <f>IF($A525="","",games!$C525)</f>
        <v>Action</v>
      </c>
      <c r="D525">
        <f>IF($A525="","",COUNTIF(connections!$A$2:$A$1400,$A525)+COUNTIF(connections!$B$2:$B$1400,$A525))</f>
        <v>3</v>
      </c>
      <c r="E525">
        <f t="shared" si="104"/>
        <v>1</v>
      </c>
      <c r="F525">
        <f t="shared" si="105"/>
        <v>15</v>
      </c>
      <c r="G525">
        <f t="shared" si="106"/>
        <v>2020</v>
      </c>
      <c r="H525">
        <f t="shared" si="107"/>
        <v>1.345</v>
      </c>
      <c r="I525" t="e">
        <f t="shared" si="108"/>
        <v>#N/A</v>
      </c>
      <c r="J525" t="e">
        <f t="shared" si="109"/>
        <v>#N/A</v>
      </c>
      <c r="K525" t="e">
        <f t="shared" si="110"/>
        <v>#N/A</v>
      </c>
      <c r="L525" t="e">
        <f t="shared" si="111"/>
        <v>#N/A</v>
      </c>
      <c r="M525" t="e">
        <f t="shared" si="112"/>
        <v>#N/A</v>
      </c>
      <c r="N525" t="e">
        <f t="shared" si="113"/>
        <v>#N/A</v>
      </c>
      <c r="O525">
        <f t="shared" si="114"/>
        <v>3.0005250000000001</v>
      </c>
      <c r="P525" t="str">
        <f>IF(OR($A525="",games!$H525=""),"",games!$H525)</f>
        <v>Yes</v>
      </c>
      <c r="Q525">
        <f t="shared" si="115"/>
        <v>3.0005250000000001</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One Way Heroics</v>
      </c>
      <c r="B526">
        <f>IF($A526="","",games!$B526)</f>
        <v>2014</v>
      </c>
      <c r="C526" t="str">
        <f>IF($A526="","",games!$C526)</f>
        <v>Traditional</v>
      </c>
      <c r="D526">
        <f>IF($A526="","",COUNTIF(connections!$A$2:$A$1400,$A526)+COUNTIF(connections!$B$2:$B$1400,$A526))</f>
        <v>3</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2014</v>
      </c>
      <c r="N526">
        <f t="shared" si="113"/>
        <v>4.3680000000000003</v>
      </c>
      <c r="O526">
        <f t="shared" si="114"/>
        <v>3.0005259999999998</v>
      </c>
      <c r="P526" t="str">
        <f>IF(OR($A526="",games!$H526=""),"",games!$H526)</f>
        <v>Yes</v>
      </c>
      <c r="Q526">
        <f t="shared" si="115"/>
        <v>3.0005259999999998</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OneBit Adventure</v>
      </c>
      <c r="B527">
        <f>IF($A527="","",games!$B527)</f>
        <v>2019</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2019</v>
      </c>
      <c r="N527">
        <f t="shared" si="113"/>
        <v>4.391</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Order Automatica</v>
      </c>
      <c r="B528">
        <f>IF($A528="","",games!$B528)</f>
        <v>2026</v>
      </c>
      <c r="C528" t="str">
        <f>IF($A528="","",games!$C528)</f>
        <v>Deckbuilder</v>
      </c>
      <c r="D528">
        <f>IF($A528="","",COUNTIF(connections!$A$2:$A$1400,$A528)+COUNTIF(connections!$B$2:$B$1400,$A528))</f>
        <v>2</v>
      </c>
      <c r="E528">
        <f t="shared" si="104"/>
        <v>3</v>
      </c>
      <c r="F528">
        <f t="shared" si="105"/>
        <v>18</v>
      </c>
      <c r="G528" t="e">
        <f t="shared" si="106"/>
        <v>#N/A</v>
      </c>
      <c r="H528" t="e">
        <f t="shared" si="107"/>
        <v>#N/A</v>
      </c>
      <c r="I528" t="e">
        <f t="shared" si="108"/>
        <v>#N/A</v>
      </c>
      <c r="J528" t="e">
        <f t="shared" si="109"/>
        <v>#N/A</v>
      </c>
      <c r="K528">
        <f t="shared" si="110"/>
        <v>2026</v>
      </c>
      <c r="L528">
        <f t="shared" si="111"/>
        <v>3.4140000000000001</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OTXO</v>
      </c>
      <c r="B529">
        <f>IF($A529="","",games!$B529)</f>
        <v>2023</v>
      </c>
      <c r="C529" t="str">
        <f>IF($A529="","",games!$C529)</f>
        <v>Action</v>
      </c>
      <c r="D529">
        <f>IF($A529="","",COUNTIF(connections!$A$2:$A$1400,$A529)+COUNTIF(connections!$B$2:$B$1400,$A529))</f>
        <v>0</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5.2899999999999996E-4</v>
      </c>
      <c r="P529" t="str">
        <f>IF(OR($A529="",games!$H529=""),"",games!$H529)</f>
        <v>Yes</v>
      </c>
      <c r="Q529">
        <f t="shared" si="115"/>
        <v>5.2899999999999996E-4</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Our Darker Purpose</v>
      </c>
      <c r="B530">
        <f>IF($A530="","",games!$B530)</f>
        <v>2014</v>
      </c>
      <c r="C530" t="str">
        <f>IF($A530="","",games!$C530)</f>
        <v>Action</v>
      </c>
      <c r="D530">
        <f>IF($A530="","",COUNTIF(connections!$A$2:$A$1400,$A530)+COUNTIF(connections!$B$2:$B$1400,$A530))</f>
        <v>2</v>
      </c>
      <c r="E530">
        <f t="shared" si="104"/>
        <v>1</v>
      </c>
      <c r="F530">
        <f t="shared" si="105"/>
        <v>20</v>
      </c>
      <c r="G530">
        <f t="shared" si="106"/>
        <v>2014</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Overlooting</v>
      </c>
      <c r="B531">
        <f>IF($A531="","",games!$B531)</f>
        <v>2025</v>
      </c>
      <c r="C531" t="str">
        <f>IF($A531="","",games!$C531)</f>
        <v>Strategy</v>
      </c>
      <c r="D531">
        <f>IF($A531="","",COUNTIF(connections!$A$2:$A$1400,$A531)+COUNTIF(connections!$B$2:$B$1400,$A531))</f>
        <v>0</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5.31E-4</v>
      </c>
      <c r="P531" t="str">
        <f>IF(OR($A531="",games!$H531=""),"",games!$H531)</f>
        <v>Yes</v>
      </c>
      <c r="Q531">
        <f t="shared" si="115"/>
        <v>5.31E-4</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Overworld</v>
      </c>
      <c r="B532">
        <f>IF($A532="","",games!$B532)</f>
        <v>2022</v>
      </c>
      <c r="C532" t="str">
        <f>IF($A532="","",games!$C532)</f>
        <v>Traditional</v>
      </c>
      <c r="D532">
        <f>IF($A532="","",COUNTIF(connections!$A$2:$A$1400,$A532)+COUNTIF(connections!$B$2:$B$1400,$A532))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2022</v>
      </c>
      <c r="N532">
        <f t="shared" si="113"/>
        <v>4.5060000000000002</v>
      </c>
      <c r="O532">
        <f t="shared" si="114"/>
        <v>1.000532</v>
      </c>
      <c r="P532" t="str">
        <f>IF(OR($A532="",games!$H532=""),"",games!$H532)</f>
        <v>Yes</v>
      </c>
      <c r="Q532">
        <f t="shared" si="115"/>
        <v>1.000532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Pairs &amp; Perils</v>
      </c>
      <c r="B533">
        <f>IF($A533="","",games!$B533)</f>
        <v>2025</v>
      </c>
      <c r="C533" t="str">
        <f>IF($A533="","",games!$C533)</f>
        <v>Deckbuilder</v>
      </c>
      <c r="D533">
        <f>IF($A533="","",COUNTIF(connections!$A$2:$A$1400,$A533)+COUNTIF(connections!$B$2:$B$1400,$A533))</f>
        <v>1</v>
      </c>
      <c r="E533">
        <f t="shared" si="104"/>
        <v>3</v>
      </c>
      <c r="F533">
        <f t="shared" si="105"/>
        <v>23</v>
      </c>
      <c r="G533" t="e">
        <f t="shared" si="106"/>
        <v>#N/A</v>
      </c>
      <c r="H533" t="e">
        <f t="shared" si="107"/>
        <v>#N/A</v>
      </c>
      <c r="I533" t="e">
        <f t="shared" si="108"/>
        <v>#N/A</v>
      </c>
      <c r="J533" t="e">
        <f t="shared" si="109"/>
        <v>#N/A</v>
      </c>
      <c r="K533">
        <f t="shared" si="110"/>
        <v>2025</v>
      </c>
      <c r="L533">
        <f t="shared" si="111"/>
        <v>3.5289999999999999</v>
      </c>
      <c r="M533" t="e">
        <f t="shared" si="112"/>
        <v>#N/A</v>
      </c>
      <c r="N533" t="e">
        <f t="shared" si="113"/>
        <v>#N/A</v>
      </c>
      <c r="O533">
        <f t="shared" si="114"/>
        <v>1.0005329999999999</v>
      </c>
      <c r="P533" t="str">
        <f>IF(OR($A533="",games!$H533=""),"",games!$H533)</f>
        <v>Yes</v>
      </c>
      <c r="Q533">
        <f t="shared" si="115"/>
        <v>1.0005329999999999</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Paper Animal Adventure</v>
      </c>
      <c r="B534">
        <f>IF($A534="","",games!$B534)</f>
        <v>2025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2025</v>
      </c>
      <c r="N534">
        <f t="shared" si="113"/>
        <v>4.5519999999999996</v>
      </c>
      <c r="O534">
        <f t="shared" si="114"/>
        <v>1.000534</v>
      </c>
      <c r="P534" t="str">
        <f>IF(OR($A534="",games!$H534=""),"",games!$H534)</f>
        <v/>
      </c>
      <c r="Q534" t="str">
        <f t="shared" si="115"/>
        <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Paper Planet</v>
      </c>
      <c r="B535">
        <f>IF($A535="","",games!$B535)</f>
        <v>2023</v>
      </c>
      <c r="C535" t="str">
        <f>IF($A535="","",games!$C535)</f>
        <v>Action</v>
      </c>
      <c r="D535">
        <f>IF($A535="","",COUNTIF(connections!$A$2:$A$1400,$A535)+COUNTIF(connections!$B$2:$B$1400,$A535))</f>
        <v>1</v>
      </c>
      <c r="E535">
        <f t="shared" si="104"/>
        <v>1</v>
      </c>
      <c r="F535">
        <f t="shared" si="105"/>
        <v>25</v>
      </c>
      <c r="G535">
        <f t="shared" si="106"/>
        <v>2023</v>
      </c>
      <c r="H535">
        <f t="shared" si="107"/>
        <v>1.575</v>
      </c>
      <c r="I535" t="e">
        <f t="shared" si="108"/>
        <v>#N/A</v>
      </c>
      <c r="J535" t="e">
        <f t="shared" si="109"/>
        <v>#N/A</v>
      </c>
      <c r="K535" t="e">
        <f t="shared" si="110"/>
        <v>#N/A</v>
      </c>
      <c r="L535" t="e">
        <f t="shared" si="111"/>
        <v>#N/A</v>
      </c>
      <c r="M535" t="e">
        <f t="shared" si="112"/>
        <v>#N/A</v>
      </c>
      <c r="N535" t="e">
        <f t="shared" si="113"/>
        <v>#N/A</v>
      </c>
      <c r="O535">
        <f t="shared" si="114"/>
        <v>1.000535</v>
      </c>
      <c r="P535" t="str">
        <f>IF(OR($A535="",games!$H535=""),"",games!$H535)</f>
        <v>Yes</v>
      </c>
      <c r="Q535">
        <f t="shared" si="115"/>
        <v>1.000535</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Passant: A Chess Roguelike</v>
      </c>
      <c r="B536">
        <f>IF($A536="","",games!$B536)</f>
        <v>2025</v>
      </c>
      <c r="C536" t="str">
        <f>IF($A536="","",games!$C536)</f>
        <v>Strategy</v>
      </c>
      <c r="D536">
        <f>IF($A536="","",COUNTIF(connections!$A$2:$A$1400,$A536)+COUNTIF(connections!$B$2:$B$1400,$A536))</f>
        <v>1</v>
      </c>
      <c r="E536">
        <f t="shared" si="104"/>
        <v>2</v>
      </c>
      <c r="F536">
        <f t="shared" si="105"/>
        <v>26</v>
      </c>
      <c r="G536" t="e">
        <f t="shared" si="106"/>
        <v>#N/A</v>
      </c>
      <c r="H536" t="e">
        <f t="shared" si="107"/>
        <v>#N/A</v>
      </c>
      <c r="I536">
        <f t="shared" si="108"/>
        <v>2025</v>
      </c>
      <c r="J536">
        <f t="shared" si="109"/>
        <v>2.5979999999999999</v>
      </c>
      <c r="K536" t="e">
        <f t="shared" si="110"/>
        <v>#N/A</v>
      </c>
      <c r="L536" t="e">
        <f t="shared" si="111"/>
        <v>#N/A</v>
      </c>
      <c r="M536" t="e">
        <f t="shared" si="112"/>
        <v>#N/A</v>
      </c>
      <c r="N536" t="e">
        <f t="shared" si="113"/>
        <v>#N/A</v>
      </c>
      <c r="O536">
        <f t="shared" si="114"/>
        <v>1.0005360000000001</v>
      </c>
      <c r="P536" t="str">
        <f>IF(OR($A536="",games!$H536=""),"",games!$H536)</f>
        <v/>
      </c>
      <c r="Q536" t="str">
        <f t="shared" si="115"/>
        <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Patch Quest</v>
      </c>
      <c r="B537">
        <f>IF($A537="","",games!$B537)</f>
        <v>2021</v>
      </c>
      <c r="C537" t="str">
        <f>IF($A537="","",games!$C537)</f>
        <v>Action</v>
      </c>
      <c r="D537">
        <f>IF($A537="","",COUNTIF(connections!$A$2:$A$1400,$A537)+COUNTIF(connections!$B$2:$B$1400,$A537))</f>
        <v>2</v>
      </c>
      <c r="E537">
        <f t="shared" si="104"/>
        <v>1</v>
      </c>
      <c r="F537">
        <f t="shared" si="105"/>
        <v>27</v>
      </c>
      <c r="G537">
        <f t="shared" si="106"/>
        <v>2021</v>
      </c>
      <c r="H537">
        <f t="shared" si="107"/>
        <v>1.621</v>
      </c>
      <c r="I537" t="e">
        <f t="shared" si="108"/>
        <v>#N/A</v>
      </c>
      <c r="J537" t="e">
        <f t="shared" si="109"/>
        <v>#N/A</v>
      </c>
      <c r="K537" t="e">
        <f t="shared" si="110"/>
        <v>#N/A</v>
      </c>
      <c r="L537" t="e">
        <f t="shared" si="111"/>
        <v>#N/A</v>
      </c>
      <c r="M537" t="e">
        <f t="shared" si="112"/>
        <v>#N/A</v>
      </c>
      <c r="N537" t="e">
        <f t="shared" si="113"/>
        <v>#N/A</v>
      </c>
      <c r="O537">
        <f t="shared" si="114"/>
        <v>2.000537</v>
      </c>
      <c r="P537" t="str">
        <f>IF(OR($A537="",games!$H537=""),"",games!$H537)</f>
        <v>Yes</v>
      </c>
      <c r="Q537">
        <f t="shared" si="115"/>
        <v>2.000537</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Path of Achra</v>
      </c>
      <c r="B538">
        <f>IF($A538="","",games!$B538)</f>
        <v>2023</v>
      </c>
      <c r="C538" t="str">
        <f>IF($A538="","",games!$C538)</f>
        <v>Traditional</v>
      </c>
      <c r="D538">
        <f>IF($A538="","",COUNTIF(connections!$A$2:$A$1400,$A538)+COUNTIF(connections!$B$2:$B$1400,$A538))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2023</v>
      </c>
      <c r="N538">
        <f t="shared" si="113"/>
        <v>4.6440000000000001</v>
      </c>
      <c r="O538">
        <f t="shared" si="114"/>
        <v>3.0005380000000001</v>
      </c>
      <c r="P538" t="str">
        <f>IF(OR($A538="",games!$H538=""),"",games!$H538)</f>
        <v>Yes</v>
      </c>
      <c r="Q538">
        <f t="shared" si="115"/>
        <v>3.0005380000000001</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Pathogenic</v>
      </c>
      <c r="B539">
        <f>IF($A539="","",games!$B539)</f>
        <v>2026</v>
      </c>
      <c r="C539" t="str">
        <f>IF($A539="","",games!$C539)</f>
        <v>Action</v>
      </c>
      <c r="D539">
        <f>IF($A539="","",COUNTIF(connections!$A$2:$A$1400,$A539)+COUNTIF(connections!$B$2:$B$1400,$A539))</f>
        <v>3</v>
      </c>
      <c r="E539">
        <f t="shared" si="104"/>
        <v>1</v>
      </c>
      <c r="F539">
        <f t="shared" si="105"/>
        <v>29</v>
      </c>
      <c r="G539">
        <f t="shared" si="106"/>
        <v>2026</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
      </c>
      <c r="Q539" t="str">
        <f t="shared" si="115"/>
        <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Pathos: Nethack Codex</v>
      </c>
      <c r="B540">
        <f>IF($A540="","",games!$B540)</f>
        <v>2015</v>
      </c>
      <c r="C540" t="str">
        <f>IF($A540="","",games!$C540)</f>
        <v>Traditional</v>
      </c>
      <c r="D540">
        <f>IF($A540="","",COUNTIF(connections!$A$2:$A$1400,$A540)+COUNTIF(connections!$B$2:$B$1400,$A540))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2015</v>
      </c>
      <c r="N540">
        <f t="shared" si="113"/>
        <v>4.6899999999999995</v>
      </c>
      <c r="O540">
        <f t="shared" si="114"/>
        <v>1.00054</v>
      </c>
      <c r="P540" t="str">
        <f>IF(OR($A540="",games!$H540=""),"",games!$H540)</f>
        <v>Yes</v>
      </c>
      <c r="Q540">
        <f t="shared" si="115"/>
        <v>1.00054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Pawnbarian</v>
      </c>
      <c r="B541">
        <f>IF($A541="","",games!$B541)</f>
        <v>2021</v>
      </c>
      <c r="C541" t="str">
        <f>IF($A541="","",games!$C541)</f>
        <v>Strategy</v>
      </c>
      <c r="D541">
        <f>IF($A541="","",COUNTIF(connections!$A$2:$A$1400,$A541)+COUNTIF(connections!$B$2:$B$1400,$A541))</f>
        <v>3</v>
      </c>
      <c r="E541">
        <f t="shared" si="104"/>
        <v>2</v>
      </c>
      <c r="F541">
        <f t="shared" si="105"/>
        <v>31</v>
      </c>
      <c r="G541" t="e">
        <f t="shared" si="106"/>
        <v>#N/A</v>
      </c>
      <c r="H541" t="e">
        <f t="shared" si="107"/>
        <v>#N/A</v>
      </c>
      <c r="I541">
        <f t="shared" si="108"/>
        <v>2021</v>
      </c>
      <c r="J541">
        <f t="shared" si="109"/>
        <v>2.7130000000000001</v>
      </c>
      <c r="K541" t="e">
        <f t="shared" si="110"/>
        <v>#N/A</v>
      </c>
      <c r="L541" t="e">
        <f t="shared" si="111"/>
        <v>#N/A</v>
      </c>
      <c r="M541" t="e">
        <f t="shared" si="112"/>
        <v>#N/A</v>
      </c>
      <c r="N541" t="e">
        <f t="shared" si="113"/>
        <v>#N/A</v>
      </c>
      <c r="O541">
        <f t="shared" si="114"/>
        <v>3.0005410000000001</v>
      </c>
      <c r="P541" t="str">
        <f>IF(OR($A541="",games!$H541=""),"",games!$H541)</f>
        <v>Yes</v>
      </c>
      <c r="Q541">
        <f t="shared" si="115"/>
        <v>3.0005410000000001</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Peglin</v>
      </c>
      <c r="B542">
        <f>IF($A542="","",games!$B542)</f>
        <v>2022</v>
      </c>
      <c r="C542" t="str">
        <f>IF($A542="","",games!$C542)</f>
        <v>Deckbuilder</v>
      </c>
      <c r="D542">
        <f>IF($A542="","",COUNTIF(connections!$A$2:$A$1400,$A542)+COUNTIF(connections!$B$2:$B$1400,$A542))</f>
        <v>7</v>
      </c>
      <c r="E542">
        <f t="shared" si="104"/>
        <v>3</v>
      </c>
      <c r="F542">
        <f t="shared" si="105"/>
        <v>32</v>
      </c>
      <c r="G542" t="e">
        <f t="shared" si="106"/>
        <v>#N/A</v>
      </c>
      <c r="H542" t="e">
        <f t="shared" si="107"/>
        <v>#N/A</v>
      </c>
      <c r="I542" t="e">
        <f t="shared" si="108"/>
        <v>#N/A</v>
      </c>
      <c r="J542" t="e">
        <f t="shared" si="109"/>
        <v>#N/A</v>
      </c>
      <c r="K542">
        <f t="shared" si="110"/>
        <v>2022</v>
      </c>
      <c r="L542">
        <f t="shared" si="111"/>
        <v>3.7359999999999998</v>
      </c>
      <c r="M542" t="e">
        <f t="shared" si="112"/>
        <v>#N/A</v>
      </c>
      <c r="N542" t="e">
        <f t="shared" si="113"/>
        <v>#N/A</v>
      </c>
      <c r="O542">
        <f t="shared" si="114"/>
        <v>7.0005420000000003</v>
      </c>
      <c r="P542" t="str">
        <f>IF(OR($A542="",games!$H542=""),"",games!$H542)</f>
        <v>Yes</v>
      </c>
      <c r="Q542">
        <f t="shared" si="115"/>
        <v>7.0005420000000003</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Pegs X Stickers</v>
      </c>
      <c r="B543">
        <f>IF($A543="","",games!$B543)</f>
        <v>2026</v>
      </c>
      <c r="C543" t="str">
        <f>IF($A543="","",games!$C543)</f>
        <v>Deckbuilder</v>
      </c>
      <c r="D543">
        <f>IF($A543="","",COUNTIF(connections!$A$2:$A$1400,$A543)+COUNTIF(connections!$B$2:$B$1400,$A543))</f>
        <v>3</v>
      </c>
      <c r="E543">
        <f t="shared" si="104"/>
        <v>3</v>
      </c>
      <c r="F543">
        <f t="shared" si="105"/>
        <v>33</v>
      </c>
      <c r="G543" t="e">
        <f t="shared" si="106"/>
        <v>#N/A</v>
      </c>
      <c r="H543" t="e">
        <f t="shared" si="107"/>
        <v>#N/A</v>
      </c>
      <c r="I543" t="e">
        <f t="shared" si="108"/>
        <v>#N/A</v>
      </c>
      <c r="J543" t="e">
        <f t="shared" si="109"/>
        <v>#N/A</v>
      </c>
      <c r="K543">
        <f t="shared" si="110"/>
        <v>2026</v>
      </c>
      <c r="L543">
        <f t="shared" si="111"/>
        <v>3.7589999999999999</v>
      </c>
      <c r="M543" t="e">
        <f t="shared" si="112"/>
        <v>#N/A</v>
      </c>
      <c r="N543" t="e">
        <f t="shared" si="113"/>
        <v>#N/A</v>
      </c>
      <c r="O543">
        <f t="shared" si="114"/>
        <v>3.000543</v>
      </c>
      <c r="P543" t="str">
        <f>IF(OR($A543="",games!$H543=""),"",games!$H543)</f>
        <v/>
      </c>
      <c r="Q543" t="str">
        <f t="shared" si="115"/>
        <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PengPong</v>
      </c>
      <c r="B544">
        <f>IF($A544="","",games!$B544)</f>
        <v>2026</v>
      </c>
      <c r="C544" t="str">
        <f>IF($A544="","",games!$C544)</f>
        <v>Action</v>
      </c>
      <c r="D544">
        <f>IF($A544="","",COUNTIF(connections!$A$2:$A$1400,$A544)+COUNTIF(connections!$B$2:$B$1400,$A544))</f>
        <v>7</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7.0005439999999997</v>
      </c>
      <c r="P544" t="str">
        <f>IF(OR($A544="",games!$H544=""),"",games!$H544)</f>
        <v/>
      </c>
      <c r="Q544" t="str">
        <f t="shared" si="115"/>
        <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Pesticide Not Required</v>
      </c>
      <c r="B545">
        <f>IF($A545="","",games!$B545)</f>
        <v>2024</v>
      </c>
      <c r="C545" t="str">
        <f>IF($A545="","",games!$C545)</f>
        <v>Action</v>
      </c>
      <c r="D545">
        <f>IF($A545="","",COUNTIF(connections!$A$2:$A$1400,$A545)+COUNTIF(connections!$B$2:$B$1400,$A545))</f>
        <v>3</v>
      </c>
      <c r="E545">
        <f t="shared" si="104"/>
        <v>1</v>
      </c>
      <c r="F545">
        <f t="shared" si="105"/>
        <v>1</v>
      </c>
      <c r="G545">
        <f t="shared" si="106"/>
        <v>2024</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Yes</v>
      </c>
      <c r="Q545">
        <f t="shared" si="115"/>
        <v>3.0005449999999998</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Picayune Dreams</v>
      </c>
      <c r="B546">
        <f>IF($A546="","",games!$B546)</f>
        <v>2023</v>
      </c>
      <c r="C546" t="str">
        <f>IF($A546="","",games!$C546)</f>
        <v>Action</v>
      </c>
      <c r="D546">
        <f>IF($A546="","",COUNTIF(connections!$A$2:$A$1400,$A546)+COUNTIF(connections!$B$2:$B$1400,$A546))</f>
        <v>1</v>
      </c>
      <c r="E546">
        <f t="shared" si="104"/>
        <v>1</v>
      </c>
      <c r="F546">
        <f t="shared" si="105"/>
        <v>2</v>
      </c>
      <c r="G546">
        <f t="shared" si="106"/>
        <v>2023</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Yes</v>
      </c>
      <c r="Q546">
        <f t="shared" si="115"/>
        <v>1.0005459999999999</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Pip My Dice</v>
      </c>
      <c r="B547">
        <f>IF($A547="","",games!$B547)</f>
        <v>2025</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2025</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Pixel Dungeon</v>
      </c>
      <c r="B548">
        <f>IF($A548="","",games!$B548)</f>
        <v>2012</v>
      </c>
      <c r="C548" t="str">
        <f>IF($A548="","",games!$C548)</f>
        <v>Traditional</v>
      </c>
      <c r="D548">
        <f>IF($A548="","",COUNTIF(connections!$A$2:$A$1400,$A548)+COUNTIF(connections!$B$2:$B$1400,$A548))</f>
        <v>3</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2012</v>
      </c>
      <c r="N548">
        <f t="shared" si="113"/>
        <v>4.0919999999999996</v>
      </c>
      <c r="O548">
        <f t="shared" si="114"/>
        <v>3.0005480000000002</v>
      </c>
      <c r="P548" t="str">
        <f>IF(OR($A548="",games!$H548=""),"",games!$H548)</f>
        <v/>
      </c>
      <c r="Q548" t="str">
        <f t="shared" si="115"/>
        <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PlateUp!</v>
      </c>
      <c r="B549">
        <f>IF($A549="","",games!$B549)</f>
        <v>2022</v>
      </c>
      <c r="C549" t="str">
        <f>IF($A549="","",games!$C549)</f>
        <v>Strategy</v>
      </c>
      <c r="D549">
        <f>IF($A549="","",COUNTIF(connections!$A$2:$A$1400,$A549)+COUNTIF(connections!$B$2:$B$1400,$A549))</f>
        <v>0</v>
      </c>
      <c r="E549">
        <f t="shared" si="104"/>
        <v>2</v>
      </c>
      <c r="F549">
        <f t="shared" si="105"/>
        <v>5</v>
      </c>
      <c r="G549" t="e">
        <f t="shared" si="106"/>
        <v>#N/A</v>
      </c>
      <c r="H549" t="e">
        <f t="shared" si="107"/>
        <v>#N/A</v>
      </c>
      <c r="I549">
        <f t="shared" si="108"/>
        <v>2022</v>
      </c>
      <c r="J549">
        <f t="shared" si="109"/>
        <v>2.1150000000000002</v>
      </c>
      <c r="K549" t="e">
        <f t="shared" si="110"/>
        <v>#N/A</v>
      </c>
      <c r="L549" t="e">
        <f t="shared" si="111"/>
        <v>#N/A</v>
      </c>
      <c r="M549" t="e">
        <f t="shared" si="112"/>
        <v>#N/A</v>
      </c>
      <c r="N549" t="e">
        <f t="shared" si="113"/>
        <v>#N/A</v>
      </c>
      <c r="O549">
        <f t="shared" si="114"/>
        <v>5.4900000000000001E-4</v>
      </c>
      <c r="P549" t="str">
        <f>IF(OR($A549="",games!$H549=""),"",games!$H549)</f>
        <v>Yes</v>
      </c>
      <c r="Q549">
        <f t="shared" si="115"/>
        <v>5.4900000000000001E-4</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Plinbo</v>
      </c>
      <c r="B550">
        <f>IF($A550="","",games!$B550)</f>
        <v>2026</v>
      </c>
      <c r="C550" t="str">
        <f>IF($A550="","",games!$C550)</f>
        <v>Deckbuilder</v>
      </c>
      <c r="D550">
        <f>IF($A550="","",COUNTIF(connections!$A$2:$A$1400,$A550)+COUNTIF(connections!$B$2:$B$1400,$A550))</f>
        <v>1</v>
      </c>
      <c r="E550">
        <f t="shared" si="104"/>
        <v>3</v>
      </c>
      <c r="F550">
        <f t="shared" si="105"/>
        <v>6</v>
      </c>
      <c r="G550" t="e">
        <f t="shared" si="106"/>
        <v>#N/A</v>
      </c>
      <c r="H550" t="e">
        <f t="shared" si="107"/>
        <v>#N/A</v>
      </c>
      <c r="I550" t="e">
        <f t="shared" si="108"/>
        <v>#N/A</v>
      </c>
      <c r="J550" t="e">
        <f t="shared" si="109"/>
        <v>#N/A</v>
      </c>
      <c r="K550">
        <f t="shared" si="110"/>
        <v>2026</v>
      </c>
      <c r="L550">
        <f t="shared" si="111"/>
        <v>3.1379999999999999</v>
      </c>
      <c r="M550" t="e">
        <f t="shared" si="112"/>
        <v>#N/A</v>
      </c>
      <c r="N550" t="e">
        <f t="shared" si="113"/>
        <v>#N/A</v>
      </c>
      <c r="O550">
        <f t="shared" si="114"/>
        <v>1.0005500000000001</v>
      </c>
      <c r="P550" t="str">
        <f>IF(OR($A550="",games!$H550=""),"",games!$H550)</f>
        <v/>
      </c>
      <c r="Q550" t="str">
        <f t="shared" si="115"/>
        <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Plinko Panic!</v>
      </c>
      <c r="B551">
        <f>IF($A551="","",games!$B551)</f>
        <v>2021</v>
      </c>
      <c r="C551" t="str">
        <f>IF($A551="","",games!$C551)</f>
        <v>Deckbuilder</v>
      </c>
      <c r="D551">
        <f>IF($A551="","",COUNTIF(connections!$A$2:$A$1400,$A551)+COUNTIF(connections!$B$2:$B$1400,$A551))</f>
        <v>1</v>
      </c>
      <c r="E551">
        <f t="shared" si="104"/>
        <v>3</v>
      </c>
      <c r="F551">
        <f t="shared" si="105"/>
        <v>7</v>
      </c>
      <c r="G551" t="e">
        <f t="shared" si="106"/>
        <v>#N/A</v>
      </c>
      <c r="H551" t="e">
        <f t="shared" si="107"/>
        <v>#N/A</v>
      </c>
      <c r="I551" t="e">
        <f t="shared" si="108"/>
        <v>#N/A</v>
      </c>
      <c r="J551" t="e">
        <f t="shared" si="109"/>
        <v>#N/A</v>
      </c>
      <c r="K551">
        <f t="shared" si="110"/>
        <v>2021</v>
      </c>
      <c r="L551">
        <f t="shared" si="111"/>
        <v>3.161</v>
      </c>
      <c r="M551" t="e">
        <f t="shared" si="112"/>
        <v>#N/A</v>
      </c>
      <c r="N551" t="e">
        <f t="shared" si="113"/>
        <v>#N/A</v>
      </c>
      <c r="O551">
        <f t="shared" si="114"/>
        <v>1.000551</v>
      </c>
      <c r="P551" t="str">
        <f>IF(OR($A551="",games!$H551=""),"",games!$H551)</f>
        <v/>
      </c>
      <c r="Q551" t="str">
        <f t="shared" si="115"/>
        <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Pluto</v>
      </c>
      <c r="B552">
        <f>IF($A552="","",games!$B552)</f>
        <v>2026</v>
      </c>
      <c r="C552" t="str">
        <f>IF($A552="","",games!$C552)</f>
        <v>Deckbuilder</v>
      </c>
      <c r="D552">
        <f>IF($A552="","",COUNTIF(connections!$A$2:$A$1400,$A552)+COUNTIF(connections!$B$2:$B$1400,$A552))</f>
        <v>1</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Pocket Crystal League</v>
      </c>
      <c r="B553">
        <f>IF($A553="","",games!$B553)</f>
        <v>2022</v>
      </c>
      <c r="C553" t="str">
        <f>IF($A553="","",games!$C553)</f>
        <v>Deckbuilder</v>
      </c>
      <c r="D553">
        <f>IF($A553="","",COUNTIF(connections!$A$2:$A$1400,$A553)+COUNTIF(connections!$B$2:$B$1400,$A553))</f>
        <v>1</v>
      </c>
      <c r="E553">
        <f t="shared" si="104"/>
        <v>3</v>
      </c>
      <c r="F553">
        <f t="shared" si="105"/>
        <v>9</v>
      </c>
      <c r="G553" t="e">
        <f t="shared" si="106"/>
        <v>#N/A</v>
      </c>
      <c r="H553" t="e">
        <f t="shared" si="107"/>
        <v>#N/A</v>
      </c>
      <c r="I553" t="e">
        <f t="shared" si="108"/>
        <v>#N/A</v>
      </c>
      <c r="J553" t="e">
        <f t="shared" si="109"/>
        <v>#N/A</v>
      </c>
      <c r="K553">
        <f t="shared" si="110"/>
        <v>2022</v>
      </c>
      <c r="L553">
        <f t="shared" si="111"/>
        <v>3.2069999999999999</v>
      </c>
      <c r="M553" t="e">
        <f t="shared" si="112"/>
        <v>#N/A</v>
      </c>
      <c r="N553" t="e">
        <f t="shared" si="113"/>
        <v>#N/A</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Pogo Rogue</v>
      </c>
      <c r="B554">
        <f>IF($A554="","",games!$B554)</f>
        <v>2024</v>
      </c>
      <c r="C554" t="str">
        <f>IF($A554="","",games!$C554)</f>
        <v>Action</v>
      </c>
      <c r="D554">
        <f>IF($A554="","",COUNTIF(connections!$A$2:$A$1400,$A554)+COUNTIF(connections!$B$2:$B$1400,$A554))</f>
        <v>0</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Pokelike</v>
      </c>
      <c r="B555">
        <f>IF($A555="","",games!$B555)</f>
        <v>2026</v>
      </c>
      <c r="C555" t="str">
        <f>IF($A555="","",games!$C555)</f>
        <v>Strategy</v>
      </c>
      <c r="D555">
        <f>IF($A555="","",COUNTIF(connections!$A$2:$A$1400,$A555)+COUNTIF(connections!$B$2:$B$1400,$A555))</f>
        <v>1</v>
      </c>
      <c r="E555">
        <f t="shared" si="104"/>
        <v>2</v>
      </c>
      <c r="F555">
        <f t="shared" si="105"/>
        <v>11</v>
      </c>
      <c r="G555" t="e">
        <f t="shared" si="106"/>
        <v>#N/A</v>
      </c>
      <c r="H555" t="e">
        <f t="shared" si="107"/>
        <v>#N/A</v>
      </c>
      <c r="I555">
        <f t="shared" si="108"/>
        <v>2026</v>
      </c>
      <c r="J555">
        <f t="shared" si="109"/>
        <v>2.2530000000000001</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Auto Chess</v>
      </c>
      <c r="B556">
        <f>IF($A556="","",games!$B556)</f>
        <v>2021</v>
      </c>
      <c r="C556" t="str">
        <f>IF($A556="","",games!$C556)</f>
        <v>Strategy</v>
      </c>
      <c r="D556">
        <f>IF($A556="","",COUNTIF(connections!$A$2:$A$1400,$A556)+COUNTIF(connections!$B$2:$B$1400,$A556))</f>
        <v>2</v>
      </c>
      <c r="E556">
        <f t="shared" si="104"/>
        <v>2</v>
      </c>
      <c r="F556">
        <f t="shared" si="105"/>
        <v>12</v>
      </c>
      <c r="G556" t="e">
        <f t="shared" si="106"/>
        <v>#N/A</v>
      </c>
      <c r="H556" t="e">
        <f t="shared" si="107"/>
        <v>#N/A</v>
      </c>
      <c r="I556">
        <f t="shared" si="108"/>
        <v>2021</v>
      </c>
      <c r="J556">
        <f t="shared" si="109"/>
        <v>2.2759999999999998</v>
      </c>
      <c r="K556" t="e">
        <f t="shared" si="110"/>
        <v>#N/A</v>
      </c>
      <c r="L556" t="e">
        <f t="shared" si="111"/>
        <v>#N/A</v>
      </c>
      <c r="M556" t="e">
        <f t="shared" si="112"/>
        <v>#N/A</v>
      </c>
      <c r="N556" t="e">
        <f t="shared" si="113"/>
        <v>#N/A</v>
      </c>
      <c r="O556">
        <f t="shared" si="114"/>
        <v>2.000556</v>
      </c>
      <c r="P556" t="str">
        <f>IF(OR($A556="",games!$H556=""),"",games!$H556)</f>
        <v>Yes</v>
      </c>
      <c r="Q556">
        <f t="shared" si="115"/>
        <v>2.000556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Auto Spire</v>
      </c>
      <c r="B557">
        <f>IF($A557="","",games!$B557)</f>
        <v>2026</v>
      </c>
      <c r="C557" t="str">
        <f>IF($A557="","",games!$C557)</f>
        <v>Strategy</v>
      </c>
      <c r="D557">
        <f>IF($A557="","",COUNTIF(connections!$A$2:$A$1400,$A557)+COUNTIF(connections!$B$2:$B$1400,$A557))</f>
        <v>2</v>
      </c>
      <c r="E557">
        <f t="shared" si="104"/>
        <v>2</v>
      </c>
      <c r="F557">
        <f t="shared" si="105"/>
        <v>13</v>
      </c>
      <c r="G557" t="e">
        <f t="shared" si="106"/>
        <v>#N/A</v>
      </c>
      <c r="H557" t="e">
        <f t="shared" si="107"/>
        <v>#N/A</v>
      </c>
      <c r="I557">
        <f t="shared" si="108"/>
        <v>2026</v>
      </c>
      <c r="J557">
        <f t="shared" si="109"/>
        <v>2.2989999999999999</v>
      </c>
      <c r="K557" t="e">
        <f t="shared" si="110"/>
        <v>#N/A</v>
      </c>
      <c r="L557" t="e">
        <f t="shared" si="111"/>
        <v>#N/A</v>
      </c>
      <c r="M557" t="e">
        <f t="shared" si="112"/>
        <v>#N/A</v>
      </c>
      <c r="N557" t="e">
        <f t="shared" si="113"/>
        <v>#N/A</v>
      </c>
      <c r="O557">
        <f t="shared" si="114"/>
        <v>2.0005570000000001</v>
      </c>
      <c r="P557" t="str">
        <f>IF(OR($A557="",games!$H557=""),"",games!$H557)</f>
        <v>Yes</v>
      </c>
      <c r="Q557">
        <f t="shared" si="115"/>
        <v>2.0005570000000001</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Mystery Dungeon: Explorers of Sky</v>
      </c>
      <c r="B558">
        <f>IF($A558="","",games!$B558)</f>
        <v>2009</v>
      </c>
      <c r="C558" t="str">
        <f>IF($A558="","",games!$C558)</f>
        <v>Traditional</v>
      </c>
      <c r="D558">
        <f>IF($A558="","",COUNTIF(connections!$A$2:$A$1400,$A558)+COUNTIF(connections!$B$2:$B$1400,$A558))</f>
        <v>1</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2009</v>
      </c>
      <c r="N558">
        <f t="shared" si="113"/>
        <v>4.3220000000000001</v>
      </c>
      <c r="O558">
        <f t="shared" si="114"/>
        <v>1.0005580000000001</v>
      </c>
      <c r="P558" t="str">
        <f>IF(OR($A558="",games!$H558=""),"",games!$H558)</f>
        <v>Yes</v>
      </c>
      <c r="Q558">
        <f t="shared" si="115"/>
        <v>1.0005580000000001</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Pokémon Mystery Dungeon: Explorers of Time and Explorers of Darkness</v>
      </c>
      <c r="B559">
        <f>IF($A559="","",games!$B559)</f>
        <v>2007</v>
      </c>
      <c r="C559" t="str">
        <f>IF($A559="","",games!$C559)</f>
        <v>Traditional</v>
      </c>
      <c r="D559">
        <f>IF($A559="","",COUNTIF(connections!$A$2:$A$1400,$A559)+COUNTIF(connections!$B$2:$B$1400,$A559))</f>
        <v>2</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2007</v>
      </c>
      <c r="N559">
        <f t="shared" si="113"/>
        <v>4.3449999999999998</v>
      </c>
      <c r="O559">
        <f t="shared" si="114"/>
        <v>2.000559</v>
      </c>
      <c r="P559" t="str">
        <f>IF(OR($A559="",games!$H559=""),"",games!$H559)</f>
        <v>Yes</v>
      </c>
      <c r="Q559">
        <f t="shared" si="115"/>
        <v>2.000559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Pokémon Mystery Dungeon: Gates to Infinity</v>
      </c>
      <c r="B560">
        <f>IF($A560="","",games!$B560)</f>
        <v>2012</v>
      </c>
      <c r="C560" t="str">
        <f>IF($A560="","",games!$C560)</f>
        <v>Traditional</v>
      </c>
      <c r="D560">
        <f>IF($A560="","",COUNTIF(connections!$A$2:$A$1400,$A560)+COUNTIF(connections!$B$2:$B$1400,$A560))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Pokémon Mystery Dungeon: Red and Blue Rescue Team</v>
      </c>
      <c r="B561">
        <f>IF($A561="","",games!$B561)</f>
        <v>2005</v>
      </c>
      <c r="C561" t="str">
        <f>IF($A561="","",games!$C561)</f>
        <v>Traditional</v>
      </c>
      <c r="D561">
        <f>IF($A561="","",COUNTIF(connections!$A$2:$A$1400,$A561)+COUNTIF(connections!$B$2:$B$1400,$A561))</f>
        <v>6</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2005</v>
      </c>
      <c r="N561">
        <f t="shared" si="113"/>
        <v>4.391</v>
      </c>
      <c r="O561">
        <f t="shared" si="114"/>
        <v>6.0005610000000003</v>
      </c>
      <c r="P561" t="str">
        <f>IF(OR($A561="",games!$H561=""),"",games!$H561)</f>
        <v>Yes</v>
      </c>
      <c r="Q561">
        <f t="shared" si="115"/>
        <v>6.0005610000000003</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Pokémon Mystery Dungeon: Rescue Team DX</v>
      </c>
      <c r="B562">
        <f>IF($A562="","",games!$B562)</f>
        <v>2020</v>
      </c>
      <c r="C562" t="str">
        <f>IF($A562="","",games!$C562)</f>
        <v>Traditional</v>
      </c>
      <c r="D562">
        <f>IF($A562="","",COUNTIF(connections!$A$2:$A$1400,$A562)+COUNTIF(connections!$B$2:$B$1400,$A562))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2020</v>
      </c>
      <c r="N562">
        <f t="shared" si="113"/>
        <v>4.4139999999999997</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Pokémon Super Mystery Dungeon</v>
      </c>
      <c r="B563">
        <f>IF($A563="","",games!$B563)</f>
        <v>2015</v>
      </c>
      <c r="C563" t="str">
        <f>IF($A563="","",games!$C563)</f>
        <v>Traditional</v>
      </c>
      <c r="D563">
        <f>IF($A563="","",COUNTIF(connections!$A$2:$A$1400,$A563)+COUNTIF(connections!$B$2:$B$1400,$A563))</f>
        <v>1</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2015</v>
      </c>
      <c r="N563">
        <f t="shared" si="113"/>
        <v>4.4370000000000003</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PokéRogue</v>
      </c>
      <c r="B564">
        <f>IF($A564="","",games!$B564)</f>
        <v>2024</v>
      </c>
      <c r="C564" t="str">
        <f>IF($A564="","",games!$C564)</f>
        <v>Strategy</v>
      </c>
      <c r="D564">
        <f>IF($A564="","",COUNTIF(connections!$A$2:$A$1400,$A564)+COUNTIF(connections!$B$2:$B$1400,$A564))</f>
        <v>3</v>
      </c>
      <c r="E564">
        <f t="shared" si="104"/>
        <v>2</v>
      </c>
      <c r="F564">
        <f t="shared" si="105"/>
        <v>20</v>
      </c>
      <c r="G564" t="e">
        <f t="shared" si="106"/>
        <v>#N/A</v>
      </c>
      <c r="H564" t="e">
        <f t="shared" si="107"/>
        <v>#N/A</v>
      </c>
      <c r="I564">
        <f t="shared" si="108"/>
        <v>2024</v>
      </c>
      <c r="J564">
        <f t="shared" si="109"/>
        <v>2.46</v>
      </c>
      <c r="K564" t="e">
        <f t="shared" si="110"/>
        <v>#N/A</v>
      </c>
      <c r="L564" t="e">
        <f t="shared" si="111"/>
        <v>#N/A</v>
      </c>
      <c r="M564" t="e">
        <f t="shared" si="112"/>
        <v>#N/A</v>
      </c>
      <c r="N564" t="e">
        <f t="shared" si="113"/>
        <v>#N/A</v>
      </c>
      <c r="O564">
        <f t="shared" si="114"/>
        <v>3.0005639999999998</v>
      </c>
      <c r="P564" t="str">
        <f>IF(OR($A564="",games!$H564=""),"",games!$H564)</f>
        <v/>
      </c>
      <c r="Q564" t="str">
        <f t="shared" si="115"/>
        <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PokeVoid</v>
      </c>
      <c r="B565">
        <f>IF($A565="","",games!$B565)</f>
        <v>2025</v>
      </c>
      <c r="C565" t="str">
        <f>IF($A565="","",games!$C565)</f>
        <v>Strategy</v>
      </c>
      <c r="D565">
        <f>IF($A565="","",COUNTIF(connections!$A$2:$A$1400,$A565)+COUNTIF(connections!$B$2:$B$1400,$A565))</f>
        <v>3</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Popup Dungeon</v>
      </c>
      <c r="B566">
        <f>IF($A566="","",games!$B566)</f>
        <v>2020</v>
      </c>
      <c r="C566" t="str">
        <f>IF($A566="","",games!$C566)</f>
        <v>Strategy</v>
      </c>
      <c r="D566">
        <f>IF($A566="","",COUNTIF(connections!$A$2:$A$1400,$A566)+COUNTIF(connections!$B$2:$B$1400,$A566))</f>
        <v>1</v>
      </c>
      <c r="E566">
        <f t="shared" si="104"/>
        <v>2</v>
      </c>
      <c r="F566">
        <f t="shared" si="105"/>
        <v>22</v>
      </c>
      <c r="G566" t="e">
        <f t="shared" si="106"/>
        <v>#N/A</v>
      </c>
      <c r="H566" t="e">
        <f t="shared" si="107"/>
        <v>#N/A</v>
      </c>
      <c r="I566">
        <f t="shared" si="108"/>
        <v>2020</v>
      </c>
      <c r="J566">
        <f t="shared" si="109"/>
        <v>2.5060000000000002</v>
      </c>
      <c r="K566" t="e">
        <f t="shared" si="110"/>
        <v>#N/A</v>
      </c>
      <c r="L566" t="e">
        <f t="shared" si="111"/>
        <v>#N/A</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Powder</v>
      </c>
      <c r="B567">
        <f>IF($A567="","",games!$B567)</f>
        <v>2003</v>
      </c>
      <c r="C567" t="str">
        <f>IF($A567="","",games!$C567)</f>
        <v>Traditional</v>
      </c>
      <c r="D567">
        <f>IF($A567="","",COUNTIF(connections!$A$2:$A$1400,$A567)+COUNTIF(connections!$B$2:$B$1400,$A567))</f>
        <v>11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2003</v>
      </c>
      <c r="N567">
        <f t="shared" si="113"/>
        <v>4.5289999999999999</v>
      </c>
      <c r="O567">
        <f t="shared" si="114"/>
        <v>11.000567</v>
      </c>
      <c r="P567" t="str">
        <f>IF(OR($A567="",games!$H567=""),"",games!$H567)</f>
        <v>Yes</v>
      </c>
      <c r="Q567">
        <f t="shared" si="115"/>
        <v>11.000567</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Primordialis</v>
      </c>
      <c r="B568">
        <f>IF($A568="","",games!$B568)</f>
        <v>2024</v>
      </c>
      <c r="C568" t="str">
        <f>IF($A568="","",games!$C568)</f>
        <v>Action</v>
      </c>
      <c r="D568">
        <f>IF($A568="","",COUNTIF(connections!$A$2:$A$1400,$A568)+COUNTIF(connections!$B$2:$B$1400,$A568))</f>
        <v>1</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1.0005679999999999</v>
      </c>
      <c r="P568" t="str">
        <f>IF(OR($A568="",games!$H568=""),"",games!$H568)</f>
        <v/>
      </c>
      <c r="Q568" t="str">
        <f t="shared" si="115"/>
        <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Pronoun Palace</v>
      </c>
      <c r="B569">
        <f>IF($A569="","",games!$B569)</f>
        <v>2026</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Putrid Shot Ultra</v>
      </c>
      <c r="B570">
        <f>IF($A570="","",games!$B570)</f>
        <v>2022</v>
      </c>
      <c r="C570" t="str">
        <f>IF($A570="","",games!$C570)</f>
        <v>Action</v>
      </c>
      <c r="D570">
        <f>IF($A570="","",COUNTIF(connections!$A$2:$A$1400,$A570)+COUNTIF(connections!$B$2:$B$1400,$A570))</f>
        <v>3</v>
      </c>
      <c r="E570">
        <f t="shared" si="104"/>
        <v>1</v>
      </c>
      <c r="F570">
        <f t="shared" si="105"/>
        <v>26</v>
      </c>
      <c r="G570">
        <f t="shared" si="106"/>
        <v>2022</v>
      </c>
      <c r="H570">
        <f t="shared" si="107"/>
        <v>1.5979999999999999</v>
      </c>
      <c r="I570" t="e">
        <f t="shared" si="108"/>
        <v>#N/A</v>
      </c>
      <c r="J570" t="e">
        <f t="shared" si="109"/>
        <v>#N/A</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Quasimorph</v>
      </c>
      <c r="B571">
        <f>IF($A571="","",games!$B571)</f>
        <v>2023</v>
      </c>
      <c r="C571" t="str">
        <f>IF($A571="","",games!$C571)</f>
        <v>Traditional</v>
      </c>
      <c r="D571">
        <f>IF($A571="","",COUNTIF(connections!$A$2:$A$1400,$A571)+COUNTIF(connections!$B$2:$B$1400,$A571))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2023</v>
      </c>
      <c r="N571">
        <f t="shared" si="113"/>
        <v>4.6210000000000004</v>
      </c>
      <c r="O571">
        <f t="shared" si="114"/>
        <v>2.0005709999999999</v>
      </c>
      <c r="P571" t="str">
        <f>IF(OR($A571="",games!$H571=""),"",games!$H571)</f>
        <v>Yes</v>
      </c>
      <c r="Q571">
        <f t="shared" si="115"/>
        <v>2.0005709999999999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Quest of Dungeons</v>
      </c>
      <c r="B572">
        <f>IF($A572="","",games!$B572)</f>
        <v>2014</v>
      </c>
      <c r="C572" t="str">
        <f>IF($A572="","",games!$C572)</f>
        <v>Traditional</v>
      </c>
      <c r="D572">
        <f>IF($A572="","",COUNTIF(connections!$A$2:$A$1400,$A572)+COUNTIF(connections!$B$2:$B$1400,$A572))</f>
        <v>2</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2014</v>
      </c>
      <c r="N572">
        <f t="shared" si="113"/>
        <v>4.6440000000000001</v>
      </c>
      <c r="O572">
        <f t="shared" si="114"/>
        <v>2.000572</v>
      </c>
      <c r="P572" t="str">
        <f>IF(OR($A572="",games!$H572=""),"",games!$H572)</f>
        <v>Yes</v>
      </c>
      <c r="Q572">
        <f t="shared" si="115"/>
        <v>2.000572</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Rabbit and Steel</v>
      </c>
      <c r="B573">
        <f>IF($A573="","",games!$B573)</f>
        <v>2024</v>
      </c>
      <c r="C573" t="str">
        <f>IF($A573="","",games!$C573)</f>
        <v>Action</v>
      </c>
      <c r="D573">
        <f>IF($A573="","",COUNTIF(connections!$A$2:$A$1400,$A573)+COUNTIF(connections!$B$2:$B$1400,$A573))</f>
        <v>0</v>
      </c>
      <c r="E573">
        <f t="shared" si="104"/>
        <v>1</v>
      </c>
      <c r="F573">
        <f t="shared" si="105"/>
        <v>29</v>
      </c>
      <c r="G573">
        <f t="shared" si="106"/>
        <v>2024</v>
      </c>
      <c r="H573">
        <f t="shared" si="107"/>
        <v>1.667</v>
      </c>
      <c r="I573" t="e">
        <f t="shared" si="108"/>
        <v>#N/A</v>
      </c>
      <c r="J573" t="e">
        <f t="shared" si="109"/>
        <v>#N/A</v>
      </c>
      <c r="K573" t="e">
        <f t="shared" si="110"/>
        <v>#N/A</v>
      </c>
      <c r="L573" t="e">
        <f t="shared" si="111"/>
        <v>#N/A</v>
      </c>
      <c r="M573" t="e">
        <f t="shared" si="112"/>
        <v>#N/A</v>
      </c>
      <c r="N573" t="e">
        <f t="shared" si="113"/>
        <v>#N/A</v>
      </c>
      <c r="O573">
        <f t="shared" si="114"/>
        <v>5.7300000000000005E-4</v>
      </c>
      <c r="P573" t="str">
        <f>IF(OR($A573="",games!$H573=""),"",games!$H573)</f>
        <v/>
      </c>
      <c r="Q573" t="str">
        <f t="shared" si="115"/>
        <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Raccoin: Coin Pusher Roguelike</v>
      </c>
      <c r="B574">
        <f>IF($A574="","",games!$B574)</f>
        <v>2026</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Rack and Slay</v>
      </c>
      <c r="B575">
        <f>IF($A575="","",games!$B575)</f>
        <v>2024</v>
      </c>
      <c r="C575" t="str">
        <f>IF($A575="","",games!$C575)</f>
        <v>Strategy</v>
      </c>
      <c r="D575">
        <f>IF($A575="","",COUNTIF(connections!$A$2:$A$1400,$A575)+COUNTIF(connections!$B$2:$B$1400,$A575))</f>
        <v>2</v>
      </c>
      <c r="E575">
        <f t="shared" si="104"/>
        <v>2</v>
      </c>
      <c r="F575">
        <f t="shared" si="105"/>
        <v>31</v>
      </c>
      <c r="G575" t="e">
        <f t="shared" si="106"/>
        <v>#N/A</v>
      </c>
      <c r="H575" t="e">
        <f t="shared" si="107"/>
        <v>#N/A</v>
      </c>
      <c r="I575">
        <f t="shared" si="108"/>
        <v>2024</v>
      </c>
      <c r="J575">
        <f t="shared" si="109"/>
        <v>2.7130000000000001</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Ragnarok</v>
      </c>
      <c r="B576">
        <f>IF($A576="","",games!$B576)</f>
        <v>1992</v>
      </c>
      <c r="C576" t="str">
        <f>IF($A576="","",games!$C576)</f>
        <v>Traditional</v>
      </c>
      <c r="D576">
        <f>IF($A576="","",COUNTIF(connections!$A$2:$A$1400,$A576)+COUNTIF(connections!$B$2:$B$1400,$A576))</f>
        <v>3</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1992</v>
      </c>
      <c r="N576">
        <f t="shared" si="113"/>
        <v>4.7359999999999998</v>
      </c>
      <c r="O576">
        <f t="shared" si="114"/>
        <v>3.0005760000000001</v>
      </c>
      <c r="P576" t="str">
        <f>IF(OR($A576="",games!$H576=""),"",games!$H576)</f>
        <v>Yes</v>
      </c>
      <c r="Q576">
        <f t="shared" si="115"/>
        <v>3.0005760000000001</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RAM: Random Access Mayhem</v>
      </c>
      <c r="B577">
        <f>IF($A577="","",games!$B577)</f>
        <v>2024</v>
      </c>
      <c r="C577" t="str">
        <f>IF($A577="","",games!$C577)</f>
        <v>Action</v>
      </c>
      <c r="D577">
        <f>IF($A577="","",COUNTIF(connections!$A$2:$A$1400,$A577)+COUNTIF(connections!$B$2:$B$1400,$A577))</f>
        <v>2</v>
      </c>
      <c r="E577">
        <f t="shared" si="104"/>
        <v>1</v>
      </c>
      <c r="F577">
        <f t="shared" si="105"/>
        <v>33</v>
      </c>
      <c r="G577">
        <f t="shared" si="106"/>
        <v>2024</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Rampage Knights</v>
      </c>
      <c r="B578">
        <f>IF($A578="","",games!$B578)</f>
        <v>2015</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2015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Ratropolis</v>
      </c>
      <c r="B579">
        <f>IF($A579="","",games!$B579)</f>
        <v>2019</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2019</v>
      </c>
      <c r="L579">
        <f t="shared" si="124"/>
        <v>3.0230000000000001</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Ravenswatch</v>
      </c>
      <c r="B580">
        <f>IF($A580="","",games!$B580)</f>
        <v>2023</v>
      </c>
      <c r="C580" t="str">
        <f>IF($A580="","",games!$C580)</f>
        <v>Action</v>
      </c>
      <c r="D580">
        <f>IF($A580="","",COUNTIF(connections!$A$2:$A$1400,$A580)+COUNTIF(connections!$B$2:$B$1400,$A580))</f>
        <v>2</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Reality Break</v>
      </c>
      <c r="B581">
        <f>IF($A581="","",games!$B581)</f>
        <v>2025</v>
      </c>
      <c r="C581" t="str">
        <f>IF($A581="","",games!$C581)</f>
        <v>Action</v>
      </c>
      <c r="D581">
        <f>IF($A581="","",COUNTIF(connections!$A$2:$A$1400,$A581)+COUNTIF(connections!$B$2:$B$1400,$A581))</f>
        <v>2</v>
      </c>
      <c r="E581">
        <f t="shared" si="117"/>
        <v>1</v>
      </c>
      <c r="F581">
        <f t="shared" si="118"/>
        <v>3</v>
      </c>
      <c r="G581">
        <f t="shared" si="119"/>
        <v>2025</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Realm of Ink</v>
      </c>
      <c r="B582">
        <f>IF($A582="","",games!$B582)</f>
        <v>2024</v>
      </c>
      <c r="C582" t="str">
        <f>IF($A582="","",games!$C582)</f>
        <v>Action</v>
      </c>
      <c r="D582">
        <f>IF($A582="","",COUNTIF(connections!$A$2:$A$1400,$A582)+COUNTIF(connections!$B$2:$B$1400,$A582))</f>
        <v>2</v>
      </c>
      <c r="E582">
        <f t="shared" si="117"/>
        <v>1</v>
      </c>
      <c r="F582">
        <f t="shared" si="118"/>
        <v>4</v>
      </c>
      <c r="G582">
        <f t="shared" si="119"/>
        <v>2024</v>
      </c>
      <c r="H582">
        <f t="shared" si="120"/>
        <v>1.0920000000000001</v>
      </c>
      <c r="I582" t="e">
        <f t="shared" si="121"/>
        <v>#N/A</v>
      </c>
      <c r="J582" t="e">
        <f t="shared" si="122"/>
        <v>#N/A</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Realm of the Mad God</v>
      </c>
      <c r="B583">
        <f>IF($A583="","",games!$B583)</f>
        <v>2010</v>
      </c>
      <c r="C583" t="str">
        <f>IF($A583="","",games!$C583)</f>
        <v>Action</v>
      </c>
      <c r="D583">
        <f>IF($A583="","",COUNTIF(connections!$A$2:$A$1400,$A583)+COUNTIF(connections!$B$2:$B$1400,$A583))</f>
        <v>2</v>
      </c>
      <c r="E583">
        <f t="shared" si="117"/>
        <v>1</v>
      </c>
      <c r="F583">
        <f t="shared" si="118"/>
        <v>5</v>
      </c>
      <c r="G583">
        <f t="shared" si="119"/>
        <v>2010</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Red Rogue</v>
      </c>
      <c r="B584">
        <f>IF($A584="","",games!$B584)</f>
        <v>2012</v>
      </c>
      <c r="C584" t="str">
        <f>IF($A584="","",games!$C584)</f>
        <v>Action</v>
      </c>
      <c r="D584">
        <f>IF($A584="","",COUNTIF(connections!$A$2:$A$1400,$A584)+COUNTIF(connections!$B$2:$B$1400,$A584))</f>
        <v>3</v>
      </c>
      <c r="E584">
        <f t="shared" si="117"/>
        <v>1</v>
      </c>
      <c r="F584">
        <f t="shared" si="118"/>
        <v>6</v>
      </c>
      <c r="G584">
        <f t="shared" si="119"/>
        <v>2012</v>
      </c>
      <c r="H584">
        <f t="shared" si="120"/>
        <v>1.1379999999999999</v>
      </c>
      <c r="I584" t="e">
        <f t="shared" si="121"/>
        <v>#N/A</v>
      </c>
      <c r="J584" t="e">
        <f t="shared" si="122"/>
        <v>#N/A</v>
      </c>
      <c r="K584" t="e">
        <f t="shared" si="123"/>
        <v>#N/A</v>
      </c>
      <c r="L584" t="e">
        <f t="shared" si="124"/>
        <v>#N/A</v>
      </c>
      <c r="M584" t="e">
        <f t="shared" si="125"/>
        <v>#N/A</v>
      </c>
      <c r="N584" t="e">
        <f t="shared" si="126"/>
        <v>#N/A</v>
      </c>
      <c r="O584">
        <f t="shared" si="127"/>
        <v>3.0005839999999999</v>
      </c>
      <c r="P584" t="str">
        <f>IF(OR($A584="",games!$H584=""),"",games!$H584)</f>
        <v>Yes</v>
      </c>
      <c r="Q584">
        <f t="shared" si="128"/>
        <v>3.0005839999999999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Renowned Explorers: International Society</v>
      </c>
      <c r="B585">
        <f>IF($A585="","",games!$B585)</f>
        <v>2015</v>
      </c>
      <c r="C585" t="str">
        <f>IF($A585="","",games!$C585)</f>
        <v>Strategy</v>
      </c>
      <c r="D585">
        <f>IF($A585="","",COUNTIF(connections!$A$2:$A$1400,$A585)+COUNTIF(connections!$B$2:$B$1400,$A585))</f>
        <v>2</v>
      </c>
      <c r="E585">
        <f t="shared" si="117"/>
        <v>2</v>
      </c>
      <c r="F585">
        <f t="shared" si="118"/>
        <v>7</v>
      </c>
      <c r="G585" t="e">
        <f t="shared" si="119"/>
        <v>#N/A</v>
      </c>
      <c r="H585" t="e">
        <f t="shared" si="120"/>
        <v>#N/A</v>
      </c>
      <c r="I585">
        <f t="shared" si="121"/>
        <v>2015</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Repetendium</v>
      </c>
      <c r="B586">
        <f>IF($A586="","",games!$B586)</f>
        <v>2022</v>
      </c>
      <c r="C586" t="str">
        <f>IF($A586="","",games!$C586)</f>
        <v>Action</v>
      </c>
      <c r="D586">
        <f>IF($A586="","",COUNTIF(connections!$A$2:$A$1400,$A586)+COUNTIF(connections!$B$2:$B$1400,$A586))</f>
        <v>1</v>
      </c>
      <c r="E586">
        <f t="shared" si="117"/>
        <v>1</v>
      </c>
      <c r="F586">
        <f t="shared" si="118"/>
        <v>8</v>
      </c>
      <c r="G586">
        <f t="shared" si="119"/>
        <v>2022</v>
      </c>
      <c r="H586">
        <f t="shared" si="120"/>
        <v>1.1839999999999999</v>
      </c>
      <c r="I586" t="e">
        <f t="shared" si="121"/>
        <v>#N/A</v>
      </c>
      <c r="J586" t="e">
        <f t="shared" si="122"/>
        <v>#N/A</v>
      </c>
      <c r="K586" t="e">
        <f t="shared" si="123"/>
        <v>#N/A</v>
      </c>
      <c r="L586" t="e">
        <f t="shared" si="124"/>
        <v>#N/A</v>
      </c>
      <c r="M586" t="e">
        <f t="shared" si="125"/>
        <v>#N/A</v>
      </c>
      <c r="N586" t="e">
        <f t="shared" si="126"/>
        <v>#N/A</v>
      </c>
      <c r="O586">
        <f t="shared" si="127"/>
        <v>1.000586</v>
      </c>
      <c r="P586" t="str">
        <f>IF(OR($A586="",games!$H586=""),"",games!$H586)</f>
        <v>Yes</v>
      </c>
      <c r="Q586">
        <f t="shared" si="128"/>
        <v>1.000586</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Replicat</v>
      </c>
      <c r="B587">
        <f>IF($A587="","",games!$B587)</f>
        <v>2025</v>
      </c>
      <c r="C587" t="str">
        <f>IF($A587="","",games!$C587)</f>
        <v>Deckbuilder</v>
      </c>
      <c r="D587">
        <f>IF($A587="","",COUNTIF(connections!$A$2:$A$1400,$A587)+COUNTIF(connections!$B$2:$B$1400,$A587))</f>
        <v>2</v>
      </c>
      <c r="E587">
        <f t="shared" si="117"/>
        <v>3</v>
      </c>
      <c r="F587">
        <f t="shared" si="118"/>
        <v>9</v>
      </c>
      <c r="G587" t="e">
        <f t="shared" si="119"/>
        <v>#N/A</v>
      </c>
      <c r="H587" t="e">
        <f t="shared" si="120"/>
        <v>#N/A</v>
      </c>
      <c r="I587" t="e">
        <f t="shared" si="121"/>
        <v>#N/A</v>
      </c>
      <c r="J587" t="e">
        <f t="shared" si="122"/>
        <v>#N/A</v>
      </c>
      <c r="K587">
        <f t="shared" si="123"/>
        <v>2025</v>
      </c>
      <c r="L587">
        <f t="shared" si="124"/>
        <v>3.2069999999999999</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Return to Abyss</v>
      </c>
      <c r="B588">
        <f>IF($A588="","",games!$B588)</f>
        <v>2023</v>
      </c>
      <c r="C588" t="str">
        <f>IF($A588="","",games!$C588)</f>
        <v>Action</v>
      </c>
      <c r="D588">
        <f>IF($A588="","",COUNTIF(connections!$A$2:$A$1400,$A588)+COUNTIF(connections!$B$2:$B$1400,$A588))</f>
        <v>1</v>
      </c>
      <c r="E588">
        <f t="shared" si="117"/>
        <v>1</v>
      </c>
      <c r="F588">
        <f t="shared" si="118"/>
        <v>10</v>
      </c>
      <c r="G588">
        <f t="shared" si="119"/>
        <v>2023</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Yes</v>
      </c>
      <c r="Q588">
        <f t="shared" si="128"/>
        <v>1.000588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Returnal</v>
      </c>
      <c r="B589">
        <f>IF($A589="","",games!$B589)</f>
        <v>2023</v>
      </c>
      <c r="C589" t="str">
        <f>IF($A589="","",games!$C589)</f>
        <v>Action</v>
      </c>
      <c r="D589">
        <f>IF($A589="","",COUNTIF(connections!$A$2:$A$1400,$A589)+COUNTIF(connections!$B$2:$B$1400,$A589))</f>
        <v>2</v>
      </c>
      <c r="E589">
        <f t="shared" si="117"/>
        <v>1</v>
      </c>
      <c r="F589">
        <f t="shared" si="118"/>
        <v>11</v>
      </c>
      <c r="G589">
        <f t="shared" si="119"/>
        <v>2023</v>
      </c>
      <c r="H589">
        <f t="shared" si="120"/>
        <v>1.2530000000000001</v>
      </c>
      <c r="I589" t="e">
        <f t="shared" si="121"/>
        <v>#N/A</v>
      </c>
      <c r="J589" t="e">
        <f t="shared" si="122"/>
        <v>#N/A</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Revita</v>
      </c>
      <c r="B590">
        <f>IF($A590="","",games!$B590)</f>
        <v>2021</v>
      </c>
      <c r="C590" t="str">
        <f>IF($A590="","",games!$C590)</f>
        <v>Action</v>
      </c>
      <c r="D590">
        <f>IF($A590="","",COUNTIF(connections!$A$2:$A$1400,$A590)+COUNTIF(connections!$B$2:$B$1400,$A590))</f>
        <v>1</v>
      </c>
      <c r="E590">
        <f t="shared" si="117"/>
        <v>1</v>
      </c>
      <c r="F590">
        <f t="shared" si="118"/>
        <v>12</v>
      </c>
      <c r="G590">
        <f t="shared" si="119"/>
        <v>2021</v>
      </c>
      <c r="H590">
        <f t="shared" si="120"/>
        <v>1.276</v>
      </c>
      <c r="I590" t="e">
        <f t="shared" si="121"/>
        <v>#N/A</v>
      </c>
      <c r="J590" t="e">
        <f t="shared" si="122"/>
        <v>#N/A</v>
      </c>
      <c r="K590" t="e">
        <f t="shared" si="123"/>
        <v>#N/A</v>
      </c>
      <c r="L590" t="e">
        <f t="shared" si="124"/>
        <v>#N/A</v>
      </c>
      <c r="M590" t="e">
        <f t="shared" si="125"/>
        <v>#N/A</v>
      </c>
      <c r="N590" t="e">
        <f t="shared" si="126"/>
        <v>#N/A</v>
      </c>
      <c r="O590">
        <f t="shared" si="127"/>
        <v>1.0005900000000001</v>
      </c>
      <c r="P590" t="str">
        <f>IF(OR($A590="",games!$H590=""),"",games!$H590)</f>
        <v>Yes</v>
      </c>
      <c r="Q590">
        <f t="shared" si="128"/>
        <v>1.0005900000000001</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Rhythm Witch: Beat Death</v>
      </c>
      <c r="B591">
        <f>IF($A591="","",games!$B591)</f>
        <v>2025</v>
      </c>
      <c r="C591" t="str">
        <f>IF($A591="","",games!$C591)</f>
        <v>Action</v>
      </c>
      <c r="D591">
        <f>IF($A591="","",COUNTIF(connections!$A$2:$A$1400,$A591)+COUNTIF(connections!$B$2:$B$1400,$A591))</f>
        <v>2</v>
      </c>
      <c r="E591">
        <f t="shared" si="117"/>
        <v>1</v>
      </c>
      <c r="F591">
        <f t="shared" si="118"/>
        <v>13</v>
      </c>
      <c r="G591">
        <f t="shared" si="119"/>
        <v>2025</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Rift Wizard</v>
      </c>
      <c r="B592">
        <f>IF($A592="","",games!$B592)</f>
        <v>2020</v>
      </c>
      <c r="C592" t="str">
        <f>IF($A592="","",games!$C592)</f>
        <v>Traditional</v>
      </c>
      <c r="D592">
        <f>IF($A592="","",COUNTIF(connections!$A$2:$A$1400,$A592)+COUNTIF(connections!$B$2:$B$1400,$A592))</f>
        <v>6</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6.0005920000000001</v>
      </c>
      <c r="P592" t="str">
        <f>IF(OR($A592="",games!$H592=""),"",games!$H592)</f>
        <v>Yes</v>
      </c>
      <c r="Q592">
        <f t="shared" si="128"/>
        <v>6.0005920000000001</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Rift Wizard 2</v>
      </c>
      <c r="B593">
        <f>IF($A593="","",games!$B593)</f>
        <v>2024</v>
      </c>
      <c r="C593" t="str">
        <f>IF($A593="","",games!$C593)</f>
        <v>Traditional</v>
      </c>
      <c r="D593">
        <f>IF($A593="","",COUNTIF(connections!$A$2:$A$1400,$A593)+COUNTIF(connections!$B$2:$B$1400,$A593))</f>
        <v>2</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2024</v>
      </c>
      <c r="N593">
        <f t="shared" si="126"/>
        <v>4.3449999999999998</v>
      </c>
      <c r="O593">
        <f t="shared" si="127"/>
        <v>2.0005929999999998</v>
      </c>
      <c r="P593" t="str">
        <f>IF(OR($A593="",games!$H593=""),"",games!$H593)</f>
        <v>Yes</v>
      </c>
      <c r="Q593">
        <f t="shared" si="128"/>
        <v>2.0005929999999998</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Rift Wizard 3</v>
      </c>
      <c r="B594">
        <f>IF($A594="","",games!$B594)</f>
        <v>2026</v>
      </c>
      <c r="C594" t="str">
        <f>IF($A594="","",games!$C594)</f>
        <v>Traditional</v>
      </c>
      <c r="D594">
        <f>IF($A594="","",COUNTIF(connections!$A$2:$A$1400,$A594)+COUNTIF(connections!$B$2:$B$1400,$A594))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2026</v>
      </c>
      <c r="N594">
        <f t="shared" si="126"/>
        <v>4.3680000000000003</v>
      </c>
      <c r="O594">
        <f t="shared" si="127"/>
        <v>1.000594</v>
      </c>
      <c r="P594" t="str">
        <f>IF(OR($A594="",games!$H594=""),"",games!$H594)</f>
        <v/>
      </c>
      <c r="Q594" t="str">
        <f t="shared" si="128"/>
        <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Right and Down</v>
      </c>
      <c r="B595">
        <f>IF($A595="","",games!$B595)</f>
        <v>2022</v>
      </c>
      <c r="C595" t="str">
        <f>IF($A595="","",games!$C595)</f>
        <v>Deckbuilder</v>
      </c>
      <c r="D595">
        <f>IF($A595="","",COUNTIF(connections!$A$2:$A$1400,$A595)+COUNTIF(connections!$B$2:$B$1400,$A595))</f>
        <v>1</v>
      </c>
      <c r="E595">
        <f t="shared" si="117"/>
        <v>3</v>
      </c>
      <c r="F595">
        <f t="shared" si="118"/>
        <v>17</v>
      </c>
      <c r="G595" t="e">
        <f t="shared" si="119"/>
        <v>#N/A</v>
      </c>
      <c r="H595" t="e">
        <f t="shared" si="120"/>
        <v>#N/A</v>
      </c>
      <c r="I595" t="e">
        <f t="shared" si="121"/>
        <v>#N/A</v>
      </c>
      <c r="J595" t="e">
        <f t="shared" si="122"/>
        <v>#N/A</v>
      </c>
      <c r="K595">
        <f t="shared" si="123"/>
        <v>2022</v>
      </c>
      <c r="L595">
        <f t="shared" si="124"/>
        <v>3.391</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Ring of Pain</v>
      </c>
      <c r="B596">
        <f>IF($A596="","",games!$B596)</f>
        <v>2020</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2020</v>
      </c>
      <c r="J596">
        <f t="shared" si="122"/>
        <v>2.4140000000000001</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Ringer</v>
      </c>
      <c r="B597">
        <f>IF($A597="","",games!$B597)</f>
        <v>2025</v>
      </c>
      <c r="C597" t="str">
        <f>IF($A597="","",games!$C597)</f>
        <v>Deckbuilder</v>
      </c>
      <c r="D597">
        <f>IF($A597="","",COUNTIF(connections!$A$2:$A$1400,$A597)+COUNTIF(connections!$B$2:$B$1400,$A597))</f>
        <v>0</v>
      </c>
      <c r="E597">
        <f t="shared" si="117"/>
        <v>3</v>
      </c>
      <c r="F597">
        <f t="shared" si="118"/>
        <v>19</v>
      </c>
      <c r="G597" t="e">
        <f t="shared" si="119"/>
        <v>#N/A</v>
      </c>
      <c r="H597" t="e">
        <f t="shared" si="120"/>
        <v>#N/A</v>
      </c>
      <c r="I597" t="e">
        <f t="shared" si="121"/>
        <v>#N/A</v>
      </c>
      <c r="J597" t="e">
        <f t="shared" si="122"/>
        <v>#N/A</v>
      </c>
      <c r="K597">
        <f t="shared" si="123"/>
        <v>2025</v>
      </c>
      <c r="L597">
        <f t="shared" si="124"/>
        <v>3.4369999999999998</v>
      </c>
      <c r="M597" t="e">
        <f t="shared" si="125"/>
        <v>#N/A</v>
      </c>
      <c r="N597" t="e">
        <f t="shared" si="126"/>
        <v>#N/A</v>
      </c>
      <c r="O597">
        <f t="shared" si="127"/>
        <v>5.9699999999999998E-4</v>
      </c>
      <c r="P597" t="str">
        <f>IF(OR($A597="",games!$H597=""),"",games!$H597)</f>
        <v>Yes</v>
      </c>
      <c r="Q597">
        <f t="shared" si="128"/>
        <v>5.9699999999999998E-4</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Riptale</v>
      </c>
      <c r="B598">
        <f>IF($A598="","",games!$B598)</f>
        <v>2017</v>
      </c>
      <c r="C598" t="str">
        <f>IF($A598="","",games!$C598)</f>
        <v>Action</v>
      </c>
      <c r="D598">
        <f>IF($A598="","",COUNTIF(connections!$A$2:$A$1400,$A598)+COUNTIF(connections!$B$2:$B$1400,$A598))</f>
        <v>2</v>
      </c>
      <c r="E598">
        <f t="shared" si="117"/>
        <v>1</v>
      </c>
      <c r="F598">
        <f t="shared" si="118"/>
        <v>20</v>
      </c>
      <c r="G598">
        <f t="shared" si="119"/>
        <v>2017</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Risk of Rain</v>
      </c>
      <c r="B599">
        <f>IF($A599="","",games!$B599)</f>
        <v>2013</v>
      </c>
      <c r="C599" t="str">
        <f>IF($A599="","",games!$C599)</f>
        <v>Action</v>
      </c>
      <c r="D599">
        <f>IF($A599="","",COUNTIF(connections!$A$2:$A$1400,$A599)+COUNTIF(connections!$B$2:$B$1400,$A599))</f>
        <v>8</v>
      </c>
      <c r="E599">
        <f t="shared" si="117"/>
        <v>1</v>
      </c>
      <c r="F599">
        <f t="shared" si="118"/>
        <v>21</v>
      </c>
      <c r="G599">
        <f t="shared" si="119"/>
        <v>2013</v>
      </c>
      <c r="H599">
        <f t="shared" si="120"/>
        <v>1.4830000000000001</v>
      </c>
      <c r="I599" t="e">
        <f t="shared" si="121"/>
        <v>#N/A</v>
      </c>
      <c r="J599" t="e">
        <f t="shared" si="122"/>
        <v>#N/A</v>
      </c>
      <c r="K599" t="e">
        <f t="shared" si="123"/>
        <v>#N/A</v>
      </c>
      <c r="L599" t="e">
        <f t="shared" si="124"/>
        <v>#N/A</v>
      </c>
      <c r="M599" t="e">
        <f t="shared" si="125"/>
        <v>#N/A</v>
      </c>
      <c r="N599" t="e">
        <f t="shared" si="126"/>
        <v>#N/A</v>
      </c>
      <c r="O599">
        <f t="shared" si="127"/>
        <v>8.0005989999999994</v>
      </c>
      <c r="P599" t="str">
        <f>IF(OR($A599="",games!$H599=""),"",games!$H599)</f>
        <v>Yes</v>
      </c>
      <c r="Q599">
        <f t="shared" si="128"/>
        <v>8.0005989999999994</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Risk of Rain 2</v>
      </c>
      <c r="B600">
        <f>IF($A600="","",games!$B600)</f>
        <v>2020</v>
      </c>
      <c r="C600" t="str">
        <f>IF($A600="","",games!$C600)</f>
        <v>Action</v>
      </c>
      <c r="D600">
        <f>IF($A600="","",COUNTIF(connections!$A$2:$A$1400,$A600)+COUNTIF(connections!$B$2:$B$1400,$A600))</f>
        <v>16</v>
      </c>
      <c r="E600">
        <f t="shared" si="117"/>
        <v>1</v>
      </c>
      <c r="F600">
        <f t="shared" si="118"/>
        <v>22</v>
      </c>
      <c r="G600">
        <f t="shared" si="119"/>
        <v>2020</v>
      </c>
      <c r="H600">
        <f t="shared" si="120"/>
        <v>1.506</v>
      </c>
      <c r="I600" t="e">
        <f t="shared" si="121"/>
        <v>#N/A</v>
      </c>
      <c r="J600" t="e">
        <f t="shared" si="122"/>
        <v>#N/A</v>
      </c>
      <c r="K600" t="e">
        <f t="shared" si="123"/>
        <v>#N/A</v>
      </c>
      <c r="L600" t="e">
        <f t="shared" si="124"/>
        <v>#N/A</v>
      </c>
      <c r="M600" t="e">
        <f t="shared" si="125"/>
        <v>#N/A</v>
      </c>
      <c r="N600" t="e">
        <f t="shared" si="126"/>
        <v>#N/A</v>
      </c>
      <c r="O600">
        <f t="shared" si="127"/>
        <v>16.000599999999999</v>
      </c>
      <c r="P600" t="str">
        <f>IF(OR($A600="",games!$H600=""),"",games!$H600)</f>
        <v>Yes</v>
      </c>
      <c r="Q600">
        <f t="shared" si="128"/>
        <v>16.000599999999999</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Risk of Rain Returns</v>
      </c>
      <c r="B601">
        <f>IF($A601="","",games!$B601)</f>
        <v>2023</v>
      </c>
      <c r="C601" t="str">
        <f>IF($A601="","",games!$C601)</f>
        <v>Action</v>
      </c>
      <c r="D601">
        <f>IF($A601="","",COUNTIF(connections!$A$2:$A$1400,$A601)+COUNTIF(connections!$B$2:$B$1400,$A601))</f>
        <v>1</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Road Not Taken</v>
      </c>
      <c r="B602">
        <f>IF($A602="","",games!$B602)</f>
        <v>2014</v>
      </c>
      <c r="C602" t="str">
        <f>IF($A602="","",games!$C602)</f>
        <v>Strategy</v>
      </c>
      <c r="D602">
        <f>IF($A602="","",COUNTIF(connections!$A$2:$A$1400,$A602)+COUNTIF(connections!$B$2:$B$1400,$A602))</f>
        <v>2</v>
      </c>
      <c r="E602">
        <f t="shared" si="117"/>
        <v>2</v>
      </c>
      <c r="F602">
        <f t="shared" si="118"/>
        <v>24</v>
      </c>
      <c r="G602" t="e">
        <f t="shared" si="119"/>
        <v>#N/A</v>
      </c>
      <c r="H602" t="e">
        <f t="shared" si="120"/>
        <v>#N/A</v>
      </c>
      <c r="I602">
        <f t="shared" si="121"/>
        <v>2014</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Roboquest</v>
      </c>
      <c r="B603">
        <f>IF($A603="","",games!$B603)</f>
        <v>2020</v>
      </c>
      <c r="C603" t="str">
        <f>IF($A603="","",games!$C603)</f>
        <v>Action</v>
      </c>
      <c r="D603">
        <f>IF($A603="","",COUNTIF(connections!$A$2:$A$1400,$A603)+COUNTIF(connections!$B$2:$B$1400,$A603))</f>
        <v>5</v>
      </c>
      <c r="E603">
        <f t="shared" si="117"/>
        <v>1</v>
      </c>
      <c r="F603">
        <f t="shared" si="118"/>
        <v>25</v>
      </c>
      <c r="G603">
        <f t="shared" si="119"/>
        <v>2020</v>
      </c>
      <c r="H603">
        <f t="shared" si="120"/>
        <v>1.575</v>
      </c>
      <c r="I603" t="e">
        <f t="shared" si="121"/>
        <v>#N/A</v>
      </c>
      <c r="J603" t="e">
        <f t="shared" si="122"/>
        <v>#N/A</v>
      </c>
      <c r="K603" t="e">
        <f t="shared" si="123"/>
        <v>#N/A</v>
      </c>
      <c r="L603" t="e">
        <f t="shared" si="124"/>
        <v>#N/A</v>
      </c>
      <c r="M603" t="e">
        <f t="shared" si="125"/>
        <v>#N/A</v>
      </c>
      <c r="N603" t="e">
        <f t="shared" si="126"/>
        <v>#N/A</v>
      </c>
      <c r="O603">
        <f t="shared" si="127"/>
        <v>5.0006029999999999</v>
      </c>
      <c r="P603" t="str">
        <f>IF(OR($A603="",games!$H603=""),"",games!$H603)</f>
        <v>Yes</v>
      </c>
      <c r="Q603">
        <f t="shared" si="128"/>
        <v>5.0006029999999999</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Rocket Rats</v>
      </c>
      <c r="B604">
        <f>IF($A604="","",games!$B604)</f>
        <v>2024</v>
      </c>
      <c r="C604" t="str">
        <f>IF($A604="","",games!$C604)</f>
        <v>Action</v>
      </c>
      <c r="D604">
        <f>IF($A604="","",COUNTIF(connections!$A$2:$A$1400,$A604)+COUNTIF(connections!$B$2:$B$1400,$A604))</f>
        <v>1</v>
      </c>
      <c r="E604">
        <f t="shared" si="117"/>
        <v>1</v>
      </c>
      <c r="F604">
        <f t="shared" si="118"/>
        <v>26</v>
      </c>
      <c r="G604">
        <f t="shared" si="119"/>
        <v>2024</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v>
      </c>
      <c r="B605">
        <f>IF($A605="","",games!$B605)</f>
        <v>1980</v>
      </c>
      <c r="C605" t="str">
        <f>IF($A605="","",games!$C605)</f>
        <v>Traditional</v>
      </c>
      <c r="D605">
        <f>IF($A605="","",COUNTIF(connections!$A$2:$A$1400,$A605)+COUNTIF(connections!$B$2:$B$1400,$A605))</f>
        <v>23</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1980</v>
      </c>
      <c r="N605">
        <f t="shared" si="126"/>
        <v>4.6210000000000004</v>
      </c>
      <c r="O605">
        <f t="shared" si="127"/>
        <v>23.000605</v>
      </c>
      <c r="P605" t="str">
        <f>IF(OR($A605="",games!$H605=""),"",games!$H605)</f>
        <v>Yes</v>
      </c>
      <c r="Q605">
        <f t="shared" si="128"/>
        <v>23.000605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Command</v>
      </c>
      <c r="B606">
        <f>IF($A606="","",games!$B606)</f>
        <v>2024</v>
      </c>
      <c r="C606" t="str">
        <f>IF($A606="","",games!$C606)</f>
        <v>Strategy</v>
      </c>
      <c r="D606">
        <f>IF($A606="","",COUNTIF(connections!$A$2:$A$1400,$A606)+COUNTIF(connections!$B$2:$B$1400,$A606))</f>
        <v>3</v>
      </c>
      <c r="E606">
        <f t="shared" si="117"/>
        <v>2</v>
      </c>
      <c r="F606">
        <f t="shared" si="118"/>
        <v>28</v>
      </c>
      <c r="G606" t="e">
        <f t="shared" si="119"/>
        <v>#N/A</v>
      </c>
      <c r="H606" t="e">
        <f t="shared" si="120"/>
        <v>#N/A</v>
      </c>
      <c r="I606">
        <f t="shared" si="121"/>
        <v>2024</v>
      </c>
      <c r="J606">
        <f t="shared" si="122"/>
        <v>2.6440000000000001</v>
      </c>
      <c r="K606" t="e">
        <f t="shared" si="123"/>
        <v>#N/A</v>
      </c>
      <c r="L606" t="e">
        <f t="shared" si="124"/>
        <v>#N/A</v>
      </c>
      <c r="M606" t="e">
        <f t="shared" si="125"/>
        <v>#N/A</v>
      </c>
      <c r="N606" t="e">
        <f t="shared" si="126"/>
        <v>#N/A</v>
      </c>
      <c r="O606">
        <f t="shared" si="127"/>
        <v>3.0006059999999999</v>
      </c>
      <c r="P606" t="str">
        <f>IF(OR($A606="",games!$H606=""),"",games!$H606)</f>
        <v/>
      </c>
      <c r="Q606" t="str">
        <f t="shared" si="128"/>
        <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Empire</v>
      </c>
      <c r="B607">
        <f>IF($A607="","",games!$B607)</f>
        <v>2019</v>
      </c>
      <c r="C607" t="str">
        <f>IF($A607="","",games!$C607)</f>
        <v>Traditional</v>
      </c>
      <c r="D607">
        <f>IF($A607="","",COUNTIF(connections!$A$2:$A$1400,$A607)+COUNTIF(connections!$B$2:$B$1400,$A607))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2019</v>
      </c>
      <c r="N607">
        <f t="shared" si="126"/>
        <v>4.6669999999999998</v>
      </c>
      <c r="O607">
        <f t="shared" si="127"/>
        <v>2.000607</v>
      </c>
      <c r="P607" t="str">
        <f>IF(OR($A607="",games!$H607=""),"",games!$H607)</f>
        <v/>
      </c>
      <c r="Q607" t="str">
        <f t="shared" si="128"/>
        <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Factory</v>
      </c>
      <c r="B608">
        <f>IF($A608="","",games!$B608)</f>
        <v>2026</v>
      </c>
      <c r="C608" t="str">
        <f>IF($A608="","",games!$C608)</f>
        <v>Action</v>
      </c>
      <c r="D608">
        <f>IF($A608="","",COUNTIF(connections!$A$2:$A$1400,$A608)+COUNTIF(connections!$B$2:$B$1400,$A608))</f>
        <v>2</v>
      </c>
      <c r="E608">
        <f t="shared" si="117"/>
        <v>1</v>
      </c>
      <c r="F608">
        <f t="shared" si="118"/>
        <v>30</v>
      </c>
      <c r="G608">
        <f t="shared" si="119"/>
        <v>2026</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
      </c>
      <c r="Q608" t="str">
        <f t="shared" si="128"/>
        <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Flight</v>
      </c>
      <c r="B609">
        <f>IF($A609="","",games!$B609)</f>
        <v>2024</v>
      </c>
      <c r="C609" t="str">
        <f>IF($A609="","",games!$C609)</f>
        <v>Action</v>
      </c>
      <c r="D609">
        <f>IF($A609="","",COUNTIF(connections!$A$2:$A$1400,$A609)+COUNTIF(connections!$B$2:$B$1400,$A609))</f>
        <v>0</v>
      </c>
      <c r="E609">
        <f t="shared" si="117"/>
        <v>1</v>
      </c>
      <c r="F609">
        <f t="shared" si="118"/>
        <v>31</v>
      </c>
      <c r="G609">
        <f t="shared" si="119"/>
        <v>2024</v>
      </c>
      <c r="H609">
        <f t="shared" si="120"/>
        <v>1.7130000000000001</v>
      </c>
      <c r="I609" t="e">
        <f t="shared" si="121"/>
        <v>#N/A</v>
      </c>
      <c r="J609" t="e">
        <f t="shared" si="122"/>
        <v>#N/A</v>
      </c>
      <c r="K609" t="e">
        <f t="shared" si="123"/>
        <v>#N/A</v>
      </c>
      <c r="L609" t="e">
        <f t="shared" si="124"/>
        <v>#N/A</v>
      </c>
      <c r="M609" t="e">
        <f t="shared" si="125"/>
        <v>#N/A</v>
      </c>
      <c r="N609" t="e">
        <f t="shared" si="126"/>
        <v>#N/A</v>
      </c>
      <c r="O609">
        <f t="shared" si="127"/>
        <v>6.0899999999999995E-4</v>
      </c>
      <c r="P609" t="str">
        <f>IF(OR($A609="",games!$H609=""),"",games!$H609)</f>
        <v/>
      </c>
      <c r="Q609" t="str">
        <f t="shared" si="128"/>
        <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Hearts Dungeon</v>
      </c>
      <c r="B610">
        <f>IF($A610="","",games!$B610)</f>
        <v>2007</v>
      </c>
      <c r="C610" t="str">
        <f>IF($A610="","",games!$C610)</f>
        <v>Traditional</v>
      </c>
      <c r="D610">
        <f>IF($A610="","",COUNTIF(connections!$A$2:$A$1400,$A610)+COUNTIF(connections!$B$2:$B$1400,$A610))</f>
        <v>2</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2007</v>
      </c>
      <c r="N610">
        <f t="shared" si="126"/>
        <v>4.7359999999999998</v>
      </c>
      <c r="O610">
        <f t="shared" si="127"/>
        <v>2.00061</v>
      </c>
      <c r="P610" t="str">
        <f>IF(OR($A610="",games!$H610=""),"",games!$H610)</f>
        <v>Yes</v>
      </c>
      <c r="Q610">
        <f t="shared" si="128"/>
        <v>2.00061</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Heroes: Ruins of Tasos</v>
      </c>
      <c r="B611">
        <f>IF($A611="","",games!$B611)</f>
        <v>2021</v>
      </c>
      <c r="C611" t="str">
        <f>IF($A611="","",games!$C611)</f>
        <v>Action</v>
      </c>
      <c r="D611">
        <f>IF($A611="","",COUNTIF(connections!$A$2:$A$1400,$A611)+COUNTIF(connections!$B$2:$B$1400,$A611))</f>
        <v>1</v>
      </c>
      <c r="E611">
        <f t="shared" si="117"/>
        <v>1</v>
      </c>
      <c r="F611">
        <f t="shared" si="118"/>
        <v>33</v>
      </c>
      <c r="G611">
        <f t="shared" si="119"/>
        <v>2021</v>
      </c>
      <c r="H611">
        <f t="shared" si="120"/>
        <v>1.7589999999999999</v>
      </c>
      <c r="I611" t="e">
        <f t="shared" si="121"/>
        <v>#N/A</v>
      </c>
      <c r="J611" t="e">
        <f t="shared" si="122"/>
        <v>#N/A</v>
      </c>
      <c r="K611" t="e">
        <f t="shared" si="123"/>
        <v>#N/A</v>
      </c>
      <c r="L611" t="e">
        <f t="shared" si="124"/>
        <v>#N/A</v>
      </c>
      <c r="M611" t="e">
        <f t="shared" si="125"/>
        <v>#N/A</v>
      </c>
      <c r="N611" t="e">
        <f t="shared" si="126"/>
        <v>#N/A</v>
      </c>
      <c r="O611">
        <f t="shared" si="127"/>
        <v>1.0006109999999999</v>
      </c>
      <c r="P611" t="str">
        <f>IF(OR($A611="",games!$H611=""),"",games!$H611)</f>
        <v>Yes</v>
      </c>
      <c r="Q611">
        <f t="shared" si="128"/>
        <v>1.0006109999999999</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Legacy</v>
      </c>
      <c r="B612">
        <f>IF($A612="","",games!$B612)</f>
        <v>2013</v>
      </c>
      <c r="C612" t="str">
        <f>IF($A612="","",games!$C612)</f>
        <v>Action</v>
      </c>
      <c r="D612">
        <f>IF($A612="","",COUNTIF(connections!$A$2:$A$1400,$A612)+COUNTIF(connections!$B$2:$B$1400,$A612))</f>
        <v>15</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15.000612</v>
      </c>
      <c r="P612" t="str">
        <f>IF(OR($A612="",games!$H612=""),"",games!$H612)</f>
        <v>Yes</v>
      </c>
      <c r="Q612">
        <f t="shared" si="128"/>
        <v>15.000612</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Legacy 2</v>
      </c>
      <c r="B613">
        <f>IF($A613="","",games!$B613)</f>
        <v>2020</v>
      </c>
      <c r="C613" t="str">
        <f>IF($A613="","",games!$C613)</f>
        <v>Action</v>
      </c>
      <c r="D613">
        <f>IF($A613="","",COUNTIF(connections!$A$2:$A$1400,$A613)+COUNTIF(connections!$B$2:$B$1400,$A613))</f>
        <v>1</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 Lords</v>
      </c>
      <c r="B614">
        <f>IF($A614="","",games!$B614)</f>
        <v>2021</v>
      </c>
      <c r="C614" t="str">
        <f>IF($A614="","",games!$C614)</f>
        <v>Strategy</v>
      </c>
      <c r="D614">
        <f>IF($A614="","",COUNTIF(connections!$A$2:$A$1400,$A614)+COUNTIF(connections!$B$2:$B$1400,$A614))</f>
        <v>1</v>
      </c>
      <c r="E614">
        <f t="shared" si="117"/>
        <v>2</v>
      </c>
      <c r="F614">
        <f t="shared" si="118"/>
        <v>2</v>
      </c>
      <c r="G614" t="e">
        <f t="shared" si="119"/>
        <v>#N/A</v>
      </c>
      <c r="H614" t="e">
        <f t="shared" si="120"/>
        <v>#N/A</v>
      </c>
      <c r="I614">
        <f t="shared" si="121"/>
        <v>2021</v>
      </c>
      <c r="J614">
        <f t="shared" si="122"/>
        <v>2.0459999999999998</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 Tower</v>
      </c>
      <c r="B615">
        <f>IF($A615="","",games!$B615)</f>
        <v>2022</v>
      </c>
      <c r="C615" t="str">
        <f>IF($A615="","",games!$C615)</f>
        <v>Strategy</v>
      </c>
      <c r="D615">
        <f>IF($A615="","",COUNTIF(connections!$A$2:$A$1400,$A615)+COUNTIF(connections!$B$2:$B$1400,$A615))</f>
        <v>2</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 Voltage</v>
      </c>
      <c r="B616">
        <f>IF($A616="","",games!$B616)</f>
        <v>2024</v>
      </c>
      <c r="C616" t="str">
        <f>IF($A616="","",games!$C616)</f>
        <v>Deckbuilder</v>
      </c>
      <c r="D616">
        <f>IF($A616="","",COUNTIF(connections!$A$2:$A$1400,$A616)+COUNTIF(connections!$B$2:$B$1400,$A616))</f>
        <v>4</v>
      </c>
      <c r="E616">
        <f t="shared" si="117"/>
        <v>3</v>
      </c>
      <c r="F616">
        <f t="shared" si="118"/>
        <v>4</v>
      </c>
      <c r="G616" t="e">
        <f t="shared" si="119"/>
        <v>#N/A</v>
      </c>
      <c r="H616" t="e">
        <f t="shared" si="120"/>
        <v>#N/A</v>
      </c>
      <c r="I616" t="e">
        <f t="shared" si="121"/>
        <v>#N/A</v>
      </c>
      <c r="J616" t="e">
        <f t="shared" si="122"/>
        <v>#N/A</v>
      </c>
      <c r="K616">
        <f t="shared" si="123"/>
        <v>2024</v>
      </c>
      <c r="L616">
        <f t="shared" si="124"/>
        <v>3.0920000000000001</v>
      </c>
      <c r="M616" t="e">
        <f t="shared" si="125"/>
        <v>#N/A</v>
      </c>
      <c r="N616" t="e">
        <f t="shared" si="126"/>
        <v>#N/A</v>
      </c>
      <c r="O616">
        <f t="shared" si="127"/>
        <v>4.0006159999999999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 Wizards</v>
      </c>
      <c r="B617">
        <f>IF($A617="","",games!$B617)</f>
        <v>2016</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2016</v>
      </c>
      <c r="J617">
        <f t="shared" si="122"/>
        <v>2.1150000000000002</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 Genesia</v>
      </c>
      <c r="B618">
        <f>IF($A618="","",games!$B618)</f>
        <v>2022</v>
      </c>
      <c r="C618" t="str">
        <f>IF($A618="","",games!$C618)</f>
        <v>Action</v>
      </c>
      <c r="D618">
        <f>IF($A618="","",COUNTIF(connections!$A$2:$A$1400,$A618)+COUNTIF(connections!$B$2:$B$1400,$A618))</f>
        <v>1</v>
      </c>
      <c r="E618">
        <f t="shared" si="117"/>
        <v>1</v>
      </c>
      <c r="F618">
        <f t="shared" si="118"/>
        <v>6</v>
      </c>
      <c r="G618">
        <f t="shared" si="119"/>
        <v>2022</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Roguebook</v>
      </c>
      <c r="B619">
        <f>IF($A619="","",games!$B619)</f>
        <v>2021</v>
      </c>
      <c r="C619" t="str">
        <f>IF($A619="","",games!$C619)</f>
        <v>Deckbuilder</v>
      </c>
      <c r="D619">
        <f>IF($A619="","",COUNTIF(connections!$A$2:$A$1400,$A619)+COUNTIF(connections!$B$2:$B$1400,$A619))</f>
        <v>3</v>
      </c>
      <c r="E619">
        <f t="shared" si="117"/>
        <v>3</v>
      </c>
      <c r="F619">
        <f t="shared" si="118"/>
        <v>7</v>
      </c>
      <c r="G619" t="e">
        <f t="shared" si="119"/>
        <v>#N/A</v>
      </c>
      <c r="H619" t="e">
        <f t="shared" si="120"/>
        <v>#N/A</v>
      </c>
      <c r="I619" t="e">
        <f t="shared" si="121"/>
        <v>#N/A</v>
      </c>
      <c r="J619" t="e">
        <f t="shared" si="122"/>
        <v>#N/A</v>
      </c>
      <c r="K619">
        <f t="shared" si="123"/>
        <v>2021</v>
      </c>
      <c r="L619">
        <f t="shared" si="124"/>
        <v>3.161</v>
      </c>
      <c r="M619" t="e">
        <f t="shared" si="125"/>
        <v>#N/A</v>
      </c>
      <c r="N619" t="e">
        <f t="shared" si="126"/>
        <v>#N/A</v>
      </c>
      <c r="O619">
        <f t="shared" si="127"/>
        <v>3.0006189999999999</v>
      </c>
      <c r="P619" t="str">
        <f>IF(OR($A619="",games!$H619=""),"",games!$H619)</f>
        <v>Yes</v>
      </c>
      <c r="Q619">
        <f t="shared" si="128"/>
        <v>3.0006189999999999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Rogue-Fp</v>
      </c>
      <c r="B620">
        <f>IF($A620="","",games!$B620)</f>
        <v>2023</v>
      </c>
      <c r="C620" t="str">
        <f>IF($A620="","",games!$C620)</f>
        <v>Traditional</v>
      </c>
      <c r="D620">
        <f>IF($A620="","",COUNTIF(connections!$A$2:$A$1400,$A620)+COUNTIF(connections!$B$2:$B$1400,$A620))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2023</v>
      </c>
      <c r="N620">
        <f t="shared" si="126"/>
        <v>4.1840000000000002</v>
      </c>
      <c r="O620">
        <f t="shared" si="127"/>
        <v>2.0006200000000001</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RogueJack21</v>
      </c>
      <c r="B621">
        <f>IF($A621="","",games!$B621)</f>
        <v>2026</v>
      </c>
      <c r="C621" t="str">
        <f>IF($A621="","",games!$C621)</f>
        <v>Deckbuilder</v>
      </c>
      <c r="D621">
        <f>IF($A621="","",COUNTIF(connections!$A$2:$A$1400,$A621)+COUNTIF(connections!$B$2:$B$1400,$A621))</f>
        <v>2</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Rogue's Tale</v>
      </c>
      <c r="B622">
        <f>IF($A622="","",games!$B622)</f>
        <v>2014</v>
      </c>
      <c r="C622" t="str">
        <f>IF($A622="","",games!$C622)</f>
        <v>Traditional</v>
      </c>
      <c r="D622">
        <f>IF($A622="","",COUNTIF(connections!$A$2:$A$1400,$A622)+COUNTIF(connections!$B$2:$B$1400,$A622))</f>
        <v>1</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2014</v>
      </c>
      <c r="N622">
        <f t="shared" si="126"/>
        <v>4.2300000000000004</v>
      </c>
      <c r="O622">
        <f t="shared" si="127"/>
        <v>1.0006219999999999</v>
      </c>
      <c r="P622" t="str">
        <f>IF(OR($A622="",games!$H622=""),"",games!$H622)</f>
        <v/>
      </c>
      <c r="Q622" t="str">
        <f t="shared" si="128"/>
        <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RogueSlide</v>
      </c>
      <c r="B623">
        <f>IF($A623="","",games!$B623)</f>
        <v>2022</v>
      </c>
      <c r="C623" t="str">
        <f>IF($A623="","",games!$C623)</f>
        <v>Strategy</v>
      </c>
      <c r="D623">
        <f>IF($A623="","",COUNTIF(connections!$A$2:$A$1400,$A623)+COUNTIF(connections!$B$2:$B$1400,$A623))</f>
        <v>0</v>
      </c>
      <c r="E623">
        <f t="shared" si="117"/>
        <v>2</v>
      </c>
      <c r="F623">
        <f t="shared" si="118"/>
        <v>11</v>
      </c>
      <c r="G623" t="e">
        <f t="shared" si="119"/>
        <v>#N/A</v>
      </c>
      <c r="H623" t="e">
        <f t="shared" si="120"/>
        <v>#N/A</v>
      </c>
      <c r="I623">
        <f t="shared" si="121"/>
        <v>2022</v>
      </c>
      <c r="J623">
        <f t="shared" si="122"/>
        <v>2.2530000000000001</v>
      </c>
      <c r="K623" t="e">
        <f t="shared" si="123"/>
        <v>#N/A</v>
      </c>
      <c r="L623" t="e">
        <f t="shared" si="124"/>
        <v>#N/A</v>
      </c>
      <c r="M623" t="e">
        <f t="shared" si="125"/>
        <v>#N/A</v>
      </c>
      <c r="N623" t="e">
        <f t="shared" si="126"/>
        <v>#N/A</v>
      </c>
      <c r="O623">
        <f t="shared" si="127"/>
        <v>6.2299999999999996E-4</v>
      </c>
      <c r="P623" t="str">
        <f>IF(OR($A623="",games!$H623=""),"",games!$H623)</f>
        <v>Yes</v>
      </c>
      <c r="Q623">
        <f t="shared" si="128"/>
        <v>6.2299999999999996E-4</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Roll</v>
      </c>
      <c r="B624">
        <f>IF($A624="","",games!$B624)</f>
        <v>2021</v>
      </c>
      <c r="C624" t="str">
        <f>IF($A624="","",games!$C624)</f>
        <v>Strategy</v>
      </c>
      <c r="D624">
        <f>IF($A624="","",COUNTIF(connections!$A$2:$A$1400,$A624)+COUNTIF(connections!$B$2:$B$1400,$A624))</f>
        <v>1</v>
      </c>
      <c r="E624">
        <f t="shared" si="117"/>
        <v>2</v>
      </c>
      <c r="F624">
        <f t="shared" si="118"/>
        <v>12</v>
      </c>
      <c r="G624" t="e">
        <f t="shared" si="119"/>
        <v>#N/A</v>
      </c>
      <c r="H624" t="e">
        <f t="shared" si="120"/>
        <v>#N/A</v>
      </c>
      <c r="I624">
        <f t="shared" si="121"/>
        <v>2021</v>
      </c>
      <c r="J624">
        <f t="shared" si="122"/>
        <v>2.2759999999999998</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RollScape</v>
      </c>
      <c r="B625">
        <f>IF($A625="","",games!$B625)</f>
        <v>2024</v>
      </c>
      <c r="C625" t="str">
        <f>IF($A625="","",games!$C625)</f>
        <v>Strategy</v>
      </c>
      <c r="D625">
        <f>IF($A625="","",COUNTIF(connections!$A$2:$A$1400,$A625)+COUNTIF(connections!$B$2:$B$1400,$A625))</f>
        <v>2</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Roulette Dungeon</v>
      </c>
      <c r="B626">
        <f>IF($A626="","",games!$B626)</f>
        <v>2026</v>
      </c>
      <c r="C626" t="str">
        <f>IF($A626="","",games!$C626)</f>
        <v>Deckbuilder</v>
      </c>
      <c r="D626">
        <f>IF($A626="","",COUNTIF(connections!$A$2:$A$1400,$A626)+COUNTIF(connections!$B$2:$B$1400,$A626))</f>
        <v>1</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1.000626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Roulette Hero</v>
      </c>
      <c r="B627">
        <f>IF($A627="","",games!$B627)</f>
        <v>2025</v>
      </c>
      <c r="C627" t="str">
        <f>IF($A627="","",games!$C627)</f>
        <v>Deckbuilder</v>
      </c>
      <c r="D627">
        <f>IF($A627="","",COUNTIF(connections!$A$2:$A$1400,$A627)+COUNTIF(connections!$B$2:$B$1400,$A627))</f>
        <v>4</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4.0006269999999997</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Rounds</v>
      </c>
      <c r="B628">
        <f>IF($A628="","",games!$B628)</f>
        <v>2021</v>
      </c>
      <c r="C628" t="str">
        <f>IF($A628="","",games!$C628)</f>
        <v>Action</v>
      </c>
      <c r="D628">
        <f>IF($A628="","",COUNTIF(connections!$A$2:$A$1400,$A628)+COUNTIF(connections!$B$2:$B$1400,$A628))</f>
        <v>0</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Yes</v>
      </c>
      <c r="Q628">
        <f t="shared" si="128"/>
        <v>6.2799999999999998E-4</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Rune Dice</v>
      </c>
      <c r="B629">
        <f>IF($A629="","",games!$B629)</f>
        <v>2026</v>
      </c>
      <c r="C629" t="str">
        <f>IF($A629="","",games!$C629)</f>
        <v>Deckbuilder</v>
      </c>
      <c r="D629">
        <f>IF($A629="","",COUNTIF(connections!$A$2:$A$1400,$A629)+COUNTIF(connections!$B$2:$B$1400,$A629))</f>
        <v>1</v>
      </c>
      <c r="E629">
        <f t="shared" si="117"/>
        <v>3</v>
      </c>
      <c r="F629">
        <f t="shared" si="118"/>
        <v>17</v>
      </c>
      <c r="G629" t="e">
        <f t="shared" si="119"/>
        <v>#N/A</v>
      </c>
      <c r="H629" t="e">
        <f t="shared" si="120"/>
        <v>#N/A</v>
      </c>
      <c r="I629" t="e">
        <f t="shared" si="121"/>
        <v>#N/A</v>
      </c>
      <c r="J629" t="e">
        <f t="shared" si="122"/>
        <v>#N/A</v>
      </c>
      <c r="K629">
        <f t="shared" si="123"/>
        <v>2026</v>
      </c>
      <c r="L629">
        <f t="shared" si="124"/>
        <v>3.391</v>
      </c>
      <c r="M629" t="e">
        <f t="shared" si="125"/>
        <v>#N/A</v>
      </c>
      <c r="N629" t="e">
        <f t="shared" si="126"/>
        <v>#N/A</v>
      </c>
      <c r="O629">
        <f t="shared" si="127"/>
        <v>1.000629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Runeborn</v>
      </c>
      <c r="B630">
        <f>IF($A630="","",games!$B630)</f>
        <v>2025</v>
      </c>
      <c r="C630" t="str">
        <f>IF($A630="","",games!$C630)</f>
        <v>Deckbuilder</v>
      </c>
      <c r="D630">
        <f>IF($A630="","",COUNTIF(connections!$A$2:$A$1400,$A630)+COUNTIF(connections!$B$2:$B$1400,$A630))</f>
        <v>2</v>
      </c>
      <c r="E630">
        <f t="shared" si="117"/>
        <v>3</v>
      </c>
      <c r="F630">
        <f t="shared" si="118"/>
        <v>18</v>
      </c>
      <c r="G630" t="e">
        <f t="shared" si="119"/>
        <v>#N/A</v>
      </c>
      <c r="H630" t="e">
        <f t="shared" si="120"/>
        <v>#N/A</v>
      </c>
      <c r="I630" t="e">
        <f t="shared" si="121"/>
        <v>#N/A</v>
      </c>
      <c r="J630" t="e">
        <f t="shared" si="122"/>
        <v>#N/A</v>
      </c>
      <c r="K630">
        <f t="shared" si="123"/>
        <v>2025</v>
      </c>
      <c r="L630">
        <f t="shared" si="124"/>
        <v>3.4140000000000001</v>
      </c>
      <c r="M630" t="e">
        <f t="shared" si="125"/>
        <v>#N/A</v>
      </c>
      <c r="N630" t="e">
        <f t="shared" si="126"/>
        <v>#N/A</v>
      </c>
      <c r="O630">
        <f t="shared" si="127"/>
        <v>2.0006300000000001</v>
      </c>
      <c r="P630" t="str">
        <f>IF(OR($A630="",games!$H630=""),"",games!$H630)</f>
        <v>Yes</v>
      </c>
      <c r="Q630">
        <f t="shared" si="128"/>
        <v>2.0006300000000001</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Runeveil</v>
      </c>
      <c r="B631">
        <f>IF($A631="","",games!$B631)</f>
        <v>2026</v>
      </c>
      <c r="C631" t="str">
        <f>IF($A631="","",games!$C631)</f>
        <v>Deckbuilder</v>
      </c>
      <c r="D631">
        <f>IF($A631="","",COUNTIF(connections!$A$2:$A$1400,$A631)+COUNTIF(connections!$B$2:$B$1400,$A631))</f>
        <v>2</v>
      </c>
      <c r="E631">
        <f t="shared" si="117"/>
        <v>3</v>
      </c>
      <c r="F631">
        <f t="shared" si="118"/>
        <v>19</v>
      </c>
      <c r="G631" t="e">
        <f t="shared" si="119"/>
        <v>#N/A</v>
      </c>
      <c r="H631" t="e">
        <f t="shared" si="120"/>
        <v>#N/A</v>
      </c>
      <c r="I631" t="e">
        <f t="shared" si="121"/>
        <v>#N/A</v>
      </c>
      <c r="J631" t="e">
        <f t="shared" si="122"/>
        <v>#N/A</v>
      </c>
      <c r="K631">
        <f t="shared" si="123"/>
        <v>2026</v>
      </c>
      <c r="L631">
        <f t="shared" si="124"/>
        <v>3.4369999999999998</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Rungore</v>
      </c>
      <c r="B632">
        <f>IF($A632="","",games!$B632)</f>
        <v>2023</v>
      </c>
      <c r="C632" t="str">
        <f>IF($A632="","",games!$C632)</f>
        <v>Deckbuilder</v>
      </c>
      <c r="D632">
        <f>IF($A632="","",COUNTIF(connections!$A$2:$A$1400,$A632)+COUNTIF(connections!$B$2:$B$1400,$A632))</f>
        <v>2</v>
      </c>
      <c r="E632">
        <f t="shared" si="117"/>
        <v>3</v>
      </c>
      <c r="F632">
        <f t="shared" si="118"/>
        <v>20</v>
      </c>
      <c r="G632" t="e">
        <f t="shared" si="119"/>
        <v>#N/A</v>
      </c>
      <c r="H632" t="e">
        <f t="shared" si="120"/>
        <v>#N/A</v>
      </c>
      <c r="I632" t="e">
        <f t="shared" si="121"/>
        <v>#N/A</v>
      </c>
      <c r="J632" t="e">
        <f t="shared" si="122"/>
        <v>#N/A</v>
      </c>
      <c r="K632">
        <f t="shared" si="123"/>
        <v>2023</v>
      </c>
      <c r="L632">
        <f t="shared" si="124"/>
        <v>3.46</v>
      </c>
      <c r="M632" t="e">
        <f t="shared" si="125"/>
        <v>#N/A</v>
      </c>
      <c r="N632" t="e">
        <f t="shared" si="126"/>
        <v>#N/A</v>
      </c>
      <c r="O632">
        <f t="shared" si="127"/>
        <v>2.000632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Sanae no Chou Tokkyuu: The Express Trial</v>
      </c>
      <c r="B633">
        <f>IF($A633="","",games!$B633)</f>
        <v>2010</v>
      </c>
      <c r="C633" t="str">
        <f>IF($A633="","",games!$C633)</f>
        <v>Traditional</v>
      </c>
      <c r="D633">
        <f>IF($A633="","",COUNTIF(connections!$A$2:$A$1400,$A633)+COUNTIF(connections!$B$2:$B$1400,$A633))</f>
        <v>1</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2010</v>
      </c>
      <c r="N633">
        <f t="shared" si="126"/>
        <v>4.4829999999999997</v>
      </c>
      <c r="O633">
        <f t="shared" si="127"/>
        <v>1.0006330000000001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Sandwalkers</v>
      </c>
      <c r="B634">
        <f>IF($A634="","",games!$B634)</f>
        <v>2024</v>
      </c>
      <c r="C634" t="str">
        <f>IF($A634="","",games!$C634)</f>
        <v>Action</v>
      </c>
      <c r="D634">
        <f>IF($A634="","",COUNTIF(connections!$A$2:$A$1400,$A634)+COUNTIF(connections!$B$2:$B$1400,$A634))</f>
        <v>3</v>
      </c>
      <c r="E634">
        <f t="shared" si="117"/>
        <v>1</v>
      </c>
      <c r="F634">
        <f t="shared" si="118"/>
        <v>22</v>
      </c>
      <c r="G634">
        <f t="shared" si="119"/>
        <v>2024</v>
      </c>
      <c r="H634">
        <f t="shared" si="120"/>
        <v>1.506</v>
      </c>
      <c r="I634" t="e">
        <f t="shared" si="121"/>
        <v>#N/A</v>
      </c>
      <c r="J634" t="e">
        <f t="shared" si="122"/>
        <v>#N/A</v>
      </c>
      <c r="K634" t="e">
        <f t="shared" si="123"/>
        <v>#N/A</v>
      </c>
      <c r="L634" t="e">
        <f t="shared" si="124"/>
        <v>#N/A</v>
      </c>
      <c r="M634" t="e">
        <f t="shared" si="125"/>
        <v>#N/A</v>
      </c>
      <c r="N634" t="e">
        <f t="shared" si="126"/>
        <v>#N/A</v>
      </c>
      <c r="O634">
        <f t="shared" si="127"/>
        <v>3.0006339999999998</v>
      </c>
      <c r="P634" t="str">
        <f>IF(OR($A634="",games!$H634=""),"",games!$H634)</f>
        <v/>
      </c>
      <c r="Q634" t="str">
        <f t="shared" si="128"/>
        <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Scarlet Tower</v>
      </c>
      <c r="B635">
        <f>IF($A635="","",games!$B635)</f>
        <v>2022</v>
      </c>
      <c r="C635" t="str">
        <f>IF($A635="","",games!$C635)</f>
        <v>Action</v>
      </c>
      <c r="D635">
        <f>IF($A635="","",COUNTIF(connections!$A$2:$A$1400,$A635)+COUNTIF(connections!$B$2:$B$1400,$A635))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Schism</v>
      </c>
      <c r="B636">
        <f>IF($A636="","",games!$B636)</f>
        <v>2023</v>
      </c>
      <c r="C636" t="str">
        <f>IF($A636="","",games!$C636)</f>
        <v>Action</v>
      </c>
      <c r="D636">
        <f>IF($A636="","",COUNTIF(connections!$A$2:$A$1400,$A636)+COUNTIF(connections!$B$2:$B$1400,$A636))</f>
        <v>2</v>
      </c>
      <c r="E636">
        <f t="shared" si="117"/>
        <v>1</v>
      </c>
      <c r="F636">
        <f t="shared" si="118"/>
        <v>24</v>
      </c>
      <c r="G636">
        <f t="shared" si="119"/>
        <v>2023</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Scourgebringer</v>
      </c>
      <c r="B637">
        <f>IF($A637="","",games!$B637)</f>
        <v>2020</v>
      </c>
      <c r="C637" t="str">
        <f>IF($A637="","",games!$C637)</f>
        <v>Action</v>
      </c>
      <c r="D637">
        <f>IF($A637="","",COUNTIF(connections!$A$2:$A$1400,$A637)+COUNTIF(connections!$B$2:$B$1400,$A637))</f>
        <v>7</v>
      </c>
      <c r="E637">
        <f t="shared" si="117"/>
        <v>1</v>
      </c>
      <c r="F637">
        <f t="shared" si="118"/>
        <v>25</v>
      </c>
      <c r="G637">
        <f t="shared" si="119"/>
        <v>2020</v>
      </c>
      <c r="H637">
        <f t="shared" si="120"/>
        <v>1.575</v>
      </c>
      <c r="I637" t="e">
        <f t="shared" si="121"/>
        <v>#N/A</v>
      </c>
      <c r="J637" t="e">
        <f t="shared" si="122"/>
        <v>#N/A</v>
      </c>
      <c r="K637" t="e">
        <f t="shared" si="123"/>
        <v>#N/A</v>
      </c>
      <c r="L637" t="e">
        <f t="shared" si="124"/>
        <v>#N/A</v>
      </c>
      <c r="M637" t="e">
        <f t="shared" si="125"/>
        <v>#N/A</v>
      </c>
      <c r="N637" t="e">
        <f t="shared" si="126"/>
        <v>#N/A</v>
      </c>
      <c r="O637">
        <f t="shared" si="127"/>
        <v>7.0006370000000002</v>
      </c>
      <c r="P637" t="str">
        <f>IF(OR($A637="",games!$H637=""),"",games!$H637)</f>
        <v>Yes</v>
      </c>
      <c r="Q637">
        <f t="shared" si="128"/>
        <v>7.0006370000000002</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Sea of Survivors</v>
      </c>
      <c r="B638">
        <f>IF($A638="","",games!$B638)</f>
        <v>2023</v>
      </c>
      <c r="C638" t="str">
        <f>IF($A638="","",games!$C638)</f>
        <v>Action</v>
      </c>
      <c r="D638">
        <f>IF($A638="","",COUNTIF(connections!$A$2:$A$1400,$A638)+COUNTIF(connections!$B$2:$B$1400,$A638))</f>
        <v>1</v>
      </c>
      <c r="E638">
        <f t="shared" si="117"/>
        <v>1</v>
      </c>
      <c r="F638">
        <f t="shared" si="118"/>
        <v>26</v>
      </c>
      <c r="G638">
        <f t="shared" si="119"/>
        <v>2023</v>
      </c>
      <c r="H638">
        <f t="shared" si="120"/>
        <v>1.5979999999999999</v>
      </c>
      <c r="I638" t="e">
        <f t="shared" si="121"/>
        <v>#N/A</v>
      </c>
      <c r="J638" t="e">
        <f t="shared" si="122"/>
        <v>#N/A</v>
      </c>
      <c r="K638" t="e">
        <f t="shared" si="123"/>
        <v>#N/A</v>
      </c>
      <c r="L638" t="e">
        <f t="shared" si="124"/>
        <v>#N/A</v>
      </c>
      <c r="M638" t="e">
        <f t="shared" si="125"/>
        <v>#N/A</v>
      </c>
      <c r="N638" t="e">
        <f t="shared" si="126"/>
        <v>#N/A</v>
      </c>
      <c r="O638">
        <f t="shared" si="127"/>
        <v>1.0006379999999999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Section 13</v>
      </c>
      <c r="B639">
        <f>IF($A639="","",games!$B639)</f>
        <v>2023</v>
      </c>
      <c r="C639" t="str">
        <f>IF($A639="","",games!$C639)</f>
        <v>Action</v>
      </c>
      <c r="D639">
        <f>IF($A639="","",COUNTIF(connections!$A$2:$A$1400,$A639)+COUNTIF(connections!$B$2:$B$1400,$A639))</f>
        <v>0</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6.3900000000000003E-4</v>
      </c>
      <c r="P639" t="str">
        <f>IF(OR($A639="",games!$H639=""),"",games!$H639)</f>
        <v>Yes</v>
      </c>
      <c r="Q639">
        <f t="shared" si="128"/>
        <v>6.3900000000000003E-4</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Seedborne Soldiers</v>
      </c>
      <c r="B640">
        <f>IF($A640="","",games!$B640)</f>
        <v>2025</v>
      </c>
      <c r="C640" t="str">
        <f>IF($A640="","",games!$C640)</f>
        <v>Strategy</v>
      </c>
      <c r="D640">
        <f>IF($A640="","",COUNTIF(connections!$A$2:$A$1400,$A640)+COUNTIF(connections!$B$2:$B$1400,$A640))</f>
        <v>2</v>
      </c>
      <c r="E640">
        <f t="shared" si="117"/>
        <v>2</v>
      </c>
      <c r="F640">
        <f t="shared" si="118"/>
        <v>28</v>
      </c>
      <c r="G640" t="e">
        <f t="shared" si="119"/>
        <v>#N/A</v>
      </c>
      <c r="H640" t="e">
        <f t="shared" si="120"/>
        <v>#N/A</v>
      </c>
      <c r="I640">
        <f t="shared" si="121"/>
        <v>2025</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Sephiria</v>
      </c>
      <c r="B641">
        <f>IF($A641="","",games!$B641)</f>
        <v>2025</v>
      </c>
      <c r="C641" t="str">
        <f>IF($A641="","",games!$C641)</f>
        <v>Action</v>
      </c>
      <c r="D641">
        <f>IF($A641="","",COUNTIF(connections!$A$2:$A$1400,$A641)+COUNTIF(connections!$B$2:$B$1400,$A641))</f>
        <v>2</v>
      </c>
      <c r="E641">
        <f t="shared" si="117"/>
        <v>1</v>
      </c>
      <c r="F641">
        <f t="shared" si="118"/>
        <v>29</v>
      </c>
      <c r="G641">
        <f t="shared" si="119"/>
        <v>2025</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Seraph's Last Stand</v>
      </c>
      <c r="B642">
        <f>IF($A642="","",games!$B642)</f>
        <v>2022</v>
      </c>
      <c r="C642" t="str">
        <f>IF($A642="","",games!$C642)</f>
        <v>Action</v>
      </c>
      <c r="D642">
        <f>IF($A642="","",COUNTIF(connections!$A$2:$A$1400,$A642)+COUNTIF(connections!$B$2:$B$1400,$A642))</f>
        <v>1</v>
      </c>
      <c r="E642">
        <f t="shared" ref="E642:E705" si="130">IF($A642="","",IFERROR(MATCH($C642,$R$2:$R$5,0),0))</f>
        <v>1</v>
      </c>
      <c r="F642">
        <f t="shared" ref="F642:F705" si="131">IF($A642="","",MOD(ROW(),34))</f>
        <v>30</v>
      </c>
      <c r="G642">
        <f t="shared" ref="G642:G705" si="132">IF($A642="",NA(),IF($C642="Action",$B642,NA()))</f>
        <v>2022</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Serpent's Gaze</v>
      </c>
      <c r="B643">
        <f>IF($A643="","",games!$B643)</f>
        <v>2026</v>
      </c>
      <c r="C643" t="str">
        <f>IF($A643="","",games!$C643)</f>
        <v>Action</v>
      </c>
      <c r="D643">
        <f>IF($A643="","",COUNTIF(connections!$A$2:$A$1400,$A643)+COUNTIF(connections!$B$2:$B$1400,$A643))</f>
        <v>3</v>
      </c>
      <c r="E643">
        <f t="shared" si="130"/>
        <v>1</v>
      </c>
      <c r="F643">
        <f t="shared" si="131"/>
        <v>31</v>
      </c>
      <c r="G643">
        <f t="shared" si="132"/>
        <v>2026</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Shadow of the Wyrm</v>
      </c>
      <c r="B644">
        <f>IF($A644="","",games!$B644)</f>
        <v>2015</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2015</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Shadowveil: Legend of The Five Rings</v>
      </c>
      <c r="B645">
        <f>IF($A645="","",games!$B645)</f>
        <v>2025</v>
      </c>
      <c r="C645" t="str">
        <f>IF($A645="","",games!$C645)</f>
        <v>Strategy</v>
      </c>
      <c r="D645">
        <f>IF($A645="","",COUNTIF(connections!$A$2:$A$1400,$A645)+COUNTIF(connections!$B$2:$B$1400,$A645))</f>
        <v>2</v>
      </c>
      <c r="E645">
        <f t="shared" si="130"/>
        <v>2</v>
      </c>
      <c r="F645">
        <f t="shared" si="131"/>
        <v>33</v>
      </c>
      <c r="G645" t="e">
        <f t="shared" si="132"/>
        <v>#N/A</v>
      </c>
      <c r="H645" t="e">
        <f t="shared" si="133"/>
        <v>#N/A</v>
      </c>
      <c r="I645">
        <f t="shared" si="134"/>
        <v>2025</v>
      </c>
      <c r="J645">
        <f t="shared" si="135"/>
        <v>2.7589999999999999</v>
      </c>
      <c r="K645" t="e">
        <f t="shared" si="136"/>
        <v>#N/A</v>
      </c>
      <c r="L645" t="e">
        <f t="shared" si="137"/>
        <v>#N/A</v>
      </c>
      <c r="M645" t="e">
        <f t="shared" si="138"/>
        <v>#N/A</v>
      </c>
      <c r="N645" t="e">
        <f t="shared" si="139"/>
        <v>#N/A</v>
      </c>
      <c r="O645">
        <f t="shared" si="140"/>
        <v>2.000645</v>
      </c>
      <c r="P645" t="str">
        <f>IF(OR($A645="",games!$H645=""),"",games!$H645)</f>
        <v/>
      </c>
      <c r="Q645" t="str">
        <f t="shared" si="141"/>
        <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Shape of Dreams</v>
      </c>
      <c r="B646">
        <f>IF($A646="","",games!$B646)</f>
        <v>2025</v>
      </c>
      <c r="C646" t="str">
        <f>IF($A646="","",games!$C646)</f>
        <v>Action</v>
      </c>
      <c r="D646">
        <f>IF($A646="","",COUNTIF(connections!$A$2:$A$1400,$A646)+COUNTIF(connections!$B$2:$B$1400,$A646))</f>
        <v>3</v>
      </c>
      <c r="E646">
        <f t="shared" si="130"/>
        <v>1</v>
      </c>
      <c r="F646">
        <f t="shared" si="131"/>
        <v>0</v>
      </c>
      <c r="G646">
        <f t="shared" si="132"/>
        <v>2025</v>
      </c>
      <c r="H646">
        <f t="shared" si="133"/>
        <v>1</v>
      </c>
      <c r="I646" t="e">
        <f t="shared" si="134"/>
        <v>#N/A</v>
      </c>
      <c r="J646" t="e">
        <f t="shared" si="135"/>
        <v>#N/A</v>
      </c>
      <c r="K646" t="e">
        <f t="shared" si="136"/>
        <v>#N/A</v>
      </c>
      <c r="L646" t="e">
        <f t="shared" si="137"/>
        <v>#N/A</v>
      </c>
      <c r="M646" t="e">
        <f t="shared" si="138"/>
        <v>#N/A</v>
      </c>
      <c r="N646" t="e">
        <f t="shared" si="139"/>
        <v>#N/A</v>
      </c>
      <c r="O646">
        <f t="shared" si="140"/>
        <v>3.0006460000000001</v>
      </c>
      <c r="P646" t="str">
        <f>IF(OR($A646="",games!$H646=""),"",games!$H646)</f>
        <v/>
      </c>
      <c r="Q646" t="str">
        <f t="shared" si="141"/>
        <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Shape Shifter: Formations</v>
      </c>
      <c r="B647">
        <f>IF($A647="","",games!$B647)</f>
        <v>2023</v>
      </c>
      <c r="C647" t="str">
        <f>IF($A647="","",games!$C647)</f>
        <v>Action</v>
      </c>
      <c r="D647">
        <f>IF($A647="","",COUNTIF(connections!$A$2:$A$1400,$A647)+COUNTIF(connections!$B$2:$B$1400,$A647))</f>
        <v>2</v>
      </c>
      <c r="E647">
        <f t="shared" si="130"/>
        <v>1</v>
      </c>
      <c r="F647">
        <f t="shared" si="131"/>
        <v>1</v>
      </c>
      <c r="G647">
        <f t="shared" si="132"/>
        <v>2023</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Shattered Pixel Dungeon</v>
      </c>
      <c r="B648">
        <f>IF($A648="","",games!$B648)</f>
        <v>2014</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2014</v>
      </c>
      <c r="N648">
        <f t="shared" si="139"/>
        <v>4.0460000000000003</v>
      </c>
      <c r="O648">
        <f t="shared" si="140"/>
        <v>2.000648</v>
      </c>
      <c r="P648" t="str">
        <f>IF(OR($A648="",games!$H648=""),"",games!$H648)</f>
        <v/>
      </c>
      <c r="Q648" t="str">
        <f t="shared" si="141"/>
        <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Ship of Fools</v>
      </c>
      <c r="B649">
        <f>IF($A649="","",games!$B649)</f>
        <v>2022</v>
      </c>
      <c r="C649" t="str">
        <f>IF($A649="","",games!$C649)</f>
        <v>Action</v>
      </c>
      <c r="D649">
        <f>IF($A649="","",COUNTIF(connections!$A$2:$A$1400,$A649)+COUNTIF(connections!$B$2:$B$1400,$A649))</f>
        <v>3</v>
      </c>
      <c r="E649">
        <f t="shared" si="130"/>
        <v>1</v>
      </c>
      <c r="F649">
        <f t="shared" si="131"/>
        <v>3</v>
      </c>
      <c r="G649">
        <f t="shared" si="132"/>
        <v>2022</v>
      </c>
      <c r="H649">
        <f t="shared" si="133"/>
        <v>1.069</v>
      </c>
      <c r="I649" t="e">
        <f t="shared" si="134"/>
        <v>#N/A</v>
      </c>
      <c r="J649" t="e">
        <f t="shared" si="135"/>
        <v>#N/A</v>
      </c>
      <c r="K649" t="e">
        <f t="shared" si="136"/>
        <v>#N/A</v>
      </c>
      <c r="L649" t="e">
        <f t="shared" si="137"/>
        <v>#N/A</v>
      </c>
      <c r="M649" t="e">
        <f t="shared" si="138"/>
        <v>#N/A</v>
      </c>
      <c r="N649" t="e">
        <f t="shared" si="139"/>
        <v>#N/A</v>
      </c>
      <c r="O649">
        <f t="shared" si="140"/>
        <v>3.0006490000000001</v>
      </c>
      <c r="P649" t="str">
        <f>IF(OR($A649="",games!$H649=""),"",games!$H649)</f>
        <v>Yes</v>
      </c>
      <c r="Q649">
        <f t="shared" si="141"/>
        <v>3.0006490000000001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(2008)</v>
      </c>
      <c r="B650">
        <f>IF($A650="","",games!$B650)</f>
        <v>2008</v>
      </c>
      <c r="C650" t="str">
        <f>IF($A650="","",games!$C650)</f>
        <v>Traditional</v>
      </c>
      <c r="D650">
        <f>IF($A650="","",COUNTIF(connections!$A$2:$A$1400,$A650)+COUNTIF(connections!$B$2:$B$1400,$A650))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2008</v>
      </c>
      <c r="N650">
        <f t="shared" si="139"/>
        <v>4.0919999999999996</v>
      </c>
      <c r="O650">
        <f t="shared" si="140"/>
        <v>2.0006499999999998</v>
      </c>
      <c r="P650" t="str">
        <f>IF(OR($A650="",games!$H650=""),"",games!$H650)</f>
        <v>Yes</v>
      </c>
      <c r="Q650">
        <f t="shared" si="141"/>
        <v>2.0006499999999998</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2: Shiren's Castle and the Oni Invasion</v>
      </c>
      <c r="B651">
        <f>IF($A651="","",games!$B651)</f>
        <v>2000</v>
      </c>
      <c r="C651" t="str">
        <f>IF($A651="","",games!$C651)</f>
        <v>Traditional</v>
      </c>
      <c r="D651">
        <f>IF($A651="","",COUNTIF(connections!$A$2:$A$1400,$A651)+COUNTIF(connections!$B$2:$B$1400,$A651))</f>
        <v>3</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2000</v>
      </c>
      <c r="N651">
        <f t="shared" si="139"/>
        <v>4.1150000000000002</v>
      </c>
      <c r="O651">
        <f t="shared" si="140"/>
        <v>3.000651</v>
      </c>
      <c r="P651" t="str">
        <f>IF(OR($A651="",games!$H651=""),"",games!$H651)</f>
        <v>Yes</v>
      </c>
      <c r="Q651">
        <f t="shared" si="141"/>
        <v>3.000651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4: The Eye of God and the Devil's Navel</v>
      </c>
      <c r="B652">
        <f>IF($A652="","",games!$B652)</f>
        <v>2010</v>
      </c>
      <c r="C652" t="str">
        <f>IF($A652="","",games!$C652)</f>
        <v>Traditional</v>
      </c>
      <c r="D652">
        <f>IF($A652="","",COUNTIF(connections!$A$2:$A$1400,$A652)+COUNTIF(connections!$B$2:$B$1400,$A652))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2010</v>
      </c>
      <c r="N652">
        <f t="shared" si="139"/>
        <v>4.1379999999999999</v>
      </c>
      <c r="O652">
        <f t="shared" si="140"/>
        <v>2.0006520000000001</v>
      </c>
      <c r="P652" t="str">
        <f>IF(OR($A652="",games!$H652=""),"",games!$H652)</f>
        <v>Yes</v>
      </c>
      <c r="Q652">
        <f t="shared" si="141"/>
        <v>2.0006520000000001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Shiren the Wanderer Gaiden: Asuka the Swordswoman</v>
      </c>
      <c r="B653">
        <f>IF($A653="","",games!$B653)</f>
        <v>2002</v>
      </c>
      <c r="C653" t="str">
        <f>IF($A653="","",games!$C653)</f>
        <v>Traditional</v>
      </c>
      <c r="D653">
        <f>IF($A653="","",COUNTIF(connections!$A$2:$A$1400,$A653)+COUNTIF(connections!$B$2:$B$1400,$A653))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2002</v>
      </c>
      <c r="N653">
        <f t="shared" si="139"/>
        <v>4.1609999999999996</v>
      </c>
      <c r="O653">
        <f t="shared" si="140"/>
        <v>1.000653</v>
      </c>
      <c r="P653" t="str">
        <f>IF(OR($A653="",games!$H653=""),"",games!$H653)</f>
        <v>Yes</v>
      </c>
      <c r="Q653">
        <f t="shared" si="141"/>
        <v>1.000653</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Shiren the Wanderer GB: Monster of Moonlight Village</v>
      </c>
      <c r="B654">
        <f>IF($A654="","",games!$B654)</f>
        <v>1996</v>
      </c>
      <c r="C654" t="str">
        <f>IF($A654="","",games!$C654)</f>
        <v>Traditional</v>
      </c>
      <c r="D654">
        <f>IF($A654="","",COUNTIF(connections!$A$2:$A$1400,$A654)+COUNTIF(connections!$B$2:$B$1400,$A654))</f>
        <v>2</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1996</v>
      </c>
      <c r="N654">
        <f t="shared" si="139"/>
        <v>4.1840000000000002</v>
      </c>
      <c r="O654">
        <f t="shared" si="140"/>
        <v>2.0006539999999999</v>
      </c>
      <c r="P654" t="str">
        <f>IF(OR($A654="",games!$H654=""),"",games!$H654)</f>
        <v>Yes</v>
      </c>
      <c r="Q654">
        <f t="shared" si="141"/>
        <v>2.0006539999999999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Shiren the Wanderer GB2: Magic Castle of the Desert</v>
      </c>
      <c r="B655">
        <f>IF($A655="","",games!$B655)</f>
        <v>2001</v>
      </c>
      <c r="C655" t="str">
        <f>IF($A655="","",games!$C655)</f>
        <v>Traditional</v>
      </c>
      <c r="D655">
        <f>IF($A655="","",COUNTIF(connections!$A$2:$A$1400,$A655)+COUNTIF(connections!$B$2:$B$1400,$A655))</f>
        <v>1</v>
      </c>
      <c r="E655">
        <f t="shared" si="130"/>
        <v>4</v>
      </c>
      <c r="F655">
        <f t="shared" si="131"/>
        <v>9</v>
      </c>
      <c r="G655" t="e">
        <f t="shared" si="132"/>
        <v>#N/A</v>
      </c>
      <c r="H655" t="e">
        <f t="shared" si="133"/>
        <v>#N/A</v>
      </c>
      <c r="I655" t="e">
        <f t="shared" si="134"/>
        <v>#N/A</v>
      </c>
      <c r="J655" t="e">
        <f t="shared" si="135"/>
        <v>#N/A</v>
      </c>
      <c r="K655" t="e">
        <f t="shared" si="136"/>
        <v>#N/A</v>
      </c>
      <c r="L655" t="e">
        <f t="shared" si="137"/>
        <v>#N/A</v>
      </c>
      <c r="M655">
        <f t="shared" si="138"/>
        <v>2001</v>
      </c>
      <c r="N655">
        <f t="shared" si="139"/>
        <v>4.2069999999999999</v>
      </c>
      <c r="O655">
        <f t="shared" si="140"/>
        <v>1.0006550000000001</v>
      </c>
      <c r="P655" t="str">
        <f>IF(OR($A655="",games!$H655=""),"",games!$H655)</f>
        <v>Yes</v>
      </c>
      <c r="Q655">
        <f t="shared" si="141"/>
        <v>1.0006550000000001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Shiren the Wanderer: The Mystery Dungeon of Serpentcoil Island</v>
      </c>
      <c r="B656">
        <f>IF($A656="","",games!$B656)</f>
        <v>2024</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2024</v>
      </c>
      <c r="N656">
        <f t="shared" si="139"/>
        <v>4.2300000000000004</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Shiren the Wanderer: The Tower of Fortune and the Dice of Fate</v>
      </c>
      <c r="B657">
        <f>IF($A657="","",games!$B657)</f>
        <v>2010</v>
      </c>
      <c r="C657" t="str">
        <f>IF($A657="","",games!$C657)</f>
        <v>Traditional</v>
      </c>
      <c r="D657">
        <f>IF($A657="","",COUNTIF(connections!$A$2:$A$1400,$A657)+COUNTIF(connections!$B$2:$B$1400,$A657))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2010</v>
      </c>
      <c r="N657">
        <f t="shared" si="139"/>
        <v>4.2530000000000001</v>
      </c>
      <c r="O657">
        <f t="shared" si="140"/>
        <v>2.0006569999999999</v>
      </c>
      <c r="P657" t="str">
        <f>IF(OR($A657="",games!$H657=""),"",games!$H657)</f>
        <v>Yes</v>
      </c>
      <c r="Q657">
        <f t="shared" si="141"/>
        <v>2.0006569999999999</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Shogun Showdown</v>
      </c>
      <c r="B658">
        <f>IF($A658="","",games!$B658)</f>
        <v>2023</v>
      </c>
      <c r="C658" t="str">
        <f>IF($A658="","",games!$C658)</f>
        <v>Strategy</v>
      </c>
      <c r="D658">
        <f>IF($A658="","",COUNTIF(connections!$A$2:$A$1400,$A658)+COUNTIF(connections!$B$2:$B$1400,$A658))</f>
        <v>5</v>
      </c>
      <c r="E658">
        <f t="shared" si="130"/>
        <v>2</v>
      </c>
      <c r="F658">
        <f t="shared" si="131"/>
        <v>12</v>
      </c>
      <c r="G658" t="e">
        <f t="shared" si="132"/>
        <v>#N/A</v>
      </c>
      <c r="H658" t="e">
        <f t="shared" si="133"/>
        <v>#N/A</v>
      </c>
      <c r="I658">
        <f t="shared" si="134"/>
        <v>2023</v>
      </c>
      <c r="J658">
        <f t="shared" si="135"/>
        <v>2.2759999999999998</v>
      </c>
      <c r="K658" t="e">
        <f t="shared" si="136"/>
        <v>#N/A</v>
      </c>
      <c r="L658" t="e">
        <f t="shared" si="137"/>
        <v>#N/A</v>
      </c>
      <c r="M658" t="e">
        <f t="shared" si="138"/>
        <v>#N/A</v>
      </c>
      <c r="N658" t="e">
        <f t="shared" si="139"/>
        <v>#N/A</v>
      </c>
      <c r="O658">
        <f t="shared" si="140"/>
        <v>5.0006579999999996</v>
      </c>
      <c r="P658" t="str">
        <f>IF(OR($A658="",games!$H658=""),"",games!$H658)</f>
        <v>Yes</v>
      </c>
      <c r="Q658">
        <f t="shared" si="141"/>
        <v>5.0006579999999996</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Shoot First</v>
      </c>
      <c r="B659">
        <f>IF($A659="","",games!$B659)</f>
        <v>2010</v>
      </c>
      <c r="C659" t="str">
        <f>IF($A659="","",games!$C659)</f>
        <v>Action</v>
      </c>
      <c r="D659">
        <f>IF($A659="","",COUNTIF(connections!$A$2:$A$1400,$A659)+COUNTIF(connections!$B$2:$B$1400,$A659))</f>
        <v>1</v>
      </c>
      <c r="E659">
        <f t="shared" si="130"/>
        <v>1</v>
      </c>
      <c r="F659">
        <f t="shared" si="131"/>
        <v>13</v>
      </c>
      <c r="G659">
        <f t="shared" si="132"/>
        <v>2010</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
      </c>
      <c r="Q659" t="str">
        <f t="shared" si="141"/>
        <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Shotgun King: The Final Checkmate</v>
      </c>
      <c r="B660">
        <f>IF($A660="","",games!$B660)</f>
        <v>2022</v>
      </c>
      <c r="C660" t="str">
        <f>IF($A660="","",games!$C660)</f>
        <v>Strategy</v>
      </c>
      <c r="D660">
        <f>IF($A660="","",COUNTIF(connections!$A$2:$A$1400,$A660)+COUNTIF(connections!$B$2:$B$1400,$A660))</f>
        <v>3</v>
      </c>
      <c r="E660">
        <f t="shared" si="130"/>
        <v>2</v>
      </c>
      <c r="F660">
        <f t="shared" si="131"/>
        <v>14</v>
      </c>
      <c r="G660" t="e">
        <f t="shared" si="132"/>
        <v>#N/A</v>
      </c>
      <c r="H660" t="e">
        <f t="shared" si="133"/>
        <v>#N/A</v>
      </c>
      <c r="I660">
        <f t="shared" si="134"/>
        <v>2022</v>
      </c>
      <c r="J660">
        <f t="shared" si="135"/>
        <v>2.3220000000000001</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Shovel Knight Dig</v>
      </c>
      <c r="B661">
        <f>IF($A661="","",games!$B661)</f>
        <v>2022</v>
      </c>
      <c r="C661" t="str">
        <f>IF($A661="","",games!$C661)</f>
        <v>Action</v>
      </c>
      <c r="D661">
        <f>IF($A661="","",COUNTIF(connections!$A$2:$A$1400,$A661)+COUNTIF(connections!$B$2:$B$1400,$A661))</f>
        <v>2</v>
      </c>
      <c r="E661">
        <f t="shared" si="130"/>
        <v>1</v>
      </c>
      <c r="F661">
        <f t="shared" si="131"/>
        <v>15</v>
      </c>
      <c r="G661">
        <f t="shared" si="132"/>
        <v>2022</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Sil</v>
      </c>
      <c r="B662">
        <f>IF($A662="","",games!$B662)</f>
        <v>2012</v>
      </c>
      <c r="C662" t="str">
        <f>IF($A662="","",games!$C662)</f>
        <v>Traditional</v>
      </c>
      <c r="D662">
        <f>IF($A662="","",COUNTIF(connections!$A$2:$A$1400,$A662)+COUNTIF(connections!$B$2:$B$1400,$A662))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2012</v>
      </c>
      <c r="N662">
        <f t="shared" si="139"/>
        <v>4.3680000000000003</v>
      </c>
      <c r="O662">
        <f t="shared" si="140"/>
        <v>1.0006619999999999</v>
      </c>
      <c r="P662" t="str">
        <f>IF(OR($A662="",games!$H662=""),"",games!$H662)</f>
        <v/>
      </c>
      <c r="Q662" t="str">
        <f t="shared" si="141"/>
        <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Sir, We Have an Orc Problem</v>
      </c>
      <c r="B663">
        <f>IF($A663="","",games!$B663)</f>
        <v>2026</v>
      </c>
      <c r="C663" t="str">
        <f>IF($A663="","",games!$C663)</f>
        <v>Strategy</v>
      </c>
      <c r="D663">
        <f>IF($A663="","",COUNTIF(connections!$A$2:$A$1400,$A663)+COUNTIF(connections!$B$2:$B$1400,$A663))</f>
        <v>1</v>
      </c>
      <c r="E663">
        <f t="shared" si="130"/>
        <v>2</v>
      </c>
      <c r="F663">
        <f t="shared" si="131"/>
        <v>17</v>
      </c>
      <c r="G663" t="e">
        <f t="shared" si="132"/>
        <v>#N/A</v>
      </c>
      <c r="H663" t="e">
        <f t="shared" si="133"/>
        <v>#N/A</v>
      </c>
      <c r="I663">
        <f t="shared" si="134"/>
        <v>2026</v>
      </c>
      <c r="J663">
        <f t="shared" si="135"/>
        <v>2.391</v>
      </c>
      <c r="K663" t="e">
        <f t="shared" si="136"/>
        <v>#N/A</v>
      </c>
      <c r="L663" t="e">
        <f t="shared" si="137"/>
        <v>#N/A</v>
      </c>
      <c r="M663" t="e">
        <f t="shared" si="138"/>
        <v>#N/A</v>
      </c>
      <c r="N663" t="e">
        <f t="shared" si="139"/>
        <v>#N/A</v>
      </c>
      <c r="O663">
        <f t="shared" si="140"/>
        <v>1.0006630000000001</v>
      </c>
      <c r="P663" t="str">
        <f>IF(OR($A663="",games!$H663=""),"",games!$H663)</f>
        <v/>
      </c>
      <c r="Q663" t="str">
        <f t="shared" si="141"/>
        <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Skul: The Hero Slayer</v>
      </c>
      <c r="B664">
        <f>IF($A664="","",games!$B664)</f>
        <v>2020</v>
      </c>
      <c r="C664" t="str">
        <f>IF($A664="","",games!$C664)</f>
        <v>Action</v>
      </c>
      <c r="D664">
        <f>IF($A664="","",COUNTIF(connections!$A$2:$A$1400,$A664)+COUNTIF(connections!$B$2:$B$1400,$A664))</f>
        <v>1</v>
      </c>
      <c r="E664">
        <f t="shared" si="130"/>
        <v>1</v>
      </c>
      <c r="F664">
        <f t="shared" si="131"/>
        <v>18</v>
      </c>
      <c r="G664">
        <f t="shared" si="132"/>
        <v>2020</v>
      </c>
      <c r="H664">
        <f t="shared" si="133"/>
        <v>1.4139999999999999</v>
      </c>
      <c r="I664" t="e">
        <f t="shared" si="134"/>
        <v>#N/A</v>
      </c>
      <c r="J664" t="e">
        <f t="shared" si="135"/>
        <v>#N/A</v>
      </c>
      <c r="K664" t="e">
        <f t="shared" si="136"/>
        <v>#N/A</v>
      </c>
      <c r="L664" t="e">
        <f t="shared" si="137"/>
        <v>#N/A</v>
      </c>
      <c r="M664" t="e">
        <f t="shared" si="138"/>
        <v>#N/A</v>
      </c>
      <c r="N664" t="e">
        <f t="shared" si="139"/>
        <v>#N/A</v>
      </c>
      <c r="O664">
        <f t="shared" si="140"/>
        <v>1.000664</v>
      </c>
      <c r="P664" t="str">
        <f>IF(OR($A664="",games!$H664=""),"",games!$H664)</f>
        <v>Yes</v>
      </c>
      <c r="Q664">
        <f t="shared" si="141"/>
        <v>1.000664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Skull Horde</v>
      </c>
      <c r="B665">
        <f>IF($A665="","",games!$B665)</f>
        <v>2026</v>
      </c>
      <c r="C665" t="str">
        <f>IF($A665="","",games!$C665)</f>
        <v>Action</v>
      </c>
      <c r="D665">
        <f>IF($A665="","",COUNTIF(connections!$A$2:$A$1400,$A665)+COUNTIF(connections!$B$2:$B$1400,$A665))</f>
        <v>3</v>
      </c>
      <c r="E665">
        <f t="shared" si="130"/>
        <v>1</v>
      </c>
      <c r="F665">
        <f t="shared" si="131"/>
        <v>19</v>
      </c>
      <c r="G665">
        <f t="shared" si="132"/>
        <v>2026</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Sky Rogue</v>
      </c>
      <c r="B666">
        <f>IF($A666="","",games!$B666)</f>
        <v>2014</v>
      </c>
      <c r="C666" t="str">
        <f>IF($A666="","",games!$C666)</f>
        <v>Action</v>
      </c>
      <c r="D666">
        <f>IF($A666="","",COUNTIF(connections!$A$2:$A$1400,$A666)+COUNTIF(connections!$B$2:$B$1400,$A666))</f>
        <v>1</v>
      </c>
      <c r="E666">
        <f t="shared" si="130"/>
        <v>1</v>
      </c>
      <c r="F666">
        <f t="shared" si="131"/>
        <v>20</v>
      </c>
      <c r="G666">
        <f t="shared" si="132"/>
        <v>2014</v>
      </c>
      <c r="H666">
        <f t="shared" si="133"/>
        <v>1.46</v>
      </c>
      <c r="I666" t="e">
        <f t="shared" si="134"/>
        <v>#N/A</v>
      </c>
      <c r="J666" t="e">
        <f t="shared" si="135"/>
        <v>#N/A</v>
      </c>
      <c r="K666" t="e">
        <f t="shared" si="136"/>
        <v>#N/A</v>
      </c>
      <c r="L666" t="e">
        <f t="shared" si="137"/>
        <v>#N/A</v>
      </c>
      <c r="M666" t="e">
        <f t="shared" si="138"/>
        <v>#N/A</v>
      </c>
      <c r="N666" t="e">
        <f t="shared" si="139"/>
        <v>#N/A</v>
      </c>
      <c r="O666">
        <f t="shared" si="140"/>
        <v>1.0006660000000001</v>
      </c>
      <c r="P666" t="str">
        <f>IF(OR($A666="",games!$H666=""),"",games!$H666)</f>
        <v/>
      </c>
      <c r="Q666" t="str">
        <f t="shared" si="141"/>
        <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Sky's The Limit MAH-JONG</v>
      </c>
      <c r="B667">
        <f>IF($A667="","",games!$B667)</f>
        <v>2024</v>
      </c>
      <c r="C667" t="str">
        <f>IF($A667="","",games!$C667)</f>
        <v>Deckbuilder</v>
      </c>
      <c r="D667">
        <f>IF($A667="","",COUNTIF(connections!$A$2:$A$1400,$A667)+COUNTIF(connections!$B$2:$B$1400,$A667))</f>
        <v>1</v>
      </c>
      <c r="E667">
        <f t="shared" si="130"/>
        <v>3</v>
      </c>
      <c r="F667">
        <f t="shared" si="131"/>
        <v>21</v>
      </c>
      <c r="G667" t="e">
        <f t="shared" si="132"/>
        <v>#N/A</v>
      </c>
      <c r="H667" t="e">
        <f t="shared" si="133"/>
        <v>#N/A</v>
      </c>
      <c r="I667" t="e">
        <f t="shared" si="134"/>
        <v>#N/A</v>
      </c>
      <c r="J667" t="e">
        <f t="shared" si="135"/>
        <v>#N/A</v>
      </c>
      <c r="K667">
        <f t="shared" si="136"/>
        <v>2024</v>
      </c>
      <c r="L667">
        <f t="shared" si="137"/>
        <v>3.4830000000000001</v>
      </c>
      <c r="M667" t="e">
        <f t="shared" si="138"/>
        <v>#N/A</v>
      </c>
      <c r="N667" t="e">
        <f t="shared" si="139"/>
        <v>#N/A</v>
      </c>
      <c r="O667">
        <f t="shared" si="140"/>
        <v>1.000667</v>
      </c>
      <c r="P667" t="str">
        <f>IF(OR($A667="",games!$H667=""),"",games!$H667)</f>
        <v>Yes</v>
      </c>
      <c r="Q667">
        <f t="shared" si="141"/>
        <v>1.000667</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Slash'EM</v>
      </c>
      <c r="B668">
        <f>IF($A668="","",games!$B668)</f>
        <v>2006</v>
      </c>
      <c r="C668" t="str">
        <f>IF($A668="","",games!$C668)</f>
        <v>Traditional</v>
      </c>
      <c r="D668">
        <f>IF($A668="","",COUNTIF(connections!$A$2:$A$1400,$A668)+COUNTIF(connections!$B$2:$B$1400,$A668))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Slasher's Keep</v>
      </c>
      <c r="B669">
        <f>IF($A669="","",games!$B669)</f>
        <v>2018</v>
      </c>
      <c r="C669" t="str">
        <f>IF($A669="","",games!$C669)</f>
        <v>Action</v>
      </c>
      <c r="D669">
        <f>IF($A669="","",COUNTIF(connections!$A$2:$A$1400,$A669)+COUNTIF(connections!$B$2:$B$1400,$A669))</f>
        <v>0</v>
      </c>
      <c r="E669">
        <f t="shared" si="130"/>
        <v>1</v>
      </c>
      <c r="F669">
        <f t="shared" si="131"/>
        <v>23</v>
      </c>
      <c r="G669">
        <f t="shared" si="132"/>
        <v>2018</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6.69E-4</v>
      </c>
      <c r="P669" t="str">
        <f>IF(OR($A669="",games!$H669=""),"",games!$H669)</f>
        <v>Yes</v>
      </c>
      <c r="Q669">
        <f t="shared" si="141"/>
        <v>6.69E-4</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Slay the Spire</v>
      </c>
      <c r="B670">
        <f>IF($A670="","",games!$B670)</f>
        <v>2017</v>
      </c>
      <c r="C670" t="str">
        <f>IF($A670="","",games!$C670)</f>
        <v>Deckbuilder</v>
      </c>
      <c r="D670">
        <f>IF($A670="","",COUNTIF(connections!$A$2:$A$1400,$A670)+COUNTIF(connections!$B$2:$B$1400,$A670))</f>
        <v>146</v>
      </c>
      <c r="E670">
        <f t="shared" si="130"/>
        <v>3</v>
      </c>
      <c r="F670">
        <f t="shared" si="131"/>
        <v>24</v>
      </c>
      <c r="G670" t="e">
        <f t="shared" si="132"/>
        <v>#N/A</v>
      </c>
      <c r="H670" t="e">
        <f t="shared" si="133"/>
        <v>#N/A</v>
      </c>
      <c r="I670" t="e">
        <f t="shared" si="134"/>
        <v>#N/A</v>
      </c>
      <c r="J670" t="e">
        <f t="shared" si="135"/>
        <v>#N/A</v>
      </c>
      <c r="K670">
        <f t="shared" si="136"/>
        <v>2017</v>
      </c>
      <c r="L670">
        <f t="shared" si="137"/>
        <v>3.552</v>
      </c>
      <c r="M670" t="e">
        <f t="shared" si="138"/>
        <v>#N/A</v>
      </c>
      <c r="N670" t="e">
        <f t="shared" si="139"/>
        <v>#N/A</v>
      </c>
      <c r="O670">
        <f t="shared" si="140"/>
        <v>146.00067000000001</v>
      </c>
      <c r="P670" t="str">
        <f>IF(OR($A670="",games!$H670=""),"",games!$H670)</f>
        <v>Yes</v>
      </c>
      <c r="Q670">
        <f t="shared" si="141"/>
        <v>146.00067000000001</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Slay the Spire 2</v>
      </c>
      <c r="B671">
        <f>IF($A671="","",games!$B671)</f>
        <v>2026</v>
      </c>
      <c r="C671" t="str">
        <f>IF($A671="","",games!$C671)</f>
        <v>Deckbuilder</v>
      </c>
      <c r="D671">
        <f>IF($A671="","",COUNTIF(connections!$A$2:$A$1400,$A671)+COUNTIF(connections!$B$2:$B$1400,$A671))</f>
        <v>1</v>
      </c>
      <c r="E671">
        <f t="shared" si="130"/>
        <v>3</v>
      </c>
      <c r="F671">
        <f t="shared" si="131"/>
        <v>25</v>
      </c>
      <c r="G671" t="e">
        <f t="shared" si="132"/>
        <v>#N/A</v>
      </c>
      <c r="H671" t="e">
        <f t="shared" si="133"/>
        <v>#N/A</v>
      </c>
      <c r="I671" t="e">
        <f t="shared" si="134"/>
        <v>#N/A</v>
      </c>
      <c r="J671" t="e">
        <f t="shared" si="135"/>
        <v>#N/A</v>
      </c>
      <c r="K671">
        <f t="shared" si="136"/>
        <v>2026</v>
      </c>
      <c r="L671">
        <f t="shared" si="137"/>
        <v>3.5750000000000002</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Slice &amp; Dice</v>
      </c>
      <c r="B672">
        <f>IF($A672="","",games!$B672)</f>
        <v>2018</v>
      </c>
      <c r="C672" t="str">
        <f>IF($A672="","",games!$C672)</f>
        <v>Strategy</v>
      </c>
      <c r="D672">
        <f>IF($A672="","",COUNTIF(connections!$A$2:$A$1400,$A672)+COUNTIF(connections!$B$2:$B$1400,$A672))</f>
        <v>4</v>
      </c>
      <c r="E672">
        <f t="shared" si="130"/>
        <v>2</v>
      </c>
      <c r="F672">
        <f t="shared" si="131"/>
        <v>26</v>
      </c>
      <c r="G672" t="e">
        <f t="shared" si="132"/>
        <v>#N/A</v>
      </c>
      <c r="H672" t="e">
        <f t="shared" si="133"/>
        <v>#N/A</v>
      </c>
      <c r="I672">
        <f t="shared" si="134"/>
        <v>2018</v>
      </c>
      <c r="J672">
        <f t="shared" si="135"/>
        <v>2.5979999999999999</v>
      </c>
      <c r="K672" t="e">
        <f t="shared" si="136"/>
        <v>#N/A</v>
      </c>
      <c r="L672" t="e">
        <f t="shared" si="137"/>
        <v>#N/A</v>
      </c>
      <c r="M672" t="e">
        <f t="shared" si="138"/>
        <v>#N/A</v>
      </c>
      <c r="N672" t="e">
        <f t="shared" si="139"/>
        <v>#N/A</v>
      </c>
      <c r="O672">
        <f t="shared" si="140"/>
        <v>4.0006719999999998</v>
      </c>
      <c r="P672" t="str">
        <f>IF(OR($A672="",games!$H672=""),"",games!$H672)</f>
        <v>Yes</v>
      </c>
      <c r="Q672">
        <f t="shared" si="141"/>
        <v>4.0006719999999998</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Slime 3K: Rise Against Despot</v>
      </c>
      <c r="B673">
        <f>IF($A673="","",games!$B673)</f>
        <v>2023</v>
      </c>
      <c r="C673" t="str">
        <f>IF($A673="","",games!$C673)</f>
        <v>Action</v>
      </c>
      <c r="D673">
        <f>IF($A673="","",COUNTIF(connections!$A$2:$A$1400,$A673)+COUNTIF(connections!$B$2:$B$1400,$A673))</f>
        <v>3</v>
      </c>
      <c r="E673">
        <f t="shared" si="130"/>
        <v>1</v>
      </c>
      <c r="F673">
        <f t="shared" si="131"/>
        <v>27</v>
      </c>
      <c r="G673">
        <f t="shared" si="132"/>
        <v>2023</v>
      </c>
      <c r="H673">
        <f t="shared" si="133"/>
        <v>1.621</v>
      </c>
      <c r="I673" t="e">
        <f t="shared" si="134"/>
        <v>#N/A</v>
      </c>
      <c r="J673" t="e">
        <f t="shared" si="135"/>
        <v>#N/A</v>
      </c>
      <c r="K673" t="e">
        <f t="shared" si="136"/>
        <v>#N/A</v>
      </c>
      <c r="L673" t="e">
        <f t="shared" si="137"/>
        <v>#N/A</v>
      </c>
      <c r="M673" t="e">
        <f t="shared" si="138"/>
        <v>#N/A</v>
      </c>
      <c r="N673" t="e">
        <f t="shared" si="139"/>
        <v>#N/A</v>
      </c>
      <c r="O673">
        <f t="shared" si="140"/>
        <v>3.0006729999999999</v>
      </c>
      <c r="P673" t="str">
        <f>IF(OR($A673="",games!$H673=""),"",games!$H673)</f>
        <v>Yes</v>
      </c>
      <c r="Q673">
        <f t="shared" si="141"/>
        <v>3.0006729999999999</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Slot &amp; Dungeons</v>
      </c>
      <c r="B674">
        <f>IF($A674="","",games!$B674)</f>
        <v>2025</v>
      </c>
      <c r="C674" t="str">
        <f>IF($A674="","",games!$C674)</f>
        <v>Deckbuilder</v>
      </c>
      <c r="D674">
        <f>IF($A674="","",COUNTIF(connections!$A$2:$A$1400,$A674)+COUNTIF(connections!$B$2:$B$1400,$A674))</f>
        <v>4</v>
      </c>
      <c r="E674">
        <f t="shared" si="130"/>
        <v>3</v>
      </c>
      <c r="F674">
        <f t="shared" si="131"/>
        <v>28</v>
      </c>
      <c r="G674" t="e">
        <f t="shared" si="132"/>
        <v>#N/A</v>
      </c>
      <c r="H674" t="e">
        <f t="shared" si="133"/>
        <v>#N/A</v>
      </c>
      <c r="I674" t="e">
        <f t="shared" si="134"/>
        <v>#N/A</v>
      </c>
      <c r="J674" t="e">
        <f t="shared" si="135"/>
        <v>#N/A</v>
      </c>
      <c r="K674">
        <f t="shared" si="136"/>
        <v>2025</v>
      </c>
      <c r="L674">
        <f t="shared" si="137"/>
        <v>3.6440000000000001</v>
      </c>
      <c r="M674" t="e">
        <f t="shared" si="138"/>
        <v>#N/A</v>
      </c>
      <c r="N674" t="e">
        <f t="shared" si="139"/>
        <v>#N/A</v>
      </c>
      <c r="O674">
        <f t="shared" si="140"/>
        <v>4.0006740000000001</v>
      </c>
      <c r="P674" t="str">
        <f>IF(OR($A674="",games!$H674=""),"",games!$H674)</f>
        <v/>
      </c>
      <c r="Q674" t="str">
        <f t="shared" si="141"/>
        <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Slot or Not</v>
      </c>
      <c r="B675">
        <f>IF($A675="","",games!$B675)</f>
        <v>2026</v>
      </c>
      <c r="C675" t="str">
        <f>IF($A675="","",games!$C675)</f>
        <v>Deckbuilder</v>
      </c>
      <c r="D675">
        <f>IF($A675="","",COUNTIF(connections!$A$2:$A$1400,$A675)+COUNTIF(connections!$B$2:$B$1400,$A675))</f>
        <v>2</v>
      </c>
      <c r="E675">
        <f t="shared" si="130"/>
        <v>3</v>
      </c>
      <c r="F675">
        <f t="shared" si="131"/>
        <v>29</v>
      </c>
      <c r="G675" t="e">
        <f t="shared" si="132"/>
        <v>#N/A</v>
      </c>
      <c r="H675" t="e">
        <f t="shared" si="133"/>
        <v>#N/A</v>
      </c>
      <c r="I675" t="e">
        <f t="shared" si="134"/>
        <v>#N/A</v>
      </c>
      <c r="J675" t="e">
        <f t="shared" si="135"/>
        <v>#N/A</v>
      </c>
      <c r="K675">
        <f t="shared" si="136"/>
        <v>2026</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Slots &amp; Daggers</v>
      </c>
      <c r="B676">
        <f>IF($A676="","",games!$B676)</f>
        <v>2025</v>
      </c>
      <c r="C676" t="str">
        <f>IF($A676="","",games!$C676)</f>
        <v>Deckbuilder</v>
      </c>
      <c r="D676">
        <f>IF($A676="","",COUNTIF(connections!$A$2:$A$1400,$A676)+COUNTIF(connections!$B$2:$B$1400,$A676))</f>
        <v>0</v>
      </c>
      <c r="E676">
        <f t="shared" si="130"/>
        <v>3</v>
      </c>
      <c r="F676">
        <f t="shared" si="131"/>
        <v>30</v>
      </c>
      <c r="G676" t="e">
        <f t="shared" si="132"/>
        <v>#N/A</v>
      </c>
      <c r="H676" t="e">
        <f t="shared" si="133"/>
        <v>#N/A</v>
      </c>
      <c r="I676" t="e">
        <f t="shared" si="134"/>
        <v>#N/A</v>
      </c>
      <c r="J676" t="e">
        <f t="shared" si="135"/>
        <v>#N/A</v>
      </c>
      <c r="K676">
        <f t="shared" si="136"/>
        <v>2025</v>
      </c>
      <c r="L676">
        <f t="shared" si="137"/>
        <v>3.69</v>
      </c>
      <c r="M676" t="e">
        <f t="shared" si="138"/>
        <v>#N/A</v>
      </c>
      <c r="N676" t="e">
        <f t="shared" si="139"/>
        <v>#N/A</v>
      </c>
      <c r="O676">
        <f t="shared" si="140"/>
        <v>6.7599999999999995E-4</v>
      </c>
      <c r="P676" t="str">
        <f>IF(OR($A676="",games!$H676=""),"",games!$H676)</f>
        <v>Yes</v>
      </c>
      <c r="Q676">
        <f t="shared" si="141"/>
        <v>6.7599999999999995E-4</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SNKRX</v>
      </c>
      <c r="B677">
        <f>IF($A677="","",games!$B677)</f>
        <v>2021</v>
      </c>
      <c r="C677" t="str">
        <f>IF($A677="","",games!$C677)</f>
        <v>Action</v>
      </c>
      <c r="D677">
        <f>IF($A677="","",COUNTIF(connections!$A$2:$A$1400,$A677)+COUNTIF(connections!$B$2:$B$1400,$A677))</f>
        <v>6</v>
      </c>
      <c r="E677">
        <f t="shared" si="130"/>
        <v>1</v>
      </c>
      <c r="F677">
        <f t="shared" si="131"/>
        <v>31</v>
      </c>
      <c r="G677">
        <f t="shared" si="132"/>
        <v>2021</v>
      </c>
      <c r="H677">
        <f t="shared" si="133"/>
        <v>1.7130000000000001</v>
      </c>
      <c r="I677" t="e">
        <f t="shared" si="134"/>
        <v>#N/A</v>
      </c>
      <c r="J677" t="e">
        <f t="shared" si="135"/>
        <v>#N/A</v>
      </c>
      <c r="K677" t="e">
        <f t="shared" si="136"/>
        <v>#N/A</v>
      </c>
      <c r="L677" t="e">
        <f t="shared" si="137"/>
        <v>#N/A</v>
      </c>
      <c r="M677" t="e">
        <f t="shared" si="138"/>
        <v>#N/A</v>
      </c>
      <c r="N677" t="e">
        <f t="shared" si="139"/>
        <v>#N/A</v>
      </c>
      <c r="O677">
        <f t="shared" si="140"/>
        <v>6.0006769999999996</v>
      </c>
      <c r="P677" t="str">
        <f>IF(OR($A677="",games!$H677=""),"",games!$H677)</f>
        <v>Yes</v>
      </c>
      <c r="Q677">
        <f t="shared" si="141"/>
        <v>6.0006769999999996</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Sodaman</v>
      </c>
      <c r="B678">
        <f>IF($A678="","",games!$B678)</f>
        <v>2025</v>
      </c>
      <c r="C678" t="str">
        <f>IF($A678="","",games!$C678)</f>
        <v>Action</v>
      </c>
      <c r="D678">
        <f>IF($A678="","",COUNTIF(connections!$A$2:$A$1400,$A678)+COUNTIF(connections!$B$2:$B$1400,$A678))</f>
        <v>3</v>
      </c>
      <c r="E678">
        <f t="shared" si="130"/>
        <v>1</v>
      </c>
      <c r="F678">
        <f t="shared" si="131"/>
        <v>32</v>
      </c>
      <c r="G678">
        <f t="shared" si="132"/>
        <v>2025</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Sol Cesto</v>
      </c>
      <c r="B679">
        <f>IF($A679="","",games!$B679)</f>
        <v>2025</v>
      </c>
      <c r="C679" t="str">
        <f>IF($A679="","",games!$C679)</f>
        <v>Strategy</v>
      </c>
      <c r="D679">
        <f>IF($A679="","",COUNTIF(connections!$A$2:$A$1400,$A679)+COUNTIF(connections!$B$2:$B$1400,$A679))</f>
        <v>1</v>
      </c>
      <c r="E679">
        <f t="shared" si="130"/>
        <v>2</v>
      </c>
      <c r="F679">
        <f t="shared" si="131"/>
        <v>33</v>
      </c>
      <c r="G679" t="e">
        <f t="shared" si="132"/>
        <v>#N/A</v>
      </c>
      <c r="H679" t="e">
        <f t="shared" si="133"/>
        <v>#N/A</v>
      </c>
      <c r="I679">
        <f t="shared" si="134"/>
        <v>2025</v>
      </c>
      <c r="J679">
        <f t="shared" si="135"/>
        <v>2.7589999999999999</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Solitairica</v>
      </c>
      <c r="B680">
        <f>IF($A680="","",games!$B680)</f>
        <v>2016</v>
      </c>
      <c r="C680" t="str">
        <f>IF($A680="","",games!$C680)</f>
        <v>Deckbuilder</v>
      </c>
      <c r="D680">
        <f>IF($A680="","",COUNTIF(connections!$A$2:$A$1400,$A680)+COUNTIF(connections!$B$2:$B$1400,$A680))</f>
        <v>1</v>
      </c>
      <c r="E680">
        <f t="shared" si="130"/>
        <v>3</v>
      </c>
      <c r="F680">
        <f t="shared" si="131"/>
        <v>0</v>
      </c>
      <c r="G680" t="e">
        <f t="shared" si="132"/>
        <v>#N/A</v>
      </c>
      <c r="H680" t="e">
        <f t="shared" si="133"/>
        <v>#N/A</v>
      </c>
      <c r="I680" t="e">
        <f t="shared" si="134"/>
        <v>#N/A</v>
      </c>
      <c r="J680" t="e">
        <f t="shared" si="135"/>
        <v>#N/A</v>
      </c>
      <c r="K680">
        <f t="shared" si="136"/>
        <v>2016</v>
      </c>
      <c r="L680">
        <f t="shared" si="137"/>
        <v>3</v>
      </c>
      <c r="M680" t="e">
        <f t="shared" si="138"/>
        <v>#N/A</v>
      </c>
      <c r="N680" t="e">
        <f t="shared" si="139"/>
        <v>#N/A</v>
      </c>
      <c r="O680">
        <f t="shared" si="140"/>
        <v>1.00068</v>
      </c>
      <c r="P680" t="str">
        <f>IF(OR($A680="",games!$H680=""),"",games!$H680)</f>
        <v>Yes</v>
      </c>
      <c r="Q680">
        <f t="shared" si="141"/>
        <v>1.00068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Soulash</v>
      </c>
      <c r="B681">
        <f>IF($A681="","",games!$B681)</f>
        <v>2022</v>
      </c>
      <c r="C681" t="str">
        <f>IF($A681="","",games!$C681)</f>
        <v>Traditional</v>
      </c>
      <c r="D681">
        <f>IF($A681="","",COUNTIF(connections!$A$2:$A$1400,$A681)+COUNTIF(connections!$B$2:$B$1400,$A681))</f>
        <v>3</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2022</v>
      </c>
      <c r="N681">
        <f t="shared" si="139"/>
        <v>4.0229999999999997</v>
      </c>
      <c r="O681">
        <f t="shared" si="140"/>
        <v>3.0006810000000002</v>
      </c>
      <c r="P681" t="str">
        <f>IF(OR($A681="",games!$H681=""),"",games!$H681)</f>
        <v/>
      </c>
      <c r="Q681" t="str">
        <f t="shared" si="141"/>
        <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Soulash 2</v>
      </c>
      <c r="B682">
        <f>IF($A682="","",games!$B682)</f>
        <v>2023</v>
      </c>
      <c r="C682" t="str">
        <f>IF($A682="","",games!$C682)</f>
        <v>Traditional</v>
      </c>
      <c r="D682">
        <f>IF($A682="","",COUNTIF(connections!$A$2:$A$1400,$A682)+COUNTIF(connections!$B$2:$B$1400,$A682))</f>
        <v>2</v>
      </c>
      <c r="E682">
        <f t="shared" si="130"/>
        <v>4</v>
      </c>
      <c r="F682">
        <f t="shared" si="131"/>
        <v>2</v>
      </c>
      <c r="G682" t="e">
        <f t="shared" si="132"/>
        <v>#N/A</v>
      </c>
      <c r="H682" t="e">
        <f t="shared" si="133"/>
        <v>#N/A</v>
      </c>
      <c r="I682" t="e">
        <f t="shared" si="134"/>
        <v>#N/A</v>
      </c>
      <c r="J682" t="e">
        <f t="shared" si="135"/>
        <v>#N/A</v>
      </c>
      <c r="K682" t="e">
        <f t="shared" si="136"/>
        <v>#N/A</v>
      </c>
      <c r="L682" t="e">
        <f t="shared" si="137"/>
        <v>#N/A</v>
      </c>
      <c r="M682">
        <f t="shared" si="138"/>
        <v>2023</v>
      </c>
      <c r="N682">
        <f t="shared" si="139"/>
        <v>4.0460000000000003</v>
      </c>
      <c r="O682">
        <f t="shared" si="140"/>
        <v>2.0006819999999998</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Soulstone Survivors</v>
      </c>
      <c r="B683">
        <f>IF($A683="","",games!$B683)</f>
        <v>2022</v>
      </c>
      <c r="C683" t="str">
        <f>IF($A683="","",games!$C683)</f>
        <v>Action</v>
      </c>
      <c r="D683">
        <f>IF($A683="","",COUNTIF(connections!$A$2:$A$1400,$A683)+COUNTIF(connections!$B$2:$B$1400,$A683))</f>
        <v>2</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Space Beast Terror Fright</v>
      </c>
      <c r="B684">
        <f>IF($A684="","",games!$B684)</f>
        <v>2015</v>
      </c>
      <c r="C684" t="str">
        <f>IF($A684="","",games!$C684)</f>
        <v>Action</v>
      </c>
      <c r="D684">
        <f>IF($A684="","",COUNTIF(connections!$A$2:$A$1400,$A684)+COUNTIF(connections!$B$2:$B$1400,$A684))</f>
        <v>0</v>
      </c>
      <c r="E684">
        <f t="shared" si="130"/>
        <v>1</v>
      </c>
      <c r="F684">
        <f t="shared" si="131"/>
        <v>4</v>
      </c>
      <c r="G684">
        <f t="shared" si="132"/>
        <v>2015</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
      </c>
      <c r="Q684" t="str">
        <f t="shared" si="141"/>
        <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Space Gladiators</v>
      </c>
      <c r="B685">
        <f>IF($A685="","",games!$B685)</f>
        <v>2019</v>
      </c>
      <c r="C685" t="str">
        <f>IF($A685="","",games!$C685)</f>
        <v>Action</v>
      </c>
      <c r="D685">
        <f>IF($A685="","",COUNTIF(connections!$A$2:$A$1400,$A685)+COUNTIF(connections!$B$2:$B$1400,$A685))</f>
        <v>4</v>
      </c>
      <c r="E685">
        <f t="shared" si="130"/>
        <v>1</v>
      </c>
      <c r="F685">
        <f t="shared" si="131"/>
        <v>5</v>
      </c>
      <c r="G685">
        <f t="shared" si="132"/>
        <v>2019</v>
      </c>
      <c r="H685">
        <f t="shared" si="133"/>
        <v>1.115</v>
      </c>
      <c r="I685" t="e">
        <f t="shared" si="134"/>
        <v>#N/A</v>
      </c>
      <c r="J685" t="e">
        <f t="shared" si="135"/>
        <v>#N/A</v>
      </c>
      <c r="K685" t="e">
        <f t="shared" si="136"/>
        <v>#N/A</v>
      </c>
      <c r="L685" t="e">
        <f t="shared" si="137"/>
        <v>#N/A</v>
      </c>
      <c r="M685" t="e">
        <f t="shared" si="138"/>
        <v>#N/A</v>
      </c>
      <c r="N685" t="e">
        <f t="shared" si="139"/>
        <v>#N/A</v>
      </c>
      <c r="O685">
        <f t="shared" si="140"/>
        <v>4.0006849999999998</v>
      </c>
      <c r="P685" t="str">
        <f>IF(OR($A685="",games!$H685=""),"",games!$H685)</f>
        <v/>
      </c>
      <c r="Q685" t="str">
        <f t="shared" si="141"/>
        <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Space Grunts</v>
      </c>
      <c r="B686">
        <f>IF($A686="","",games!$B686)</f>
        <v>2016</v>
      </c>
      <c r="C686" t="str">
        <f>IF($A686="","",games!$C686)</f>
        <v>Traditional</v>
      </c>
      <c r="D686">
        <f>IF($A686="","",COUNTIF(connections!$A$2:$A$1400,$A686)+COUNTIF(connections!$B$2:$B$1400,$A686))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2016</v>
      </c>
      <c r="N686">
        <f t="shared" si="139"/>
        <v>4.1379999999999999</v>
      </c>
      <c r="O686">
        <f t="shared" si="140"/>
        <v>2.000686</v>
      </c>
      <c r="P686" t="str">
        <f>IF(OR($A686="",games!$H686=""),"",games!$H686)</f>
        <v>Yes</v>
      </c>
      <c r="Q686">
        <f t="shared" si="141"/>
        <v>2.000686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Sparklite</v>
      </c>
      <c r="B687">
        <f>IF($A687="","",games!$B687)</f>
        <v>2019</v>
      </c>
      <c r="C687" t="str">
        <f>IF($A687="","",games!$C687)</f>
        <v>Action</v>
      </c>
      <c r="D687">
        <f>IF($A687="","",COUNTIF(connections!$A$2:$A$1400,$A687)+COUNTIF(connections!$B$2:$B$1400,$A687))</f>
        <v>3</v>
      </c>
      <c r="E687">
        <f t="shared" si="130"/>
        <v>1</v>
      </c>
      <c r="F687">
        <f t="shared" si="131"/>
        <v>7</v>
      </c>
      <c r="G687">
        <f t="shared" si="132"/>
        <v>2019</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
      </c>
      <c r="Q687" t="str">
        <f t="shared" si="141"/>
        <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Spellbook Demonslayers</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Spellmasons</v>
      </c>
      <c r="B689">
        <f>IF($A689="","",games!$B689)</f>
        <v>2023</v>
      </c>
      <c r="C689" t="str">
        <f>IF($A689="","",games!$C689)</f>
        <v>Strategy</v>
      </c>
      <c r="D689">
        <f>IF($A689="","",COUNTIF(connections!$A$2:$A$1400,$A689)+COUNTIF(connections!$B$2:$B$1400,$A689))</f>
        <v>1</v>
      </c>
      <c r="E689">
        <f t="shared" si="130"/>
        <v>2</v>
      </c>
      <c r="F689">
        <f t="shared" si="131"/>
        <v>9</v>
      </c>
      <c r="G689" t="e">
        <f t="shared" si="132"/>
        <v>#N/A</v>
      </c>
      <c r="H689" t="e">
        <f t="shared" si="133"/>
        <v>#N/A</v>
      </c>
      <c r="I689">
        <f t="shared" si="134"/>
        <v>2023</v>
      </c>
      <c r="J689">
        <f t="shared" si="135"/>
        <v>2.2069999999999999</v>
      </c>
      <c r="K689" t="e">
        <f t="shared" si="136"/>
        <v>#N/A</v>
      </c>
      <c r="L689" t="e">
        <f t="shared" si="137"/>
        <v>#N/A</v>
      </c>
      <c r="M689" t="e">
        <f t="shared" si="138"/>
        <v>#N/A</v>
      </c>
      <c r="N689" t="e">
        <f t="shared" si="139"/>
        <v>#N/A</v>
      </c>
      <c r="O689">
        <f t="shared" si="140"/>
        <v>1.0006889999999999</v>
      </c>
      <c r="P689" t="str">
        <f>IF(OR($A689="",games!$H689=""),"",games!$H689)</f>
        <v/>
      </c>
      <c r="Q689" t="str">
        <f t="shared" si="141"/>
        <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SpellRogue</v>
      </c>
      <c r="B690">
        <f>IF($A690="","",games!$B690)</f>
        <v>2024</v>
      </c>
      <c r="C690" t="str">
        <f>IF($A690="","",games!$C690)</f>
        <v>Deckbuilder</v>
      </c>
      <c r="D690">
        <f>IF($A690="","",COUNTIF(connections!$A$2:$A$1400,$A690)+COUNTIF(connections!$B$2:$B$1400,$A690))</f>
        <v>2</v>
      </c>
      <c r="E690">
        <f t="shared" si="130"/>
        <v>3</v>
      </c>
      <c r="F690">
        <f t="shared" si="131"/>
        <v>10</v>
      </c>
      <c r="G690" t="e">
        <f t="shared" si="132"/>
        <v>#N/A</v>
      </c>
      <c r="H690" t="e">
        <f t="shared" si="133"/>
        <v>#N/A</v>
      </c>
      <c r="I690" t="e">
        <f t="shared" si="134"/>
        <v>#N/A</v>
      </c>
      <c r="J690" t="e">
        <f t="shared" si="135"/>
        <v>#N/A</v>
      </c>
      <c r="K690">
        <f t="shared" si="136"/>
        <v>2024</v>
      </c>
      <c r="L690">
        <f t="shared" si="137"/>
        <v>3.23</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Spelunky</v>
      </c>
      <c r="B691">
        <f>IF($A691="","",games!$B691)</f>
        <v>2012</v>
      </c>
      <c r="C691" t="str">
        <f>IF($A691="","",games!$C691)</f>
        <v>Action</v>
      </c>
      <c r="D691">
        <f>IF($A691="","",COUNTIF(connections!$A$2:$A$1400,$A691)+COUNTIF(connections!$B$2:$B$1400,$A691))</f>
        <v>2</v>
      </c>
      <c r="E691">
        <f t="shared" si="130"/>
        <v>1</v>
      </c>
      <c r="F691">
        <f t="shared" si="131"/>
        <v>11</v>
      </c>
      <c r="G691">
        <f t="shared" si="132"/>
        <v>2012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Spelunky 2</v>
      </c>
      <c r="B692">
        <f>IF($A692="","",games!$B692)</f>
        <v>2020</v>
      </c>
      <c r="C692" t="str">
        <f>IF($A692="","",games!$C692)</f>
        <v>Action</v>
      </c>
      <c r="D692">
        <f>IF($A692="","",COUNTIF(connections!$A$2:$A$1400,$A692)+COUNTIF(connections!$B$2:$B$1400,$A692))</f>
        <v>1</v>
      </c>
      <c r="E692">
        <f t="shared" si="130"/>
        <v>1</v>
      </c>
      <c r="F692">
        <f t="shared" si="131"/>
        <v>12</v>
      </c>
      <c r="G692">
        <f t="shared" si="132"/>
        <v>2020</v>
      </c>
      <c r="H692">
        <f t="shared" si="133"/>
        <v>1.276</v>
      </c>
      <c r="I692" t="e">
        <f t="shared" si="134"/>
        <v>#N/A</v>
      </c>
      <c r="J692" t="e">
        <f t="shared" si="135"/>
        <v>#N/A</v>
      </c>
      <c r="K692" t="e">
        <f t="shared" si="136"/>
        <v>#N/A</v>
      </c>
      <c r="L692" t="e">
        <f t="shared" si="137"/>
        <v>#N/A</v>
      </c>
      <c r="M692" t="e">
        <f t="shared" si="138"/>
        <v>#N/A</v>
      </c>
      <c r="N692" t="e">
        <f t="shared" si="139"/>
        <v>#N/A</v>
      </c>
      <c r="O692">
        <f t="shared" si="140"/>
        <v>1.0006919999999999</v>
      </c>
      <c r="P692" t="str">
        <f>IF(OR($A692="",games!$H692=""),"",games!$H692)</f>
        <v>Yes</v>
      </c>
      <c r="Q692">
        <f t="shared" si="141"/>
        <v>1.0006919999999999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Spelunky Classic</v>
      </c>
      <c r="B693">
        <f>IF($A693="","",games!$B693)</f>
        <v>2008</v>
      </c>
      <c r="C693" t="str">
        <f>IF($A693="","",games!$C693)</f>
        <v>Action</v>
      </c>
      <c r="D693">
        <f>IF($A693="","",COUNTIF(connections!$A$2:$A$1400,$A693)+COUNTIF(connections!$B$2:$B$1400,$A693))</f>
        <v>37</v>
      </c>
      <c r="E693">
        <f t="shared" si="130"/>
        <v>1</v>
      </c>
      <c r="F693">
        <f t="shared" si="131"/>
        <v>13</v>
      </c>
      <c r="G693">
        <f t="shared" si="132"/>
        <v>2008</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37.000692999999998</v>
      </c>
      <c r="P693" t="str">
        <f>IF(OR($A693="",games!$H693=""),"",games!$H693)</f>
        <v>Yes</v>
      </c>
      <c r="Q693">
        <f t="shared" si="141"/>
        <v>37.000692999999998</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Spin Hero</v>
      </c>
      <c r="B694">
        <f>IF($A694="","",games!$B694)</f>
        <v>2024</v>
      </c>
      <c r="C694" t="str">
        <f>IF($A694="","",games!$C694)</f>
        <v>Deckbuilder</v>
      </c>
      <c r="D694">
        <f>IF($A694="","",COUNTIF(connections!$A$2:$A$1400,$A694)+COUNTIF(connections!$B$2:$B$1400,$A694))</f>
        <v>3</v>
      </c>
      <c r="E694">
        <f t="shared" si="130"/>
        <v>3</v>
      </c>
      <c r="F694">
        <f t="shared" si="131"/>
        <v>14</v>
      </c>
      <c r="G694" t="e">
        <f t="shared" si="132"/>
        <v>#N/A</v>
      </c>
      <c r="H694" t="e">
        <f t="shared" si="133"/>
        <v>#N/A</v>
      </c>
      <c r="I694" t="e">
        <f t="shared" si="134"/>
        <v>#N/A</v>
      </c>
      <c r="J694" t="e">
        <f t="shared" si="135"/>
        <v>#N/A</v>
      </c>
      <c r="K694">
        <f t="shared" si="136"/>
        <v>2024</v>
      </c>
      <c r="L694">
        <f t="shared" si="137"/>
        <v>3.3220000000000001</v>
      </c>
      <c r="M694" t="e">
        <f t="shared" si="138"/>
        <v>#N/A</v>
      </c>
      <c r="N694" t="e">
        <f t="shared" si="139"/>
        <v>#N/A</v>
      </c>
      <c r="O694">
        <f t="shared" si="140"/>
        <v>3.0006940000000002</v>
      </c>
      <c r="P694" t="str">
        <f>IF(OR($A694="",games!$H694=""),"",games!$H694)</f>
        <v>Yes</v>
      </c>
      <c r="Q694">
        <f t="shared" si="141"/>
        <v>3.0006940000000002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Spirit Hunters: Infinite Horde</v>
      </c>
      <c r="B695">
        <f>IF($A695="","",games!$B695)</f>
        <v>2022</v>
      </c>
      <c r="C695" t="str">
        <f>IF($A695="","",games!$C695)</f>
        <v>Action</v>
      </c>
      <c r="D695">
        <f>IF($A695="","",COUNTIF(connections!$A$2:$A$1400,$A695)+COUNTIF(connections!$B$2:$B$1400,$A695))</f>
        <v>1</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Spiritfall</v>
      </c>
      <c r="B696">
        <f>IF($A696="","",games!$B696)</f>
        <v>2023</v>
      </c>
      <c r="C696" t="str">
        <f>IF($A696="","",games!$C696)</f>
        <v>Action</v>
      </c>
      <c r="D696">
        <f>IF($A696="","",COUNTIF(connections!$A$2:$A$1400,$A696)+COUNTIF(connections!$B$2:$B$1400,$A696))</f>
        <v>2</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2.000696</v>
      </c>
      <c r="P696" t="str">
        <f>IF(OR($A696="",games!$H696=""),"",games!$H696)</f>
        <v>Yes</v>
      </c>
      <c r="Q696">
        <f t="shared" si="141"/>
        <v>2.000696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Spirits Abyss</v>
      </c>
      <c r="B697">
        <f>IF($A697="","",games!$B697)</f>
        <v>2019</v>
      </c>
      <c r="C697" t="str">
        <f>IF($A697="","",games!$C697)</f>
        <v>Action</v>
      </c>
      <c r="D697">
        <f>IF($A697="","",COUNTIF(connections!$A$2:$A$1400,$A697)+COUNTIF(connections!$B$2:$B$1400,$A697))</f>
        <v>2</v>
      </c>
      <c r="E697">
        <f t="shared" si="130"/>
        <v>1</v>
      </c>
      <c r="F697">
        <f t="shared" si="131"/>
        <v>17</v>
      </c>
      <c r="G697">
        <f t="shared" si="132"/>
        <v>2019</v>
      </c>
      <c r="H697">
        <f t="shared" si="133"/>
        <v>1.391</v>
      </c>
      <c r="I697" t="e">
        <f t="shared" si="134"/>
        <v>#N/A</v>
      </c>
      <c r="J697" t="e">
        <f t="shared" si="135"/>
        <v>#N/A</v>
      </c>
      <c r="K697" t="e">
        <f t="shared" si="136"/>
        <v>#N/A</v>
      </c>
      <c r="L697" t="e">
        <f t="shared" si="137"/>
        <v>#N/A</v>
      </c>
      <c r="M697" t="e">
        <f t="shared" si="138"/>
        <v>#N/A</v>
      </c>
      <c r="N697" t="e">
        <f t="shared" si="139"/>
        <v>#N/A</v>
      </c>
      <c r="O697">
        <f t="shared" si="140"/>
        <v>2.0006970000000002</v>
      </c>
      <c r="P697" t="str">
        <f>IF(OR($A697="",games!$H697=""),"",games!$H697)</f>
        <v>Yes</v>
      </c>
      <c r="Q697">
        <f t="shared" si="141"/>
        <v>2.0006970000000002</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Sproggiwood</v>
      </c>
      <c r="B698">
        <f>IF($A698="","",games!$B698)</f>
        <v>2014</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2014</v>
      </c>
      <c r="N698">
        <f t="shared" si="139"/>
        <v>4.4139999999999997</v>
      </c>
      <c r="O698">
        <f t="shared" si="140"/>
        <v>3.0006979999999999</v>
      </c>
      <c r="P698" t="str">
        <f>IF(OR($A698="",games!$H698=""),"",games!$H698)</f>
        <v>Yes</v>
      </c>
      <c r="Q698">
        <f t="shared" si="141"/>
        <v>3.0006979999999999</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Squeaky Squad</v>
      </c>
      <c r="B699">
        <f>IF($A699="","",games!$B699)</f>
        <v>2024</v>
      </c>
      <c r="C699" t="str">
        <f>IF($A699="","",games!$C699)</f>
        <v>Action</v>
      </c>
      <c r="D699">
        <f>IF($A699="","",COUNTIF(connections!$A$2:$A$1400,$A699)+COUNTIF(connections!$B$2:$B$1400,$A699))</f>
        <v>0</v>
      </c>
      <c r="E699">
        <f t="shared" si="130"/>
        <v>1</v>
      </c>
      <c r="F699">
        <f t="shared" si="131"/>
        <v>19</v>
      </c>
      <c r="G699">
        <f t="shared" si="132"/>
        <v>2024</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Stackflow</v>
      </c>
      <c r="B700">
        <f>IF($A700="","",games!$B700)</f>
        <v>2025</v>
      </c>
      <c r="C700" t="str">
        <f>IF($A700="","",games!$C700)</f>
        <v>Deckbuilder</v>
      </c>
      <c r="D700">
        <f>IF($A700="","",COUNTIF(connections!$A$2:$A$1400,$A700)+COUNTIF(connections!$B$2:$B$1400,$A700))</f>
        <v>2</v>
      </c>
      <c r="E700">
        <f t="shared" si="130"/>
        <v>3</v>
      </c>
      <c r="F700">
        <f t="shared" si="131"/>
        <v>20</v>
      </c>
      <c r="G700" t="e">
        <f t="shared" si="132"/>
        <v>#N/A</v>
      </c>
      <c r="H700" t="e">
        <f t="shared" si="133"/>
        <v>#N/A</v>
      </c>
      <c r="I700" t="e">
        <f t="shared" si="134"/>
        <v>#N/A</v>
      </c>
      <c r="J700" t="e">
        <f t="shared" si="135"/>
        <v>#N/A</v>
      </c>
      <c r="K700">
        <f t="shared" si="136"/>
        <v>2025</v>
      </c>
      <c r="L700">
        <f t="shared" si="137"/>
        <v>3.46</v>
      </c>
      <c r="M700" t="e">
        <f t="shared" si="138"/>
        <v>#N/A</v>
      </c>
      <c r="N700" t="e">
        <f t="shared" si="139"/>
        <v>#N/A</v>
      </c>
      <c r="O700">
        <f t="shared" si="140"/>
        <v>2.0007000000000001</v>
      </c>
      <c r="P700" t="str">
        <f>IF(OR($A700="",games!$H700=""),"",games!$H700)</f>
        <v>Yes</v>
      </c>
      <c r="Q700">
        <f t="shared" si="141"/>
        <v>2.0007000000000001</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Star of Providence</v>
      </c>
      <c r="B701">
        <f>IF($A701="","",games!$B701)</f>
        <v>2017</v>
      </c>
      <c r="C701" t="str">
        <f>IF($A701="","",games!$C701)</f>
        <v>Action</v>
      </c>
      <c r="D701">
        <f>IF($A701="","",COUNTIF(connections!$A$2:$A$1400,$A701)+COUNTIF(connections!$B$2:$B$1400,$A701))</f>
        <v>2</v>
      </c>
      <c r="E701">
        <f t="shared" si="130"/>
        <v>1</v>
      </c>
      <c r="F701">
        <f t="shared" si="131"/>
        <v>21</v>
      </c>
      <c r="G701">
        <f t="shared" si="132"/>
        <v>2017</v>
      </c>
      <c r="H701">
        <f t="shared" si="133"/>
        <v>1.4830000000000001</v>
      </c>
      <c r="I701" t="e">
        <f t="shared" si="134"/>
        <v>#N/A</v>
      </c>
      <c r="J701" t="e">
        <f t="shared" si="135"/>
        <v>#N/A</v>
      </c>
      <c r="K701" t="e">
        <f t="shared" si="136"/>
        <v>#N/A</v>
      </c>
      <c r="L701" t="e">
        <f t="shared" si="137"/>
        <v>#N/A</v>
      </c>
      <c r="M701" t="e">
        <f t="shared" si="138"/>
        <v>#N/A</v>
      </c>
      <c r="N701" t="e">
        <f t="shared" si="139"/>
        <v>#N/A</v>
      </c>
      <c r="O701">
        <f t="shared" si="140"/>
        <v>2.0007009999999998</v>
      </c>
      <c r="P701" t="str">
        <f>IF(OR($A701="",games!$H701=""),"",games!$H701)</f>
        <v>Yes</v>
      </c>
      <c r="Q701">
        <f t="shared" si="141"/>
        <v>2.0007009999999998</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Star Survivor</v>
      </c>
      <c r="B702">
        <f>IF($A702="","",games!$B702)</f>
        <v>2023</v>
      </c>
      <c r="C702" t="str">
        <f>IF($A702="","",games!$C702)</f>
        <v>Action</v>
      </c>
      <c r="D702">
        <f>IF($A702="","",COUNTIF(connections!$A$2:$A$1400,$A702)+COUNTIF(connections!$B$2:$B$1400,$A702))</f>
        <v>1</v>
      </c>
      <c r="E702">
        <f t="shared" si="130"/>
        <v>1</v>
      </c>
      <c r="F702">
        <f t="shared" si="131"/>
        <v>22</v>
      </c>
      <c r="G702">
        <f t="shared" si="132"/>
        <v>2023</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Starlight Revolver</v>
      </c>
      <c r="B703">
        <f>IF($A703="","",games!$B703)</f>
        <v>2025</v>
      </c>
      <c r="C703" t="str">
        <f>IF($A703="","",games!$C703)</f>
        <v>Action</v>
      </c>
      <c r="D703">
        <f>IF($A703="","",COUNTIF(connections!$A$2:$A$1400,$A703)+COUNTIF(connections!$B$2:$B$1400,$A703))</f>
        <v>1</v>
      </c>
      <c r="E703">
        <f t="shared" si="130"/>
        <v>1</v>
      </c>
      <c r="F703">
        <f t="shared" si="131"/>
        <v>23</v>
      </c>
      <c r="G703">
        <f t="shared" si="132"/>
        <v>2025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StarVaders</v>
      </c>
      <c r="B704">
        <f>IF($A704="","",games!$B704)</f>
        <v>2025</v>
      </c>
      <c r="C704" t="str">
        <f>IF($A704="","",games!$C704)</f>
        <v>Deckbuilder</v>
      </c>
      <c r="D704">
        <f>IF($A704="","",COUNTIF(connections!$A$2:$A$1400,$A704)+COUNTIF(connections!$B$2:$B$1400,$A704))</f>
        <v>1</v>
      </c>
      <c r="E704">
        <f t="shared" si="130"/>
        <v>3</v>
      </c>
      <c r="F704">
        <f t="shared" si="131"/>
        <v>24</v>
      </c>
      <c r="G704" t="e">
        <f t="shared" si="132"/>
        <v>#N/A</v>
      </c>
      <c r="H704" t="e">
        <f t="shared" si="133"/>
        <v>#N/A</v>
      </c>
      <c r="I704" t="e">
        <f t="shared" si="134"/>
        <v>#N/A</v>
      </c>
      <c r="J704" t="e">
        <f t="shared" si="135"/>
        <v>#N/A</v>
      </c>
      <c r="K704">
        <f t="shared" si="136"/>
        <v>2025</v>
      </c>
      <c r="L704">
        <f t="shared" si="137"/>
        <v>3.552</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Steve's Warehouse: Physics. Roguelike. Chaos.</v>
      </c>
      <c r="B705">
        <f>IF($A705="","",games!$B705)</f>
        <v>2025</v>
      </c>
      <c r="C705" t="str">
        <f>IF($A705="","",games!$C705)</f>
        <v>Deckbuilder</v>
      </c>
      <c r="D705">
        <f>IF($A705="","",COUNTIF(connections!$A$2:$A$1400,$A705)+COUNTIF(connections!$B$2:$B$1400,$A705))</f>
        <v>3</v>
      </c>
      <c r="E705">
        <f t="shared" si="130"/>
        <v>3</v>
      </c>
      <c r="F705">
        <f t="shared" si="131"/>
        <v>25</v>
      </c>
      <c r="G705" t="e">
        <f t="shared" si="132"/>
        <v>#N/A</v>
      </c>
      <c r="H705" t="e">
        <f t="shared" si="133"/>
        <v>#N/A</v>
      </c>
      <c r="I705" t="e">
        <f t="shared" si="134"/>
        <v>#N/A</v>
      </c>
      <c r="J705" t="e">
        <f t="shared" si="135"/>
        <v>#N/A</v>
      </c>
      <c r="K705">
        <f t="shared" si="136"/>
        <v>2025</v>
      </c>
      <c r="L705">
        <f t="shared" si="137"/>
        <v>3.5750000000000002</v>
      </c>
      <c r="M705" t="e">
        <f t="shared" si="138"/>
        <v>#N/A</v>
      </c>
      <c r="N705" t="e">
        <f t="shared" si="139"/>
        <v>#N/A</v>
      </c>
      <c r="O705">
        <f t="shared" si="140"/>
        <v>3.000705</v>
      </c>
      <c r="P705" t="str">
        <f>IF(OR($A705="",games!$H705=""),"",games!$H705)</f>
        <v/>
      </c>
      <c r="Q705" t="str">
        <f t="shared" si="141"/>
        <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Stick It to the Stickman</v>
      </c>
      <c r="B706">
        <f>IF($A706="","",games!$B706)</f>
        <v>2025</v>
      </c>
      <c r="C706" t="str">
        <f>IF($A706="","",games!$C706)</f>
        <v>Action</v>
      </c>
      <c r="D706">
        <f>IF($A706="","",COUNTIF(connections!$A$2:$A$1400,$A706)+COUNTIF(connections!$B$2:$B$1400,$A706))</f>
        <v>0</v>
      </c>
      <c r="E706">
        <f t="shared" ref="E706:E769" si="143">IF($A706="","",IFERROR(MATCH($C706,$R$2:$R$5,0),0))</f>
        <v>1</v>
      </c>
      <c r="F706">
        <f t="shared" ref="F706:F769" si="144">IF($A706="","",MOD(ROW(),34))</f>
        <v>26</v>
      </c>
      <c r="G706">
        <f t="shared" ref="G706:G769" si="145">IF($A706="",NA(),IF($C706="Action",$B706,NA()))</f>
        <v>2025</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7.0600000000000003E-4</v>
      </c>
      <c r="P706" t="str">
        <f>IF(OR($A706="",games!$H706=""),"",games!$H706)</f>
        <v>Yes</v>
      </c>
      <c r="Q706">
        <f t="shared" ref="Q706:Q769" si="154">IF(OR($A706="",$P706&lt;&gt;"Yes"),"",$D706+ROW()/1000000)</f>
        <v>7.0600000000000003E-4</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Stoneshard</v>
      </c>
      <c r="B707">
        <f>IF($A707="","",games!$B707)</f>
        <v>2020</v>
      </c>
      <c r="C707" t="str">
        <f>IF($A707="","",games!$C707)</f>
        <v>Traditional</v>
      </c>
      <c r="D707">
        <f>IF($A707="","",COUNTIF(connections!$A$2:$A$1400,$A707)+COUNTIF(connections!$B$2:$B$1400,$A707))</f>
        <v>3</v>
      </c>
      <c r="E707">
        <f t="shared" si="143"/>
        <v>4</v>
      </c>
      <c r="F707">
        <f t="shared" si="144"/>
        <v>27</v>
      </c>
      <c r="G707" t="e">
        <f t="shared" si="145"/>
        <v>#N/A</v>
      </c>
      <c r="H707" t="e">
        <f t="shared" si="146"/>
        <v>#N/A</v>
      </c>
      <c r="I707" t="e">
        <f t="shared" si="147"/>
        <v>#N/A</v>
      </c>
      <c r="J707" t="e">
        <f t="shared" si="148"/>
        <v>#N/A</v>
      </c>
      <c r="K707" t="e">
        <f t="shared" si="149"/>
        <v>#N/A</v>
      </c>
      <c r="L707" t="e">
        <f t="shared" si="150"/>
        <v>#N/A</v>
      </c>
      <c r="M707">
        <f t="shared" si="151"/>
        <v>2020</v>
      </c>
      <c r="N707">
        <f t="shared" si="152"/>
        <v>4.6210000000000004</v>
      </c>
      <c r="O707">
        <f t="shared" si="153"/>
        <v>3.0007069999999998</v>
      </c>
      <c r="P707" t="str">
        <f>IF(OR($A707="",games!$H707=""),"",games!$H707)</f>
        <v/>
      </c>
      <c r="Q707" t="str">
        <f t="shared" si="154"/>
        <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Stories from the Outbreak</v>
      </c>
      <c r="B708">
        <f>IF($A708="","",games!$B708)</f>
        <v>2023</v>
      </c>
      <c r="C708" t="str">
        <f>IF($A708="","",games!$C708)</f>
        <v>Strategy</v>
      </c>
      <c r="D708">
        <f>IF($A708="","",COUNTIF(connections!$A$2:$A$1400,$A708)+COUNTIF(connections!$B$2:$B$1400,$A708))</f>
        <v>0</v>
      </c>
      <c r="E708">
        <f t="shared" si="143"/>
        <v>2</v>
      </c>
      <c r="F708">
        <f t="shared" si="144"/>
        <v>28</v>
      </c>
      <c r="G708" t="e">
        <f t="shared" si="145"/>
        <v>#N/A</v>
      </c>
      <c r="H708" t="e">
        <f t="shared" si="146"/>
        <v>#N/A</v>
      </c>
      <c r="I708">
        <f t="shared" si="147"/>
        <v>2023</v>
      </c>
      <c r="J708">
        <f t="shared" si="148"/>
        <v>2.6440000000000001</v>
      </c>
      <c r="K708" t="e">
        <f t="shared" si="149"/>
        <v>#N/A</v>
      </c>
      <c r="L708" t="e">
        <f t="shared" si="150"/>
        <v>#N/A</v>
      </c>
      <c r="M708" t="e">
        <f t="shared" si="151"/>
        <v>#N/A</v>
      </c>
      <c r="N708" t="e">
        <f t="shared" si="152"/>
        <v>#N/A</v>
      </c>
      <c r="O708">
        <f t="shared" si="153"/>
        <v>7.0799999999999997E-4</v>
      </c>
      <c r="P708" t="str">
        <f>IF(OR($A708="",games!$H708=""),"",games!$H708)</f>
        <v/>
      </c>
      <c r="Q708" t="str">
        <f t="shared" si="154"/>
        <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Strafe</v>
      </c>
      <c r="B709">
        <f>IF($A709="","",games!$B709)</f>
        <v>2017</v>
      </c>
      <c r="C709" t="str">
        <f>IF($A709="","",games!$C709)</f>
        <v>Action</v>
      </c>
      <c r="D709">
        <f>IF($A709="","",COUNTIF(connections!$A$2:$A$1400,$A709)+COUNTIF(connections!$B$2:$B$1400,$A709))</f>
        <v>1</v>
      </c>
      <c r="E709">
        <f t="shared" si="143"/>
        <v>1</v>
      </c>
      <c r="F709">
        <f t="shared" si="144"/>
        <v>29</v>
      </c>
      <c r="G709">
        <f t="shared" si="145"/>
        <v>2017</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Strange Adventures in Infinite Space</v>
      </c>
      <c r="B710">
        <f>IF($A710="","",games!$B710)</f>
        <v>2002</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2002</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Streets of Rogue</v>
      </c>
      <c r="B711">
        <f>IF($A711="","",games!$B711)</f>
        <v>2019</v>
      </c>
      <c r="C711" t="str">
        <f>IF($A711="","",games!$C711)</f>
        <v>Action</v>
      </c>
      <c r="D711">
        <f>IF($A711="","",COUNTIF(connections!$A$2:$A$1400,$A711)+COUNTIF(connections!$B$2:$B$1400,$A711))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SULFUR</v>
      </c>
      <c r="B712">
        <f>IF($A712="","",games!$B712)</f>
        <v>2024</v>
      </c>
      <c r="C712" t="str">
        <f>IF($A712="","",games!$C712)</f>
        <v>Action</v>
      </c>
      <c r="D712">
        <f>IF($A712="","",COUNTIF(connections!$A$2:$A$1400,$A712)+COUNTIF(connections!$B$2:$B$1400,$A712))</f>
        <v>1</v>
      </c>
      <c r="E712">
        <f t="shared" si="143"/>
        <v>1</v>
      </c>
      <c r="F712">
        <f t="shared" si="144"/>
        <v>32</v>
      </c>
      <c r="G712">
        <f t="shared" si="145"/>
        <v>2024</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
      </c>
      <c r="Q712" t="str">
        <f t="shared" si="154"/>
        <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Sundered</v>
      </c>
      <c r="B713">
        <f>IF($A713="","",games!$B713)</f>
        <v>2017</v>
      </c>
      <c r="C713" t="str">
        <f>IF($A713="","",games!$C713)</f>
        <v>Action</v>
      </c>
      <c r="D713">
        <f>IF($A713="","",COUNTIF(connections!$A$2:$A$1400,$A713)+COUNTIF(connections!$B$2:$B$1400,$A713))</f>
        <v>2</v>
      </c>
      <c r="E713">
        <f t="shared" si="143"/>
        <v>1</v>
      </c>
      <c r="F713">
        <f t="shared" si="144"/>
        <v>33</v>
      </c>
      <c r="G713">
        <f t="shared" si="145"/>
        <v>2017</v>
      </c>
      <c r="H713">
        <f t="shared" si="146"/>
        <v>1.7589999999999999</v>
      </c>
      <c r="I713" t="e">
        <f t="shared" si="147"/>
        <v>#N/A</v>
      </c>
      <c r="J713" t="e">
        <f t="shared" si="148"/>
        <v>#N/A</v>
      </c>
      <c r="K713" t="e">
        <f t="shared" si="149"/>
        <v>#N/A</v>
      </c>
      <c r="L713" t="e">
        <f t="shared" si="150"/>
        <v>#N/A</v>
      </c>
      <c r="M713" t="e">
        <f t="shared" si="151"/>
        <v>#N/A</v>
      </c>
      <c r="N713" t="e">
        <f t="shared" si="152"/>
        <v>#N/A</v>
      </c>
      <c r="O713">
        <f t="shared" si="153"/>
        <v>2.0007130000000002</v>
      </c>
      <c r="P713" t="str">
        <f>IF(OR($A713="",games!$H713=""),"",games!$H713)</f>
        <v>Yes</v>
      </c>
      <c r="Q713">
        <f t="shared" si="154"/>
        <v>2.0007130000000002</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Sunless Sea</v>
      </c>
      <c r="B714">
        <f>IF($A714="","",games!$B714)</f>
        <v>2015</v>
      </c>
      <c r="C714" t="str">
        <f>IF($A714="","",games!$C714)</f>
        <v>Strategy</v>
      </c>
      <c r="D714">
        <f>IF($A714="","",COUNTIF(connections!$A$2:$A$1400,$A714)+COUNTIF(connections!$B$2:$B$1400,$A714))</f>
        <v>2</v>
      </c>
      <c r="E714">
        <f t="shared" si="143"/>
        <v>2</v>
      </c>
      <c r="F714">
        <f t="shared" si="144"/>
        <v>0</v>
      </c>
      <c r="G714" t="e">
        <f t="shared" si="145"/>
        <v>#N/A</v>
      </c>
      <c r="H714" t="e">
        <f t="shared" si="146"/>
        <v>#N/A</v>
      </c>
      <c r="I714">
        <f t="shared" si="147"/>
        <v>2015</v>
      </c>
      <c r="J714">
        <f t="shared" si="148"/>
        <v>2</v>
      </c>
      <c r="K714" t="e">
        <f t="shared" si="149"/>
        <v>#N/A</v>
      </c>
      <c r="L714" t="e">
        <f t="shared" si="150"/>
        <v>#N/A</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Super Auto Pets</v>
      </c>
      <c r="B715">
        <f>IF($A715="","",games!$B715)</f>
        <v>2021</v>
      </c>
      <c r="C715" t="str">
        <f>IF($A715="","",games!$C715)</f>
        <v>Strategy</v>
      </c>
      <c r="D715">
        <f>IF($A715="","",COUNTIF(connections!$A$2:$A$1400,$A715)+COUNTIF(connections!$B$2:$B$1400,$A715))</f>
        <v>14</v>
      </c>
      <c r="E715">
        <f t="shared" si="143"/>
        <v>2</v>
      </c>
      <c r="F715">
        <f t="shared" si="144"/>
        <v>1</v>
      </c>
      <c r="G715" t="e">
        <f t="shared" si="145"/>
        <v>#N/A</v>
      </c>
      <c r="H715" t="e">
        <f t="shared" si="146"/>
        <v>#N/A</v>
      </c>
      <c r="I715">
        <f t="shared" si="147"/>
        <v>2021</v>
      </c>
      <c r="J715">
        <f t="shared" si="148"/>
        <v>2.0230000000000001</v>
      </c>
      <c r="K715" t="e">
        <f t="shared" si="149"/>
        <v>#N/A</v>
      </c>
      <c r="L715" t="e">
        <f t="shared" si="150"/>
        <v>#N/A</v>
      </c>
      <c r="M715" t="e">
        <f t="shared" si="151"/>
        <v>#N/A</v>
      </c>
      <c r="N715" t="e">
        <f t="shared" si="152"/>
        <v>#N/A</v>
      </c>
      <c r="O715">
        <f t="shared" si="153"/>
        <v>14.000715</v>
      </c>
      <c r="P715" t="str">
        <f>IF(OR($A715="",games!$H715=""),"",games!$H715)</f>
        <v>Yes</v>
      </c>
      <c r="Q715">
        <f t="shared" si="154"/>
        <v>14.000715</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Super Bullet Break</v>
      </c>
      <c r="B716">
        <f>IF($A716="","",games!$B716)</f>
        <v>2022</v>
      </c>
      <c r="C716" t="str">
        <f>IF($A716="","",games!$C716)</f>
        <v>Deckbuilder</v>
      </c>
      <c r="D716">
        <f>IF($A716="","",COUNTIF(connections!$A$2:$A$1400,$A716)+COUNTIF(connections!$B$2:$B$1400,$A716))</f>
        <v>0</v>
      </c>
      <c r="E716">
        <f t="shared" si="143"/>
        <v>3</v>
      </c>
      <c r="F716">
        <f t="shared" si="144"/>
        <v>2</v>
      </c>
      <c r="G716" t="e">
        <f t="shared" si="145"/>
        <v>#N/A</v>
      </c>
      <c r="H716" t="e">
        <f t="shared" si="146"/>
        <v>#N/A</v>
      </c>
      <c r="I716" t="e">
        <f t="shared" si="147"/>
        <v>#N/A</v>
      </c>
      <c r="J716" t="e">
        <f t="shared" si="148"/>
        <v>#N/A</v>
      </c>
      <c r="K716">
        <f t="shared" si="149"/>
        <v>2022</v>
      </c>
      <c r="L716">
        <f t="shared" si="150"/>
        <v>3.0459999999999998</v>
      </c>
      <c r="M716" t="e">
        <f t="shared" si="151"/>
        <v>#N/A</v>
      </c>
      <c r="N716" t="e">
        <f t="shared" si="152"/>
        <v>#N/A</v>
      </c>
      <c r="O716">
        <f t="shared" si="153"/>
        <v>7.1599999999999995E-4</v>
      </c>
      <c r="P716" t="str">
        <f>IF(OR($A716="",games!$H716=""),"",games!$H716)</f>
        <v>Yes</v>
      </c>
      <c r="Q716">
        <f t="shared" si="154"/>
        <v>7.1599999999999995E-4</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Super Fantasy Kingdom</v>
      </c>
      <c r="B717">
        <f>IF($A717="","",games!$B717)</f>
        <v>2025</v>
      </c>
      <c r="C717" t="str">
        <f>IF($A717="","",games!$C717)</f>
        <v>Strategy</v>
      </c>
      <c r="D717">
        <f>IF($A717="","",COUNTIF(connections!$A$2:$A$1400,$A717)+COUNTIF(connections!$B$2:$B$1400,$A717))</f>
        <v>3</v>
      </c>
      <c r="E717">
        <f t="shared" si="143"/>
        <v>2</v>
      </c>
      <c r="F717">
        <f t="shared" si="144"/>
        <v>3</v>
      </c>
      <c r="G717" t="e">
        <f t="shared" si="145"/>
        <v>#N/A</v>
      </c>
      <c r="H717" t="e">
        <f t="shared" si="146"/>
        <v>#N/A</v>
      </c>
      <c r="I717">
        <f t="shared" si="147"/>
        <v>2025</v>
      </c>
      <c r="J717">
        <f t="shared" si="148"/>
        <v>2.069</v>
      </c>
      <c r="K717" t="e">
        <f t="shared" si="149"/>
        <v>#N/A</v>
      </c>
      <c r="L717" t="e">
        <f t="shared" si="150"/>
        <v>#N/A</v>
      </c>
      <c r="M717" t="e">
        <f t="shared" si="151"/>
        <v>#N/A</v>
      </c>
      <c r="N717" t="e">
        <f t="shared" si="152"/>
        <v>#N/A</v>
      </c>
      <c r="O717">
        <f t="shared" si="153"/>
        <v>3.0007169999999999</v>
      </c>
      <c r="P717" t="str">
        <f>IF(OR($A717="",games!$H717=""),"",games!$H717)</f>
        <v>Yes</v>
      </c>
      <c r="Q717">
        <f t="shared" si="154"/>
        <v>3.0007169999999999</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Super House of Dead Ninjas</v>
      </c>
      <c r="B718">
        <f>IF($A718="","",games!$B718)</f>
        <v>2013</v>
      </c>
      <c r="C718" t="str">
        <f>IF($A718="","",games!$C718)</f>
        <v>Action</v>
      </c>
      <c r="D718">
        <f>IF($A718="","",COUNTIF(connections!$A$2:$A$1400,$A718)+COUNTIF(connections!$B$2:$B$1400,$A718))</f>
        <v>1</v>
      </c>
      <c r="E718">
        <f t="shared" si="143"/>
        <v>1</v>
      </c>
      <c r="F718">
        <f t="shared" si="144"/>
        <v>4</v>
      </c>
      <c r="G718">
        <f t="shared" si="145"/>
        <v>2013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Super Tax City</v>
      </c>
      <c r="B719">
        <f>IF($A719="","",games!$B719)</f>
        <v>2025</v>
      </c>
      <c r="C719" t="str">
        <f>IF($A719="","",games!$C719)</f>
        <v>Deckbuilder</v>
      </c>
      <c r="D719">
        <f>IF($A719="","",COUNTIF(connections!$A$2:$A$1400,$A719)+COUNTIF(connections!$B$2:$B$1400,$A719))</f>
        <v>2</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2.0007190000000001</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Swapmeat</v>
      </c>
      <c r="B720">
        <f>IF($A720="","",games!$B720)</f>
        <v>2025</v>
      </c>
      <c r="C720" t="str">
        <f>IF($A720="","",games!$C720)</f>
        <v>Action</v>
      </c>
      <c r="D720">
        <f>IF($A720="","",COUNTIF(connections!$A$2:$A$1400,$A720)+COUNTIF(connections!$B$2:$B$1400,$A720))</f>
        <v>3</v>
      </c>
      <c r="E720">
        <f t="shared" si="143"/>
        <v>1</v>
      </c>
      <c r="F720">
        <f t="shared" si="144"/>
        <v>6</v>
      </c>
      <c r="G720">
        <f t="shared" si="145"/>
        <v>2025</v>
      </c>
      <c r="H720">
        <f t="shared" si="146"/>
        <v>1.1379999999999999</v>
      </c>
      <c r="I720" t="e">
        <f t="shared" si="147"/>
        <v>#N/A</v>
      </c>
      <c r="J720" t="e">
        <f t="shared" si="148"/>
        <v>#N/A</v>
      </c>
      <c r="K720" t="e">
        <f t="shared" si="149"/>
        <v>#N/A</v>
      </c>
      <c r="L720" t="e">
        <f t="shared" si="150"/>
        <v>#N/A</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Swarm Grinder</v>
      </c>
      <c r="B721">
        <f>IF($A721="","",games!$B721)</f>
        <v>2023</v>
      </c>
      <c r="C721" t="str">
        <f>IF($A721="","",games!$C721)</f>
        <v>Action</v>
      </c>
      <c r="D721">
        <f>IF($A721="","",COUNTIF(connections!$A$2:$A$1400,$A721)+COUNTIF(connections!$B$2:$B$1400,$A721))</f>
        <v>1</v>
      </c>
      <c r="E721">
        <f t="shared" si="143"/>
        <v>1</v>
      </c>
      <c r="F721">
        <f t="shared" si="144"/>
        <v>7</v>
      </c>
      <c r="G721">
        <f t="shared" si="145"/>
        <v>2023</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Switchcars</v>
      </c>
      <c r="B722">
        <f>IF($A722="","",games!$B722)</f>
        <v>2016</v>
      </c>
      <c r="C722" t="str">
        <f>IF($A722="","",games!$C722)</f>
        <v>Action</v>
      </c>
      <c r="D722">
        <f>IF($A722="","",COUNTIF(connections!$A$2:$A$1400,$A722)+COUNTIF(connections!$B$2:$B$1400,$A722))</f>
        <v>3</v>
      </c>
      <c r="E722">
        <f t="shared" si="143"/>
        <v>1</v>
      </c>
      <c r="F722">
        <f t="shared" si="144"/>
        <v>8</v>
      </c>
      <c r="G722">
        <f t="shared" si="145"/>
        <v>2016</v>
      </c>
      <c r="H722">
        <f t="shared" si="146"/>
        <v>1.1839999999999999</v>
      </c>
      <c r="I722" t="e">
        <f t="shared" si="147"/>
        <v>#N/A</v>
      </c>
      <c r="J722" t="e">
        <f t="shared" si="148"/>
        <v>#N/A</v>
      </c>
      <c r="K722" t="e">
        <f t="shared" si="149"/>
        <v>#N/A</v>
      </c>
      <c r="L722" t="e">
        <f t="shared" si="150"/>
        <v>#N/A</v>
      </c>
      <c r="M722" t="e">
        <f t="shared" si="151"/>
        <v>#N/A</v>
      </c>
      <c r="N722" t="e">
        <f t="shared" si="152"/>
        <v>#N/A</v>
      </c>
      <c r="O722">
        <f t="shared" si="153"/>
        <v>3.0007220000000001</v>
      </c>
      <c r="P722" t="str">
        <f>IF(OR($A722="",games!$H722=""),"",games!$H722)</f>
        <v>Yes</v>
      </c>
      <c r="Q722">
        <f t="shared" si="154"/>
        <v>3.0007220000000001</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Sword of Fargoal</v>
      </c>
      <c r="B723">
        <f>IF($A723="","",games!$B723)</f>
        <v>1982</v>
      </c>
      <c r="C723" t="str">
        <f>IF($A723="","",games!$C723)</f>
        <v>Traditional</v>
      </c>
      <c r="D723">
        <f>IF($A723="","",COUNTIF(connections!$A$2:$A$1400,$A723)+COUNTIF(connections!$B$2:$B$1400,$A723))</f>
        <v>1</v>
      </c>
      <c r="E723">
        <f t="shared" si="143"/>
        <v>4</v>
      </c>
      <c r="F723">
        <f t="shared" si="144"/>
        <v>9</v>
      </c>
      <c r="G723" t="e">
        <f t="shared" si="145"/>
        <v>#N/A</v>
      </c>
      <c r="H723" t="e">
        <f t="shared" si="146"/>
        <v>#N/A</v>
      </c>
      <c r="I723" t="e">
        <f t="shared" si="147"/>
        <v>#N/A</v>
      </c>
      <c r="J723" t="e">
        <f t="shared" si="148"/>
        <v>#N/A</v>
      </c>
      <c r="K723" t="e">
        <f t="shared" si="149"/>
        <v>#N/A</v>
      </c>
      <c r="L723" t="e">
        <f t="shared" si="150"/>
        <v>#N/A</v>
      </c>
      <c r="M723">
        <f t="shared" si="151"/>
        <v>1982</v>
      </c>
      <c r="N723">
        <f t="shared" si="152"/>
        <v>4.2069999999999999</v>
      </c>
      <c r="O723">
        <f t="shared" si="153"/>
        <v>1.000723</v>
      </c>
      <c r="P723" t="str">
        <f>IF(OR($A723="",games!$H723=""),"",games!$H723)</f>
        <v/>
      </c>
      <c r="Q723" t="str">
        <f t="shared" si="154"/>
        <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Sword of the Necromancer</v>
      </c>
      <c r="B724">
        <f>IF($A724="","",games!$B724)</f>
        <v>2021</v>
      </c>
      <c r="C724" t="str">
        <f>IF($A724="","",games!$C724)</f>
        <v>Action</v>
      </c>
      <c r="D724">
        <f>IF($A724="","",COUNTIF(connections!$A$2:$A$1400,$A724)+COUNTIF(connections!$B$2:$B$1400,$A724))</f>
        <v>3</v>
      </c>
      <c r="E724">
        <f t="shared" si="143"/>
        <v>1</v>
      </c>
      <c r="F724">
        <f t="shared" si="144"/>
        <v>10</v>
      </c>
      <c r="G724">
        <f t="shared" si="145"/>
        <v>2021</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
      </c>
      <c r="Q724" t="str">
        <f t="shared" si="154"/>
        <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Sword of the Necromancer: Resurrection</v>
      </c>
      <c r="B725">
        <f>IF($A725="","",games!$B725)</f>
        <v>2025</v>
      </c>
      <c r="C725" t="str">
        <f>IF($A725="","",games!$C725)</f>
        <v>Action</v>
      </c>
      <c r="D725">
        <f>IF($A725="","",COUNTIF(connections!$A$2:$A$1400,$A725)+COUNTIF(connections!$B$2:$B$1400,$A725))</f>
        <v>1</v>
      </c>
      <c r="E725">
        <f t="shared" si="143"/>
        <v>1</v>
      </c>
      <c r="F725">
        <f t="shared" si="144"/>
        <v>11</v>
      </c>
      <c r="G725">
        <f t="shared" si="145"/>
        <v>2025</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Sword of the Stars: The Pit</v>
      </c>
      <c r="B726">
        <f>IF($A726="","",games!$B726)</f>
        <v>2013</v>
      </c>
      <c r="C726" t="str">
        <f>IF($A726="","",games!$C726)</f>
        <v>Traditional</v>
      </c>
      <c r="D726">
        <f>IF($A726="","",COUNTIF(connections!$A$2:$A$1400,$A726)+COUNTIF(connections!$B$2:$B$1400,$A726))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2013</v>
      </c>
      <c r="N726">
        <f t="shared" si="152"/>
        <v>4.2759999999999998</v>
      </c>
      <c r="O726">
        <f t="shared" si="153"/>
        <v>3.0007259999999998</v>
      </c>
      <c r="P726" t="str">
        <f>IF(OR($A726="",games!$H726=""),"",games!$H726)</f>
        <v/>
      </c>
      <c r="Q726" t="str">
        <f t="shared" si="154"/>
        <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Swordship</v>
      </c>
      <c r="B727">
        <f>IF($A727="","",games!$B727)</f>
        <v>2022</v>
      </c>
      <c r="C727" t="str">
        <f>IF($A727="","",games!$C727)</f>
        <v>Action</v>
      </c>
      <c r="D727">
        <f>IF($A727="","",COUNTIF(connections!$A$2:$A$1400,$A727)+COUNTIF(connections!$B$2:$B$1400,$A727))</f>
        <v>1</v>
      </c>
      <c r="E727">
        <f t="shared" si="143"/>
        <v>1</v>
      </c>
      <c r="F727">
        <f t="shared" si="144"/>
        <v>13</v>
      </c>
      <c r="G727">
        <f t="shared" si="145"/>
        <v>2022</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Yes</v>
      </c>
      <c r="Q727">
        <f t="shared" si="154"/>
        <v>1.0007269999999999</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Sworn</v>
      </c>
      <c r="B728">
        <f>IF($A728="","",games!$B728)</f>
        <v>2025</v>
      </c>
      <c r="C728" t="str">
        <f>IF($A728="","",games!$C728)</f>
        <v>Action</v>
      </c>
      <c r="D728">
        <f>IF($A728="","",COUNTIF(connections!$A$2:$A$1400,$A728)+COUNTIF(connections!$B$2:$B$1400,$A728))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Synthetik 2</v>
      </c>
      <c r="B729">
        <f>IF($A729="","",games!$B729)</f>
        <v>2021</v>
      </c>
      <c r="C729" t="str">
        <f>IF($A729="","",games!$C729)</f>
        <v>Action</v>
      </c>
      <c r="D729">
        <f>IF($A729="","",COUNTIF(connections!$A$2:$A$1400,$A729)+COUNTIF(connections!$B$2:$B$1400,$A729))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
      </c>
      <c r="Q729" t="str">
        <f t="shared" si="154"/>
        <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Synthetik: Legion Rising</v>
      </c>
      <c r="B730">
        <f>IF($A730="","",games!$B730)</f>
        <v>2018</v>
      </c>
      <c r="C730" t="str">
        <f>IF($A730="","",games!$C730)</f>
        <v>Action</v>
      </c>
      <c r="D730">
        <f>IF($A730="","",COUNTIF(connections!$A$2:$A$1400,$A730)+COUNTIF(connections!$B$2:$B$1400,$A730))</f>
        <v>2</v>
      </c>
      <c r="E730">
        <f t="shared" si="143"/>
        <v>1</v>
      </c>
      <c r="F730">
        <f t="shared" si="144"/>
        <v>16</v>
      </c>
      <c r="G730">
        <f t="shared" si="145"/>
        <v>2018</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Tabletop Tavern</v>
      </c>
      <c r="B731">
        <f>IF($A731="","",games!$B731)</f>
        <v>2026</v>
      </c>
      <c r="C731" t="str">
        <f>IF($A731="","",games!$C731)</f>
        <v>Strategy</v>
      </c>
      <c r="D731">
        <f>IF($A731="","",COUNTIF(connections!$A$2:$A$1400,$A731)+COUNTIF(connections!$B$2:$B$1400,$A731))</f>
        <v>2</v>
      </c>
      <c r="E731">
        <f t="shared" si="143"/>
        <v>2</v>
      </c>
      <c r="F731">
        <f t="shared" si="144"/>
        <v>17</v>
      </c>
      <c r="G731" t="e">
        <f t="shared" si="145"/>
        <v>#N/A</v>
      </c>
      <c r="H731" t="e">
        <f t="shared" si="146"/>
        <v>#N/A</v>
      </c>
      <c r="I731">
        <f t="shared" si="147"/>
        <v>2026</v>
      </c>
      <c r="J731">
        <f t="shared" si="148"/>
        <v>2.391</v>
      </c>
      <c r="K731" t="e">
        <f t="shared" si="149"/>
        <v>#N/A</v>
      </c>
      <c r="L731" t="e">
        <f t="shared" si="150"/>
        <v>#N/A</v>
      </c>
      <c r="M731" t="e">
        <f t="shared" si="151"/>
        <v>#N/A</v>
      </c>
      <c r="N731" t="e">
        <f t="shared" si="152"/>
        <v>#N/A</v>
      </c>
      <c r="O731">
        <f t="shared" si="153"/>
        <v>2.000731</v>
      </c>
      <c r="P731" t="str">
        <f>IF(OR($A731="",games!$H731=""),"",games!$H731)</f>
        <v/>
      </c>
      <c r="Q731" t="str">
        <f t="shared" si="154"/>
        <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Tainted Grail: Conquest</v>
      </c>
      <c r="B732">
        <f>IF($A732="","",games!$B732)</f>
        <v>2020</v>
      </c>
      <c r="C732" t="str">
        <f>IF($A732="","",games!$C732)</f>
        <v>Deckbuilder</v>
      </c>
      <c r="D732">
        <f>IF($A732="","",COUNTIF(connections!$A$2:$A$1400,$A732)+COUNTIF(connections!$B$2:$B$1400,$A732))</f>
        <v>1</v>
      </c>
      <c r="E732">
        <f t="shared" si="143"/>
        <v>3</v>
      </c>
      <c r="F732">
        <f t="shared" si="144"/>
        <v>18</v>
      </c>
      <c r="G732" t="e">
        <f t="shared" si="145"/>
        <v>#N/A</v>
      </c>
      <c r="H732" t="e">
        <f t="shared" si="146"/>
        <v>#N/A</v>
      </c>
      <c r="I732" t="e">
        <f t="shared" si="147"/>
        <v>#N/A</v>
      </c>
      <c r="J732" t="e">
        <f t="shared" si="148"/>
        <v>#N/A</v>
      </c>
      <c r="K732">
        <f t="shared" si="149"/>
        <v>2020</v>
      </c>
      <c r="L732">
        <f t="shared" si="150"/>
        <v>3.4140000000000001</v>
      </c>
      <c r="M732" t="e">
        <f t="shared" si="151"/>
        <v>#N/A</v>
      </c>
      <c r="N732" t="e">
        <f t="shared" si="152"/>
        <v>#N/A</v>
      </c>
      <c r="O732">
        <f t="shared" si="153"/>
        <v>1.000732</v>
      </c>
      <c r="P732" t="str">
        <f>IF(OR($A732="",games!$H732=""),"",games!$H732)</f>
        <v>Yes</v>
      </c>
      <c r="Q732">
        <f t="shared" si="154"/>
        <v>1.000732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Talented</v>
      </c>
      <c r="B733">
        <f>IF($A733="","",games!$B733)</f>
        <v>2023</v>
      </c>
      <c r="C733" t="str">
        <f>IF($A733="","",games!$C733)</f>
        <v>Action</v>
      </c>
      <c r="D733">
        <f>IF($A733="","",COUNTIF(connections!$A$2:$A$1400,$A733)+COUNTIF(connections!$B$2:$B$1400,$A733))</f>
        <v>2</v>
      </c>
      <c r="E733">
        <f t="shared" si="143"/>
        <v>1</v>
      </c>
      <c r="F733">
        <f t="shared" si="144"/>
        <v>19</v>
      </c>
      <c r="G733">
        <f t="shared" si="145"/>
        <v>2023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Tales of Maj'Eyal</v>
      </c>
      <c r="B734">
        <f>IF($A734="","",games!$B734)</f>
        <v>1998</v>
      </c>
      <c r="C734" t="str">
        <f>IF($A734="","",games!$C734)</f>
        <v>Traditional</v>
      </c>
      <c r="D734">
        <f>IF($A734="","",COUNTIF(connections!$A$2:$A$1400,$A734)+COUNTIF(connections!$B$2:$B$1400,$A734))</f>
        <v>9</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1998</v>
      </c>
      <c r="N734">
        <f t="shared" si="152"/>
        <v>4.46</v>
      </c>
      <c r="O734">
        <f t="shared" si="153"/>
        <v>9.0007339999999996</v>
      </c>
      <c r="P734" t="str">
        <f>IF(OR($A734="",games!$H734=""),"",games!$H734)</f>
        <v>Yes</v>
      </c>
      <c r="Q734">
        <f t="shared" si="154"/>
        <v>9.0007339999999996</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Talespinner</v>
      </c>
      <c r="B735">
        <f>IF($A735="","",games!$B735)</f>
        <v>2026</v>
      </c>
      <c r="C735" t="str">
        <f>IF($A735="","",games!$C735)</f>
        <v>Deckbuilder</v>
      </c>
      <c r="D735">
        <f>IF($A735="","",COUNTIF(connections!$A$2:$A$1400,$A735)+COUNTIF(connections!$B$2:$B$1400,$A735))</f>
        <v>1</v>
      </c>
      <c r="E735">
        <f t="shared" si="143"/>
        <v>3</v>
      </c>
      <c r="F735">
        <f t="shared" si="144"/>
        <v>21</v>
      </c>
      <c r="G735" t="e">
        <f t="shared" si="145"/>
        <v>#N/A</v>
      </c>
      <c r="H735" t="e">
        <f t="shared" si="146"/>
        <v>#N/A</v>
      </c>
      <c r="I735" t="e">
        <f t="shared" si="147"/>
        <v>#N/A</v>
      </c>
      <c r="J735" t="e">
        <f t="shared" si="148"/>
        <v>#N/A</v>
      </c>
      <c r="K735">
        <f t="shared" si="149"/>
        <v>2026</v>
      </c>
      <c r="L735">
        <f t="shared" si="150"/>
        <v>3.4830000000000001</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Tangledeep</v>
      </c>
      <c r="B736">
        <f>IF($A736="","",games!$B736)</f>
        <v>2017</v>
      </c>
      <c r="C736" t="str">
        <f>IF($A736="","",games!$C736)</f>
        <v>Traditional</v>
      </c>
      <c r="D736">
        <f>IF($A736="","",COUNTIF(connections!$A$2:$A$1400,$A736)+COUNTIF(connections!$B$2:$B$1400,$A736))</f>
        <v>4</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2017</v>
      </c>
      <c r="N736">
        <f t="shared" si="152"/>
        <v>4.5060000000000002</v>
      </c>
      <c r="O736">
        <f t="shared" si="153"/>
        <v>4.0007359999999998</v>
      </c>
      <c r="P736" t="str">
        <f>IF(OR($A736="",games!$H736=""),"",games!$H736)</f>
        <v>Yes</v>
      </c>
      <c r="Q736">
        <f t="shared" si="154"/>
        <v>4.0007359999999998</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Tangy TD</v>
      </c>
      <c r="B737">
        <f>IF($A737="","",games!$B737)</f>
        <v>2026</v>
      </c>
      <c r="C737" t="str">
        <f>IF($A737="","",games!$C737)</f>
        <v>Strategy</v>
      </c>
      <c r="D737">
        <f>IF($A737="","",COUNTIF(connections!$A$2:$A$1400,$A737)+COUNTIF(connections!$B$2:$B$1400,$A737))</f>
        <v>0</v>
      </c>
      <c r="E737">
        <f t="shared" si="143"/>
        <v>2</v>
      </c>
      <c r="F737">
        <f t="shared" si="144"/>
        <v>23</v>
      </c>
      <c r="G737" t="e">
        <f t="shared" si="145"/>
        <v>#N/A</v>
      </c>
      <c r="H737" t="e">
        <f t="shared" si="146"/>
        <v>#N/A</v>
      </c>
      <c r="I737">
        <f t="shared" si="147"/>
        <v>2026</v>
      </c>
      <c r="J737">
        <f t="shared" si="148"/>
        <v>2.5289999999999999</v>
      </c>
      <c r="K737" t="e">
        <f t="shared" si="149"/>
        <v>#N/A</v>
      </c>
      <c r="L737" t="e">
        <f t="shared" si="150"/>
        <v>#N/A</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Tao's Adventure: Curse of the Demon Seal</v>
      </c>
      <c r="B738">
        <f>IF($A738="","",games!$B738)</f>
        <v>2006</v>
      </c>
      <c r="C738" t="str">
        <f>IF($A738="","",games!$C738)</f>
        <v>Traditional</v>
      </c>
      <c r="D738">
        <f>IF($A738="","",COUNTIF(connections!$A$2:$A$1400,$A738)+COUNTIF(connections!$B$2:$B$1400,$A738))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2006</v>
      </c>
      <c r="N738">
        <f t="shared" si="152"/>
        <v>4.5519999999999996</v>
      </c>
      <c r="O738">
        <f t="shared" si="153"/>
        <v>1.0007379999999999</v>
      </c>
      <c r="P738" t="str">
        <f>IF(OR($A738="",games!$H738=""),"",games!$H738)</f>
        <v>Yes</v>
      </c>
      <c r="Q738">
        <f t="shared" si="154"/>
        <v>1.0007379999999999</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Tape to Tape</v>
      </c>
      <c r="B739">
        <f>IF($A739="","",games!$B739)</f>
        <v>2023</v>
      </c>
      <c r="C739" t="str">
        <f>IF($A739="","",games!$C739)</f>
        <v>Action</v>
      </c>
      <c r="D739">
        <f>IF($A739="","",COUNTIF(connections!$A$2:$A$1400,$A739)+COUNTIF(connections!$B$2:$B$1400,$A739))</f>
        <v>2</v>
      </c>
      <c r="E739">
        <f t="shared" si="143"/>
        <v>1</v>
      </c>
      <c r="F739">
        <f t="shared" si="144"/>
        <v>25</v>
      </c>
      <c r="G739">
        <f t="shared" si="145"/>
        <v>2023</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Teamfight Tactics</v>
      </c>
      <c r="B740">
        <f>IF($A740="","",games!$B740)</f>
        <v>2019</v>
      </c>
      <c r="C740" t="str">
        <f>IF($A740="","",games!$C740)</f>
        <v>Strategy</v>
      </c>
      <c r="D740">
        <f>IF($A740="","",COUNTIF(connections!$A$2:$A$1400,$A740)+COUNTIF(connections!$B$2:$B$1400,$A740))</f>
        <v>6</v>
      </c>
      <c r="E740">
        <f t="shared" si="143"/>
        <v>2</v>
      </c>
      <c r="F740">
        <f t="shared" si="144"/>
        <v>26</v>
      </c>
      <c r="G740" t="e">
        <f t="shared" si="145"/>
        <v>#N/A</v>
      </c>
      <c r="H740" t="e">
        <f t="shared" si="146"/>
        <v>#N/A</v>
      </c>
      <c r="I740">
        <f t="shared" si="147"/>
        <v>2019</v>
      </c>
      <c r="J740">
        <f t="shared" si="148"/>
        <v>2.5979999999999999</v>
      </c>
      <c r="K740" t="e">
        <f t="shared" si="149"/>
        <v>#N/A</v>
      </c>
      <c r="L740" t="e">
        <f t="shared" si="150"/>
        <v>#N/A</v>
      </c>
      <c r="M740" t="e">
        <f t="shared" si="151"/>
        <v>#N/A</v>
      </c>
      <c r="N740" t="e">
        <f t="shared" si="152"/>
        <v>#N/A</v>
      </c>
      <c r="O740">
        <f t="shared" si="153"/>
        <v>6.0007400000000004</v>
      </c>
      <c r="P740" t="str">
        <f>IF(OR($A740="",games!$H740=""),"",games!$H740)</f>
        <v/>
      </c>
      <c r="Q740" t="str">
        <f t="shared" si="154"/>
        <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Tears of Metal</v>
      </c>
      <c r="B741">
        <f>IF($A741="","",games!$B741)</f>
        <v>2026</v>
      </c>
      <c r="C741" t="str">
        <f>IF($A741="","",games!$C741)</f>
        <v>Action</v>
      </c>
      <c r="D741">
        <f>IF($A741="","",COUNTIF(connections!$A$2:$A$1400,$A741)+COUNTIF(connections!$B$2:$B$1400,$A741))</f>
        <v>1</v>
      </c>
      <c r="E741">
        <f t="shared" si="143"/>
        <v>1</v>
      </c>
      <c r="F741">
        <f t="shared" si="144"/>
        <v>27</v>
      </c>
      <c r="G741">
        <f t="shared" si="145"/>
        <v>2026</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Teenage Mutant Ninja Turtles: Splintered Fate</v>
      </c>
      <c r="B742">
        <f>IF($A742="","",games!$B742)</f>
        <v>2024</v>
      </c>
      <c r="C742" t="str">
        <f>IF($A742="","",games!$C742)</f>
        <v>Action</v>
      </c>
      <c r="D742">
        <f>IF($A742="","",COUNTIF(connections!$A$2:$A$1400,$A742)+COUNTIF(connections!$B$2:$B$1400,$A742))</f>
        <v>3</v>
      </c>
      <c r="E742">
        <f t="shared" si="143"/>
        <v>1</v>
      </c>
      <c r="F742">
        <f t="shared" si="144"/>
        <v>28</v>
      </c>
      <c r="G742">
        <f t="shared" si="145"/>
        <v>2024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3.0007419999999998</v>
      </c>
      <c r="P742" t="str">
        <f>IF(OR($A742="",games!$H742=""),"",games!$H742)</f>
        <v>Yes</v>
      </c>
      <c r="Q742">
        <f t="shared" si="154"/>
        <v>3.0007419999999998</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Temtem: Swarm</v>
      </c>
      <c r="B743">
        <f>IF($A743="","",games!$B743)</f>
        <v>2024</v>
      </c>
      <c r="C743" t="str">
        <f>IF($A743="","",games!$C743)</f>
        <v>Action</v>
      </c>
      <c r="D743">
        <f>IF($A743="","",COUNTIF(connections!$A$2:$A$1400,$A743)+COUNTIF(connections!$B$2:$B$1400,$A743))</f>
        <v>1</v>
      </c>
      <c r="E743">
        <f t="shared" si="143"/>
        <v>1</v>
      </c>
      <c r="F743">
        <f t="shared" si="144"/>
        <v>29</v>
      </c>
      <c r="G743">
        <f t="shared" si="145"/>
        <v>2024</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
      </c>
      <c r="Q743" t="str">
        <f t="shared" si="154"/>
        <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Terraformers</v>
      </c>
      <c r="B744">
        <f>IF($A744="","",games!$B744)</f>
        <v>2022</v>
      </c>
      <c r="C744" t="str">
        <f>IF($A744="","",games!$C744)</f>
        <v>Strategy</v>
      </c>
      <c r="D744">
        <f>IF($A744="","",COUNTIF(connections!$A$2:$A$1400,$A744)+COUNTIF(connections!$B$2:$B$1400,$A744))</f>
        <v>1</v>
      </c>
      <c r="E744">
        <f t="shared" si="143"/>
        <v>2</v>
      </c>
      <c r="F744">
        <f t="shared" si="144"/>
        <v>30</v>
      </c>
      <c r="G744" t="e">
        <f t="shared" si="145"/>
        <v>#N/A</v>
      </c>
      <c r="H744" t="e">
        <f t="shared" si="146"/>
        <v>#N/A</v>
      </c>
      <c r="I744">
        <f t="shared" si="147"/>
        <v>2022</v>
      </c>
      <c r="J744">
        <f t="shared" si="148"/>
        <v>2.69</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TerraTech Legion</v>
      </c>
      <c r="B745">
        <f>IF($A745="","",games!$B745)</f>
        <v>2026</v>
      </c>
      <c r="C745" t="str">
        <f>IF($A745="","",games!$C745)</f>
        <v>Action</v>
      </c>
      <c r="D745">
        <f>IF($A745="","",COUNTIF(connections!$A$2:$A$1400,$A745)+COUNTIF(connections!$B$2:$B$1400,$A745))</f>
        <v>1</v>
      </c>
      <c r="E745">
        <f t="shared" si="143"/>
        <v>1</v>
      </c>
      <c r="F745">
        <f t="shared" si="144"/>
        <v>31</v>
      </c>
      <c r="G745">
        <f t="shared" si="145"/>
        <v>2026</v>
      </c>
      <c r="H745">
        <f t="shared" si="146"/>
        <v>1.7130000000000001</v>
      </c>
      <c r="I745" t="e">
        <f t="shared" si="147"/>
        <v>#N/A</v>
      </c>
      <c r="J745" t="e">
        <f t="shared" si="148"/>
        <v>#N/A</v>
      </c>
      <c r="K745" t="e">
        <f t="shared" si="149"/>
        <v>#N/A</v>
      </c>
      <c r="L745" t="e">
        <f t="shared" si="150"/>
        <v>#N/A</v>
      </c>
      <c r="M745" t="e">
        <f t="shared" si="151"/>
        <v>#N/A</v>
      </c>
      <c r="N745" t="e">
        <f t="shared" si="152"/>
        <v>#N/A</v>
      </c>
      <c r="O745">
        <f t="shared" si="153"/>
        <v>1.000745</v>
      </c>
      <c r="P745" t="str">
        <f>IF(OR($A745="",games!$H745=""),"",games!$H745)</f>
        <v/>
      </c>
      <c r="Q745" t="str">
        <f t="shared" si="154"/>
        <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TerRoguelike</v>
      </c>
      <c r="B746">
        <f>IF($A746="","",games!$B746)</f>
        <v>2024</v>
      </c>
      <c r="C746" t="str">
        <f>IF($A746="","",games!$C746)</f>
        <v>Action</v>
      </c>
      <c r="D746">
        <f>IF($A746="","",COUNTIF(connections!$A$2:$A$1400,$A746)+COUNTIF(connections!$B$2:$B$1400,$A746))</f>
        <v>1</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Bazaar</v>
      </c>
      <c r="B747">
        <f>IF($A747="","",games!$B747)</f>
        <v>2025</v>
      </c>
      <c r="C747" t="str">
        <f>IF($A747="","",games!$C747)</f>
        <v>Strategy</v>
      </c>
      <c r="D747">
        <f>IF($A747="","",COUNTIF(connections!$A$2:$A$1400,$A747)+COUNTIF(connections!$B$2:$B$1400,$A747))</f>
        <v>4</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4.0007469999999996</v>
      </c>
      <c r="P747" t="str">
        <f>IF(OR($A747="",games!$H747=""),"",games!$H747)</f>
        <v/>
      </c>
      <c r="Q747" t="str">
        <f t="shared" si="154"/>
        <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Binding of Isaac</v>
      </c>
      <c r="B748">
        <f>IF($A748="","",games!$B748)</f>
        <v>2011</v>
      </c>
      <c r="C748" t="str">
        <f>IF($A748="","",games!$C748)</f>
        <v>Action</v>
      </c>
      <c r="D748">
        <f>IF($A748="","",COUNTIF(connections!$A$2:$A$1400,$A748)+COUNTIF(connections!$B$2:$B$1400,$A748))</f>
        <v>71</v>
      </c>
      <c r="E748">
        <f t="shared" si="143"/>
        <v>1</v>
      </c>
      <c r="F748">
        <f t="shared" si="144"/>
        <v>0</v>
      </c>
      <c r="G748">
        <f t="shared" si="145"/>
        <v>2011</v>
      </c>
      <c r="H748">
        <f t="shared" si="146"/>
        <v>1</v>
      </c>
      <c r="I748" t="e">
        <f t="shared" si="147"/>
        <v>#N/A</v>
      </c>
      <c r="J748" t="e">
        <f t="shared" si="148"/>
        <v>#N/A</v>
      </c>
      <c r="K748" t="e">
        <f t="shared" si="149"/>
        <v>#N/A</v>
      </c>
      <c r="L748" t="e">
        <f t="shared" si="150"/>
        <v>#N/A</v>
      </c>
      <c r="M748" t="e">
        <f t="shared" si="151"/>
        <v>#N/A</v>
      </c>
      <c r="N748" t="e">
        <f t="shared" si="152"/>
        <v>#N/A</v>
      </c>
      <c r="O748">
        <f t="shared" si="153"/>
        <v>71.000748000000002</v>
      </c>
      <c r="P748" t="str">
        <f>IF(OR($A748="",games!$H748=""),"",games!$H748)</f>
        <v>Yes</v>
      </c>
      <c r="Q748">
        <f t="shared" si="154"/>
        <v>71.000748000000002</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Binding of Isaac: Rebirth</v>
      </c>
      <c r="B749">
        <f>IF($A749="","",games!$B749)</f>
        <v>2014</v>
      </c>
      <c r="C749" t="str">
        <f>IF($A749="","",games!$C749)</f>
        <v>Action</v>
      </c>
      <c r="D749">
        <f>IF($A749="","",COUNTIF(connections!$A$2:$A$1400,$A749)+COUNTIF(connections!$B$2:$B$1400,$A749))</f>
        <v>1</v>
      </c>
      <c r="E749">
        <f t="shared" si="143"/>
        <v>1</v>
      </c>
      <c r="F749">
        <f t="shared" si="144"/>
        <v>1</v>
      </c>
      <c r="G749">
        <f t="shared" si="145"/>
        <v>2014</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Doors of Trithius</v>
      </c>
      <c r="B750">
        <f>IF($A750="","",games!$B750)</f>
        <v>2021</v>
      </c>
      <c r="C750" t="str">
        <f>IF($A750="","",games!$C750)</f>
        <v>Traditional</v>
      </c>
      <c r="D750">
        <f>IF($A750="","",COUNTIF(connections!$A$2:$A$1400,$A750)+COUNTIF(connections!$B$2:$B$1400,$A750))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2021</v>
      </c>
      <c r="N750">
        <f t="shared" si="152"/>
        <v>4.0460000000000003</v>
      </c>
      <c r="O750">
        <f t="shared" si="153"/>
        <v>3.00075</v>
      </c>
      <c r="P750" t="str">
        <f>IF(OR($A750="",games!$H750=""),"",games!$H750)</f>
        <v/>
      </c>
      <c r="Q750" t="str">
        <f t="shared" si="154"/>
        <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Dungeon RPG</v>
      </c>
      <c r="B751">
        <f>IF($A751="","",games!$B751)</f>
        <v>2000</v>
      </c>
      <c r="C751" t="str">
        <f>IF($A751="","",games!$C751)</f>
        <v>Traditional</v>
      </c>
      <c r="D751">
        <f>IF($A751="","",COUNTIF(connections!$A$2:$A$1400,$A751)+COUNTIF(connections!$B$2:$B$1400,$A751))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2000</v>
      </c>
      <c r="N751">
        <f t="shared" si="152"/>
        <v>4.069</v>
      </c>
      <c r="O751">
        <f t="shared" si="153"/>
        <v>4.0007510000000002</v>
      </c>
      <c r="P751" t="str">
        <f>IF(OR($A751="",games!$H751=""),"",games!$H751)</f>
        <v>Yes</v>
      </c>
      <c r="Q751">
        <f t="shared" si="154"/>
        <v>4.0007510000000002</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Fable: Manga Build Roguelike</v>
      </c>
      <c r="B752">
        <f>IF($A752="","",games!$B752)</f>
        <v>2025</v>
      </c>
      <c r="C752" t="str">
        <f>IF($A752="","",games!$C752)</f>
        <v>Deckbuilder</v>
      </c>
      <c r="D752">
        <f>IF($A752="","",COUNTIF(connections!$A$2:$A$1400,$A752)+COUNTIF(connections!$B$2:$B$1400,$A752))</f>
        <v>0</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7.5199999999999996E-4</v>
      </c>
      <c r="P752" t="str">
        <f>IF(OR($A752="",games!$H752=""),"",games!$H752)</f>
        <v/>
      </c>
      <c r="Q752" t="str">
        <f t="shared" si="154"/>
        <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Flame in the Flood</v>
      </c>
      <c r="B753">
        <f>IF($A753="","",games!$B753)</f>
        <v>2016</v>
      </c>
      <c r="C753" t="str">
        <f>IF($A753="","",games!$C753)</f>
        <v>Action</v>
      </c>
      <c r="D753">
        <f>IF($A753="","",COUNTIF(connections!$A$2:$A$1400,$A753)+COUNTIF(connections!$B$2:$B$1400,$A753))</f>
        <v>1</v>
      </c>
      <c r="E753">
        <f t="shared" si="143"/>
        <v>1</v>
      </c>
      <c r="F753">
        <f t="shared" si="144"/>
        <v>5</v>
      </c>
      <c r="G753">
        <f t="shared" si="145"/>
        <v>2016</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Ground Gives Way</v>
      </c>
      <c r="B754">
        <f>IF($A754="","",games!$B754)</f>
        <v>2014</v>
      </c>
      <c r="C754" t="str">
        <f>IF($A754="","",games!$C754)</f>
        <v>Traditional</v>
      </c>
      <c r="D754">
        <f>IF($A754="","",COUNTIF(connections!$A$2:$A$1400,$A754)+COUNTIF(connections!$B$2:$B$1400,$A754))</f>
        <v>4</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2014</v>
      </c>
      <c r="N754">
        <f t="shared" si="152"/>
        <v>4.1379999999999999</v>
      </c>
      <c r="O754">
        <f t="shared" si="153"/>
        <v>4.0007539999999997</v>
      </c>
      <c r="P754" t="str">
        <f>IF(OR($A754="",games!$H754=""),"",games!$H754)</f>
        <v>Yes</v>
      </c>
      <c r="Q754">
        <f t="shared" si="154"/>
        <v>4.0007539999999997</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Guided Fate Paradox</v>
      </c>
      <c r="B755">
        <f>IF($A755="","",games!$B755)</f>
        <v>2013</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2013</v>
      </c>
      <c r="N755">
        <f t="shared" si="152"/>
        <v>4.1609999999999996</v>
      </c>
      <c r="O755">
        <f t="shared" si="153"/>
        <v>1.0007550000000001</v>
      </c>
      <c r="P755" t="str">
        <f>IF(OR($A755="",games!$H755=""),"",games!$H755)</f>
        <v/>
      </c>
      <c r="Q755" t="str">
        <f t="shared" si="154"/>
        <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King is Watching</v>
      </c>
      <c r="B756">
        <f>IF($A756="","",games!$B756)</f>
        <v>2025</v>
      </c>
      <c r="C756" t="str">
        <f>IF($A756="","",games!$C756)</f>
        <v>Strategy</v>
      </c>
      <c r="D756">
        <f>IF($A756="","",COUNTIF(connections!$A$2:$A$1400,$A756)+COUNTIF(connections!$B$2:$B$1400,$A756))</f>
        <v>0</v>
      </c>
      <c r="E756">
        <f t="shared" si="143"/>
        <v>2</v>
      </c>
      <c r="F756">
        <f t="shared" si="144"/>
        <v>8</v>
      </c>
      <c r="G756" t="e">
        <f t="shared" si="145"/>
        <v>#N/A</v>
      </c>
      <c r="H756" t="e">
        <f t="shared" si="146"/>
        <v>#N/A</v>
      </c>
      <c r="I756">
        <f t="shared" si="147"/>
        <v>2025</v>
      </c>
      <c r="J756">
        <f t="shared" si="148"/>
        <v>2.1840000000000002</v>
      </c>
      <c r="K756" t="e">
        <f t="shared" si="149"/>
        <v>#N/A</v>
      </c>
      <c r="L756" t="e">
        <f t="shared" si="150"/>
        <v>#N/A</v>
      </c>
      <c r="M756" t="e">
        <f t="shared" si="151"/>
        <v>#N/A</v>
      </c>
      <c r="N756" t="e">
        <f t="shared" si="152"/>
        <v>#N/A</v>
      </c>
      <c r="O756">
        <f t="shared" si="153"/>
        <v>7.5600000000000005E-4</v>
      </c>
      <c r="P756" t="str">
        <f>IF(OR($A756="",games!$H756=""),"",games!$H756)</f>
        <v>Yes</v>
      </c>
      <c r="Q756">
        <f t="shared" si="154"/>
        <v>7.5600000000000005E-4</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Last Flame</v>
      </c>
      <c r="B757">
        <f>IF($A757="","",games!$B757)</f>
        <v>2024</v>
      </c>
      <c r="C757" t="str">
        <f>IF($A757="","",games!$C757)</f>
        <v>Strategy</v>
      </c>
      <c r="D757">
        <f>IF($A757="","",COUNTIF(connections!$A$2:$A$1400,$A757)+COUNTIF(connections!$B$2:$B$1400,$A757))</f>
        <v>2</v>
      </c>
      <c r="E757">
        <f t="shared" si="143"/>
        <v>2</v>
      </c>
      <c r="F757">
        <f t="shared" si="144"/>
        <v>9</v>
      </c>
      <c r="G757" t="e">
        <f t="shared" si="145"/>
        <v>#N/A</v>
      </c>
      <c r="H757" t="e">
        <f t="shared" si="146"/>
        <v>#N/A</v>
      </c>
      <c r="I757">
        <f t="shared" si="147"/>
        <v>2024</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Last Game</v>
      </c>
      <c r="B758">
        <f>IF($A758="","",games!$B758)</f>
        <v>2023</v>
      </c>
      <c r="C758" t="str">
        <f>IF($A758="","",games!$C758)</f>
        <v>Action</v>
      </c>
      <c r="D758">
        <f>IF($A758="","",COUNTIF(connections!$A$2:$A$1400,$A758)+COUNTIF(connections!$B$2:$B$1400,$A758))</f>
        <v>2</v>
      </c>
      <c r="E758">
        <f t="shared" si="143"/>
        <v>1</v>
      </c>
      <c r="F758">
        <f t="shared" si="144"/>
        <v>10</v>
      </c>
      <c r="G758">
        <f t="shared" si="145"/>
        <v>2023</v>
      </c>
      <c r="H758">
        <f t="shared" si="146"/>
        <v>1.23</v>
      </c>
      <c r="I758" t="e">
        <f t="shared" si="147"/>
        <v>#N/A</v>
      </c>
      <c r="J758" t="e">
        <f t="shared" si="148"/>
        <v>#N/A</v>
      </c>
      <c r="K758" t="e">
        <f t="shared" si="149"/>
        <v>#N/A</v>
      </c>
      <c r="L758" t="e">
        <f t="shared" si="150"/>
        <v>#N/A</v>
      </c>
      <c r="M758" t="e">
        <f t="shared" si="151"/>
        <v>#N/A</v>
      </c>
      <c r="N758" t="e">
        <f t="shared" si="152"/>
        <v>#N/A</v>
      </c>
      <c r="O758">
        <f t="shared" si="153"/>
        <v>2.0007579999999998</v>
      </c>
      <c r="P758" t="str">
        <f>IF(OR($A758="",games!$H758=""),"",games!$H758)</f>
        <v/>
      </c>
      <c r="Q758" t="str">
        <f t="shared" si="154"/>
        <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Last Spell</v>
      </c>
      <c r="B759">
        <f>IF($A759="","",games!$B759)</f>
        <v>2021</v>
      </c>
      <c r="C759" t="str">
        <f>IF($A759="","",games!$C759)</f>
        <v>Strategy</v>
      </c>
      <c r="D759">
        <f>IF($A759="","",COUNTIF(connections!$A$2:$A$1400,$A759)+COUNTIF(connections!$B$2:$B$1400,$A759))</f>
        <v>3</v>
      </c>
      <c r="E759">
        <f t="shared" si="143"/>
        <v>2</v>
      </c>
      <c r="F759">
        <f t="shared" si="144"/>
        <v>11</v>
      </c>
      <c r="G759" t="e">
        <f t="shared" si="145"/>
        <v>#N/A</v>
      </c>
      <c r="H759" t="e">
        <f t="shared" si="146"/>
        <v>#N/A</v>
      </c>
      <c r="I759">
        <f t="shared" si="147"/>
        <v>2021</v>
      </c>
      <c r="J759">
        <f t="shared" si="148"/>
        <v>2.2530000000000001</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Legend of Bum-Bo</v>
      </c>
      <c r="B760">
        <f>IF($A760="","",games!$B760)</f>
        <v>2019</v>
      </c>
      <c r="C760" t="str">
        <f>IF($A760="","",games!$C760)</f>
        <v>Strategy</v>
      </c>
      <c r="D760">
        <f>IF($A760="","",COUNTIF(connections!$A$2:$A$1400,$A760)+COUNTIF(connections!$B$2:$B$1400,$A760))</f>
        <v>3</v>
      </c>
      <c r="E760">
        <f t="shared" si="143"/>
        <v>2</v>
      </c>
      <c r="F760">
        <f t="shared" si="144"/>
        <v>12</v>
      </c>
      <c r="G760" t="e">
        <f t="shared" si="145"/>
        <v>#N/A</v>
      </c>
      <c r="H760" t="e">
        <f t="shared" si="146"/>
        <v>#N/A</v>
      </c>
      <c r="I760">
        <f t="shared" si="147"/>
        <v>2019</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Nightmare of Druaga</v>
      </c>
      <c r="B761">
        <f>IF($A761="","",games!$B761)</f>
        <v>2004</v>
      </c>
      <c r="C761" t="str">
        <f>IF($A761="","",games!$C761)</f>
        <v>Traditional</v>
      </c>
      <c r="D761">
        <f>IF($A761="","",COUNTIF(connections!$A$2:$A$1400,$A761)+COUNTIF(connections!$B$2:$B$1400,$A761))</f>
        <v>1</v>
      </c>
      <c r="E761">
        <f t="shared" si="143"/>
        <v>4</v>
      </c>
      <c r="F761">
        <f t="shared" si="144"/>
        <v>13</v>
      </c>
      <c r="G761" t="e">
        <f t="shared" si="145"/>
        <v>#N/A</v>
      </c>
      <c r="H761" t="e">
        <f t="shared" si="146"/>
        <v>#N/A</v>
      </c>
      <c r="I761" t="e">
        <f t="shared" si="147"/>
        <v>#N/A</v>
      </c>
      <c r="J761" t="e">
        <f t="shared" si="148"/>
        <v>#N/A</v>
      </c>
      <c r="K761" t="e">
        <f t="shared" si="149"/>
        <v>#N/A</v>
      </c>
      <c r="L761" t="e">
        <f t="shared" si="150"/>
        <v>#N/A</v>
      </c>
      <c r="M761">
        <f t="shared" si="151"/>
        <v>2004</v>
      </c>
      <c r="N761">
        <f t="shared" si="152"/>
        <v>4.2990000000000004</v>
      </c>
      <c r="O761">
        <f t="shared" si="153"/>
        <v>1.000761</v>
      </c>
      <c r="P761" t="str">
        <f>IF(OR($A761="",games!$H761=""),"",games!$H761)</f>
        <v>Yes</v>
      </c>
      <c r="Q761">
        <f t="shared" si="154"/>
        <v>1.000761</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Ouroboros King</v>
      </c>
      <c r="B762">
        <f>IF($A762="","",games!$B762)</f>
        <v>2023</v>
      </c>
      <c r="C762" t="str">
        <f>IF($A762="","",games!$C762)</f>
        <v>Strategy</v>
      </c>
      <c r="D762">
        <f>IF($A762="","",COUNTIF(connections!$A$2:$A$1400,$A762)+COUNTIF(connections!$B$2:$B$1400,$A762))</f>
        <v>4</v>
      </c>
      <c r="E762">
        <f t="shared" si="143"/>
        <v>2</v>
      </c>
      <c r="F762">
        <f t="shared" si="144"/>
        <v>14</v>
      </c>
      <c r="G762" t="e">
        <f t="shared" si="145"/>
        <v>#N/A</v>
      </c>
      <c r="H762" t="e">
        <f t="shared" si="146"/>
        <v>#N/A</v>
      </c>
      <c r="I762">
        <f t="shared" si="147"/>
        <v>2023</v>
      </c>
      <c r="J762">
        <f t="shared" si="148"/>
        <v>2.3220000000000001</v>
      </c>
      <c r="K762" t="e">
        <f t="shared" si="149"/>
        <v>#N/A</v>
      </c>
      <c r="L762" t="e">
        <f t="shared" si="150"/>
        <v>#N/A</v>
      </c>
      <c r="M762" t="e">
        <f t="shared" si="151"/>
        <v>#N/A</v>
      </c>
      <c r="N762" t="e">
        <f t="shared" si="152"/>
        <v>#N/A</v>
      </c>
      <c r="O762">
        <f t="shared" si="153"/>
        <v>4.0007619999999999</v>
      </c>
      <c r="P762" t="str">
        <f>IF(OR($A762="",games!$H762=""),"",games!$H762)</f>
        <v>Yes</v>
      </c>
      <c r="Q762">
        <f t="shared" si="154"/>
        <v>4.0007619999999999</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Rogue Prince of Persia</v>
      </c>
      <c r="B763">
        <f>IF($A763="","",games!$B763)</f>
        <v>2024</v>
      </c>
      <c r="C763" t="str">
        <f>IF($A763="","",games!$C763)</f>
        <v>Action</v>
      </c>
      <c r="D763">
        <f>IF($A763="","",COUNTIF(connections!$A$2:$A$1400,$A763)+COUNTIF(connections!$B$2:$B$1400,$A763))</f>
        <v>1</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Yes</v>
      </c>
      <c r="Q763">
        <f t="shared" si="154"/>
        <v>1.0007630000000001</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 Royal Writ</v>
      </c>
      <c r="B764">
        <f>IF($A764="","",games!$B764)</f>
        <v>2025</v>
      </c>
      <c r="C764" t="str">
        <f>IF($A764="","",games!$C764)</f>
        <v>Deckbuilder</v>
      </c>
      <c r="D764">
        <f>IF($A764="","",COUNTIF(connections!$A$2:$A$1400,$A764)+COUNTIF(connections!$B$2:$B$1400,$A764))</f>
        <v>5</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5.0007640000000002</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The Spell Brigade</v>
      </c>
      <c r="B765">
        <f>IF($A765="","",games!$B765)</f>
        <v>2024</v>
      </c>
      <c r="C765" t="str">
        <f>IF($A765="","",games!$C765)</f>
        <v>Action</v>
      </c>
      <c r="D765">
        <f>IF($A765="","",COUNTIF(connections!$A$2:$A$1400,$A765)+COUNTIF(connections!$B$2:$B$1400,$A765))</f>
        <v>3</v>
      </c>
      <c r="E765">
        <f t="shared" si="143"/>
        <v>1</v>
      </c>
      <c r="F765">
        <f t="shared" si="144"/>
        <v>17</v>
      </c>
      <c r="G765">
        <f t="shared" si="145"/>
        <v>2024</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The Spirit Lift</v>
      </c>
      <c r="B766">
        <f>IF($A766="","",games!$B766)</f>
        <v>2026</v>
      </c>
      <c r="C766" t="str">
        <f>IF($A766="","",games!$C766)</f>
        <v>Deckbuilder</v>
      </c>
      <c r="D766">
        <f>IF($A766="","",COUNTIF(connections!$A$2:$A$1400,$A766)+COUNTIF(connections!$B$2:$B$1400,$A766))</f>
        <v>2</v>
      </c>
      <c r="E766">
        <f t="shared" si="143"/>
        <v>3</v>
      </c>
      <c r="F766">
        <f t="shared" si="144"/>
        <v>18</v>
      </c>
      <c r="G766" t="e">
        <f t="shared" si="145"/>
        <v>#N/A</v>
      </c>
      <c r="H766" t="e">
        <f t="shared" si="146"/>
        <v>#N/A</v>
      </c>
      <c r="I766" t="e">
        <f t="shared" si="147"/>
        <v>#N/A</v>
      </c>
      <c r="J766" t="e">
        <f t="shared" si="148"/>
        <v>#N/A</v>
      </c>
      <c r="K766">
        <f t="shared" si="149"/>
        <v>2026</v>
      </c>
      <c r="L766">
        <f t="shared" si="150"/>
        <v>3.4140000000000001</v>
      </c>
      <c r="M766" t="e">
        <f t="shared" si="151"/>
        <v>#N/A</v>
      </c>
      <c r="N766" t="e">
        <f t="shared" si="152"/>
        <v>#N/A</v>
      </c>
      <c r="O766">
        <f t="shared" si="153"/>
        <v>2.000766</v>
      </c>
      <c r="P766" t="str">
        <f>IF(OR($A766="",games!$H766=""),"",games!$H766)</f>
        <v>Yes</v>
      </c>
      <c r="Q766">
        <f t="shared" si="154"/>
        <v>2.000766</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The Unliving</v>
      </c>
      <c r="B767">
        <f>IF($A767="","",games!$B767)</f>
        <v>2022</v>
      </c>
      <c r="C767" t="str">
        <f>IF($A767="","",games!$C767)</f>
        <v>Action</v>
      </c>
      <c r="D767">
        <f>IF($A767="","",COUNTIF(connections!$A$2:$A$1400,$A767)+COUNTIF(connections!$B$2:$B$1400,$A767))</f>
        <v>3</v>
      </c>
      <c r="E767">
        <f t="shared" si="143"/>
        <v>1</v>
      </c>
      <c r="F767">
        <f t="shared" si="144"/>
        <v>19</v>
      </c>
      <c r="G767">
        <f t="shared" si="145"/>
        <v>2022</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The Void Rains Upon Her Heart</v>
      </c>
      <c r="B768">
        <f>IF($A768="","",games!$B768)</f>
        <v>2018</v>
      </c>
      <c r="C768" t="str">
        <f>IF($A768="","",games!$C768)</f>
        <v>Action</v>
      </c>
      <c r="D768">
        <f>IF($A768="","",COUNTIF(connections!$A$2:$A$1400,$A768)+COUNTIF(connections!$B$2:$B$1400,$A768))</f>
        <v>1</v>
      </c>
      <c r="E768">
        <f t="shared" si="143"/>
        <v>1</v>
      </c>
      <c r="F768">
        <f t="shared" si="144"/>
        <v>20</v>
      </c>
      <c r="G768">
        <f t="shared" si="145"/>
        <v>2018</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The World is Your Weapon</v>
      </c>
      <c r="B769">
        <f>IF($A769="","",games!$B769)</f>
        <v>2014</v>
      </c>
      <c r="C769" t="str">
        <f>IF($A769="","",games!$C769)</f>
        <v>Traditional</v>
      </c>
      <c r="D769">
        <f>IF($A769="","",COUNTIF(connections!$A$2:$A$1400,$A769)+COUNTIF(connections!$B$2:$B$1400,$A769))</f>
        <v>1</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1.000769</v>
      </c>
      <c r="P769" t="str">
        <f>IF(OR($A769="",games!$H769=""),"",games!$H769)</f>
        <v/>
      </c>
      <c r="Q769" t="str">
        <f t="shared" si="154"/>
        <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There Are No Orcs</v>
      </c>
      <c r="B770">
        <f>IF($A770="","",games!$B770)</f>
        <v>2025</v>
      </c>
      <c r="C770" t="str">
        <f>IF($A770="","",games!$C770)</f>
        <v>Strategy</v>
      </c>
      <c r="D770">
        <f>IF($A770="","",COUNTIF(connections!$A$2:$A$1400,$A770)+COUNTIF(connections!$B$2:$B$1400,$A770))</f>
        <v>0</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7.6999999999999996E-4</v>
      </c>
      <c r="P770" t="str">
        <f>IF(OR($A770="",games!$H770=""),"",games!$H770)</f>
        <v/>
      </c>
      <c r="Q770" t="str">
        <f t="shared" ref="Q770:Q833" si="167">IF(OR($A770="",$P770&lt;&gt;"Yes"),"",$D770+ROW()/1000000)</f>
        <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Tic Tactic</v>
      </c>
      <c r="B771">
        <f>IF($A771="","",games!$B771)</f>
        <v>2025</v>
      </c>
      <c r="C771" t="str">
        <f>IF($A771="","",games!$C771)</f>
        <v>Deckbuilder</v>
      </c>
      <c r="D771">
        <f>IF($A771="","",COUNTIF(connections!$A$2:$A$1400,$A771)+COUNTIF(connections!$B$2:$B$1400,$A771))</f>
        <v>3</v>
      </c>
      <c r="E771">
        <f t="shared" si="156"/>
        <v>3</v>
      </c>
      <c r="F771">
        <f t="shared" si="157"/>
        <v>23</v>
      </c>
      <c r="G771" t="e">
        <f t="shared" si="158"/>
        <v>#N/A</v>
      </c>
      <c r="H771" t="e">
        <f t="shared" si="159"/>
        <v>#N/A</v>
      </c>
      <c r="I771" t="e">
        <f t="shared" si="160"/>
        <v>#N/A</v>
      </c>
      <c r="J771" t="e">
        <f t="shared" si="161"/>
        <v>#N/A</v>
      </c>
      <c r="K771">
        <f t="shared" si="162"/>
        <v>2025</v>
      </c>
      <c r="L771">
        <f t="shared" si="163"/>
        <v>3.5289999999999999</v>
      </c>
      <c r="M771" t="e">
        <f t="shared" si="164"/>
        <v>#N/A</v>
      </c>
      <c r="N771" t="e">
        <f t="shared" si="165"/>
        <v>#N/A</v>
      </c>
      <c r="O771">
        <f t="shared" si="166"/>
        <v>3.0007709999999999</v>
      </c>
      <c r="P771" t="str">
        <f>IF(OR($A771="",games!$H771=""),"",games!$H771)</f>
        <v/>
      </c>
      <c r="Q771" t="str">
        <f t="shared" si="167"/>
        <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Time Survivors</v>
      </c>
      <c r="B772">
        <f>IF($A772="","",games!$B772)</f>
        <v>2023</v>
      </c>
      <c r="C772" t="str">
        <f>IF($A772="","",games!$C772)</f>
        <v>Action</v>
      </c>
      <c r="D772">
        <f>IF($A772="","",COUNTIF(connections!$A$2:$A$1400,$A772)+COUNTIF(connections!$B$2:$B$1400,$A772))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Time Wasters</v>
      </c>
      <c r="B773">
        <f>IF($A773="","",games!$B773)</f>
        <v>2023</v>
      </c>
      <c r="C773" t="str">
        <f>IF($A773="","",games!$C773)</f>
        <v>Action</v>
      </c>
      <c r="D773">
        <f>IF($A773="","",COUNTIF(connections!$A$2:$A$1400,$A773)+COUNTIF(connections!$B$2:$B$1400,$A773))</f>
        <v>1</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Yes</v>
      </c>
      <c r="Q773">
        <f t="shared" si="167"/>
        <v>1.0007729999999999</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Tiny Auto Knights</v>
      </c>
      <c r="B774">
        <f>IF($A774="","",games!$B774)</f>
        <v>2025</v>
      </c>
      <c r="C774" t="str">
        <f>IF($A774="","",games!$C774)</f>
        <v>Deckbuilder</v>
      </c>
      <c r="D774">
        <f>IF($A774="","",COUNTIF(connections!$A$2:$A$1400,$A774)+COUNTIF(connections!$B$2:$B$1400,$A774))</f>
        <v>5</v>
      </c>
      <c r="E774">
        <f t="shared" si="156"/>
        <v>3</v>
      </c>
      <c r="F774">
        <f t="shared" si="157"/>
        <v>26</v>
      </c>
      <c r="G774" t="e">
        <f t="shared" si="158"/>
        <v>#N/A</v>
      </c>
      <c r="H774" t="e">
        <f t="shared" si="159"/>
        <v>#N/A</v>
      </c>
      <c r="I774" t="e">
        <f t="shared" si="160"/>
        <v>#N/A</v>
      </c>
      <c r="J774" t="e">
        <f t="shared" si="161"/>
        <v>#N/A</v>
      </c>
      <c r="K774">
        <f t="shared" si="162"/>
        <v>2025</v>
      </c>
      <c r="L774">
        <f t="shared" si="163"/>
        <v>3.5979999999999999</v>
      </c>
      <c r="M774" t="e">
        <f t="shared" si="164"/>
        <v>#N/A</v>
      </c>
      <c r="N774" t="e">
        <f t="shared" si="165"/>
        <v>#N/A</v>
      </c>
      <c r="O774">
        <f t="shared" si="166"/>
        <v>5.0007739999999998</v>
      </c>
      <c r="P774" t="str">
        <f>IF(OR($A774="",games!$H774=""),"",games!$H774)</f>
        <v/>
      </c>
      <c r="Q774" t="str">
        <f t="shared" si="167"/>
        <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Tiny Rogues</v>
      </c>
      <c r="B775">
        <f>IF($A775="","",games!$B775)</f>
        <v>2022</v>
      </c>
      <c r="C775" t="str">
        <f>IF($A775="","",games!$C775)</f>
        <v>Action</v>
      </c>
      <c r="D775">
        <f>IF($A775="","",COUNTIF(connections!$A$2:$A$1400,$A775)+COUNTIF(connections!$B$2:$B$1400,$A775))</f>
        <v>6</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6.000775</v>
      </c>
      <c r="P775" t="str">
        <f>IF(OR($A775="",games!$H775=""),"",games!$H775)</f>
        <v>Yes</v>
      </c>
      <c r="Q775">
        <f t="shared" si="167"/>
        <v>6.000775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Tinyfolks</v>
      </c>
      <c r="B776">
        <f>IF($A776="","",games!$B776)</f>
        <v>2022</v>
      </c>
      <c r="C776" t="str">
        <f>IF($A776="","",games!$C776)</f>
        <v>Strategy</v>
      </c>
      <c r="D776">
        <f>IF($A776="","",COUNTIF(connections!$A$2:$A$1400,$A776)+COUNTIF(connections!$B$2:$B$1400,$A776))</f>
        <v>1</v>
      </c>
      <c r="E776">
        <f t="shared" si="156"/>
        <v>2</v>
      </c>
      <c r="F776">
        <f t="shared" si="157"/>
        <v>28</v>
      </c>
      <c r="G776" t="e">
        <f t="shared" si="158"/>
        <v>#N/A</v>
      </c>
      <c r="H776" t="e">
        <f t="shared" si="159"/>
        <v>#N/A</v>
      </c>
      <c r="I776">
        <f t="shared" si="160"/>
        <v>2022</v>
      </c>
      <c r="J776">
        <f t="shared" si="161"/>
        <v>2.6440000000000001</v>
      </c>
      <c r="K776" t="e">
        <f t="shared" si="162"/>
        <v>#N/A</v>
      </c>
      <c r="L776" t="e">
        <f t="shared" si="163"/>
        <v>#N/A</v>
      </c>
      <c r="M776" t="e">
        <f t="shared" si="164"/>
        <v>#N/A</v>
      </c>
      <c r="N776" t="e">
        <f t="shared" si="165"/>
        <v>#N/A</v>
      </c>
      <c r="O776">
        <f t="shared" si="166"/>
        <v>1.0007760000000001</v>
      </c>
      <c r="P776" t="str">
        <f>IF(OR($A776="",games!$H776=""),"",games!$H776)</f>
        <v>Yes</v>
      </c>
      <c r="Q776">
        <f t="shared" si="167"/>
        <v>1.0007760000000001</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ToeJam &amp; Earl</v>
      </c>
      <c r="B777">
        <f>IF($A777="","",games!$B777)</f>
        <v>1991</v>
      </c>
      <c r="C777" t="str">
        <f>IF($A777="","",games!$C777)</f>
        <v>Action</v>
      </c>
      <c r="D777">
        <f>IF($A777="","",COUNTIF(connections!$A$2:$A$1400,$A777)+COUNTIF(connections!$B$2:$B$1400,$A777))</f>
        <v>3</v>
      </c>
      <c r="E777">
        <f t="shared" si="156"/>
        <v>1</v>
      </c>
      <c r="F777">
        <f t="shared" si="157"/>
        <v>29</v>
      </c>
      <c r="G777">
        <f t="shared" si="158"/>
        <v>1991</v>
      </c>
      <c r="H777">
        <f t="shared" si="159"/>
        <v>1.667</v>
      </c>
      <c r="I777" t="e">
        <f t="shared" si="160"/>
        <v>#N/A</v>
      </c>
      <c r="J777" t="e">
        <f t="shared" si="161"/>
        <v>#N/A</v>
      </c>
      <c r="K777" t="e">
        <f t="shared" si="162"/>
        <v>#N/A</v>
      </c>
      <c r="L777" t="e">
        <f t="shared" si="163"/>
        <v>#N/A</v>
      </c>
      <c r="M777" t="e">
        <f t="shared" si="164"/>
        <v>#N/A</v>
      </c>
      <c r="N777" t="e">
        <f t="shared" si="165"/>
        <v>#N/A</v>
      </c>
      <c r="O777">
        <f t="shared" si="166"/>
        <v>3.0007769999999998</v>
      </c>
      <c r="P777" t="str">
        <f>IF(OR($A777="",games!$H777=""),"",games!$H777)</f>
        <v>Yes</v>
      </c>
      <c r="Q777">
        <f t="shared" si="167"/>
        <v>3.0007769999999998</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ToeJam &amp; Earl: Back in the Groove!</v>
      </c>
      <c r="B778">
        <f>IF($A778="","",games!$B778)</f>
        <v>2019</v>
      </c>
      <c r="C778" t="str">
        <f>IF($A778="","",games!$C778)</f>
        <v>Action</v>
      </c>
      <c r="D778">
        <f>IF($A778="","",COUNTIF(connections!$A$2:$A$1400,$A778)+COUNTIF(connections!$B$2:$B$1400,$A778))</f>
        <v>1</v>
      </c>
      <c r="E778">
        <f t="shared" si="156"/>
        <v>1</v>
      </c>
      <c r="F778">
        <f t="shared" si="157"/>
        <v>30</v>
      </c>
      <c r="G778">
        <f t="shared" si="158"/>
        <v>2019</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TombStar</v>
      </c>
      <c r="B779">
        <f>IF($A779="","",games!$B779)</f>
        <v>2022</v>
      </c>
      <c r="C779" t="str">
        <f>IF($A779="","",games!$C779)</f>
        <v>Action</v>
      </c>
      <c r="D779">
        <f>IF($A779="","",COUNTIF(connections!$A$2:$A$1400,$A779)+COUNTIF(connections!$B$2:$B$1400,$A779))</f>
        <v>2</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Torneko: The Last Hope</v>
      </c>
      <c r="B780">
        <f>IF($A780="","",games!$B780)</f>
        <v>1999</v>
      </c>
      <c r="C780" t="str">
        <f>IF($A780="","",games!$C780)</f>
        <v>Traditional</v>
      </c>
      <c r="D780">
        <f>IF($A780="","",COUNTIF(connections!$A$2:$A$1400,$A780)+COUNTIF(connections!$B$2:$B$1400,$A780))</f>
        <v>3</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1999</v>
      </c>
      <c r="N780">
        <f t="shared" si="165"/>
        <v>4.7359999999999998</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Torneko's Great Adventure 3</v>
      </c>
      <c r="B781">
        <f>IF($A781="","",games!$B781)</f>
        <v>2002</v>
      </c>
      <c r="C781" t="str">
        <f>IF($A781="","",games!$C781)</f>
        <v>Traditional</v>
      </c>
      <c r="D781">
        <f>IF($A781="","",COUNTIF(connections!$A$2:$A$1400,$A781)+COUNTIF(connections!$B$2:$B$1400,$A781))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2002</v>
      </c>
      <c r="N781">
        <f t="shared" si="165"/>
        <v>4.7590000000000003</v>
      </c>
      <c r="O781">
        <f t="shared" si="166"/>
        <v>1.0007809999999999</v>
      </c>
      <c r="P781" t="str">
        <f>IF(OR($A781="",games!$H781=""),"",games!$H781)</f>
        <v>Yes</v>
      </c>
      <c r="Q781">
        <f t="shared" si="167"/>
        <v>1.0007809999999999</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Torneko's Great Adventure: Mystery Dungeon</v>
      </c>
      <c r="B782">
        <f>IF($A782="","",games!$B782)</f>
        <v>1993</v>
      </c>
      <c r="C782" t="str">
        <f>IF($A782="","",games!$C782)</f>
        <v>Traditional</v>
      </c>
      <c r="D782">
        <f>IF($A782="","",COUNTIF(connections!$A$2:$A$1400,$A782)+COUNTIF(connections!$B$2:$B$1400,$A782))</f>
        <v>27</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1993</v>
      </c>
      <c r="N782">
        <f t="shared" si="165"/>
        <v>4</v>
      </c>
      <c r="O782">
        <f t="shared" si="166"/>
        <v>27.000782000000001</v>
      </c>
      <c r="P782" t="str">
        <f>IF(OR($A782="",games!$H782=""),"",games!$H782)</f>
        <v>Yes</v>
      </c>
      <c r="Q782">
        <f t="shared" si="167"/>
        <v>27.000782000000001</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Touhou Crawl</v>
      </c>
      <c r="B783">
        <f>IF($A783="","",games!$B783)</f>
        <v>2025</v>
      </c>
      <c r="C783" t="str">
        <f>IF($A783="","",games!$C783)</f>
        <v>Traditional</v>
      </c>
      <c r="D783">
        <f>IF($A783="","",COUNTIF(connections!$A$2:$A$1400,$A783)+COUNTIF(connections!$B$2:$B$1400,$A783))</f>
        <v>1</v>
      </c>
      <c r="E783">
        <f t="shared" si="156"/>
        <v>4</v>
      </c>
      <c r="F783">
        <f t="shared" si="157"/>
        <v>1</v>
      </c>
      <c r="G783" t="e">
        <f t="shared" si="158"/>
        <v>#N/A</v>
      </c>
      <c r="H783" t="e">
        <f t="shared" si="159"/>
        <v>#N/A</v>
      </c>
      <c r="I783" t="e">
        <f t="shared" si="160"/>
        <v>#N/A</v>
      </c>
      <c r="J783" t="e">
        <f t="shared" si="161"/>
        <v>#N/A</v>
      </c>
      <c r="K783" t="e">
        <f t="shared" si="162"/>
        <v>#N/A</v>
      </c>
      <c r="L783" t="e">
        <f t="shared" si="163"/>
        <v>#N/A</v>
      </c>
      <c r="M783">
        <f t="shared" si="164"/>
        <v>2025</v>
      </c>
      <c r="N783">
        <f t="shared" si="165"/>
        <v>4.0229999999999997</v>
      </c>
      <c r="O783">
        <f t="shared" si="166"/>
        <v>1.000783</v>
      </c>
      <c r="P783" t="str">
        <f>IF(OR($A783="",games!$H783=""),"",games!$H783)</f>
        <v>Yes</v>
      </c>
      <c r="Q783">
        <f t="shared" si="167"/>
        <v>1.000783</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Touhou Genso Wanderer: Foresight</v>
      </c>
      <c r="B784">
        <f>IF($A784="","",games!$B784)</f>
        <v>2024</v>
      </c>
      <c r="C784" t="str">
        <f>IF($A784="","",games!$C784)</f>
        <v>Traditional</v>
      </c>
      <c r="D784">
        <f>IF($A784="","",COUNTIF(connections!$A$2:$A$1400,$A784)+COUNTIF(connections!$B$2:$B$1400,$A784))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2024</v>
      </c>
      <c r="N784">
        <f t="shared" si="165"/>
        <v>4.0460000000000003</v>
      </c>
      <c r="O784">
        <f t="shared" si="166"/>
        <v>1.0007839999999999</v>
      </c>
      <c r="P784" t="str">
        <f>IF(OR($A784="",games!$H784=""),"",games!$H784)</f>
        <v/>
      </c>
      <c r="Q784" t="str">
        <f t="shared" si="167"/>
        <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Touhou Genso Wanderer: Lotus Labyrinth R</v>
      </c>
      <c r="B785">
        <f>IF($A785="","",games!$B785)</f>
        <v>2021</v>
      </c>
      <c r="C785" t="str">
        <f>IF($A785="","",games!$C785)</f>
        <v>Traditional</v>
      </c>
      <c r="D785">
        <f>IF($A785="","",COUNTIF(connections!$A$2:$A$1400,$A785)+COUNTIF(connections!$B$2:$B$1400,$A785))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2021</v>
      </c>
      <c r="N785">
        <f t="shared" si="165"/>
        <v>4.069</v>
      </c>
      <c r="O785">
        <f t="shared" si="166"/>
        <v>1.000785</v>
      </c>
      <c r="P785" t="str">
        <f>IF(OR($A785="",games!$H785=""),"",games!$H785)</f>
        <v/>
      </c>
      <c r="Q785" t="str">
        <f t="shared" si="167"/>
        <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Touhou: Lost Branch of Legend</v>
      </c>
      <c r="B786">
        <f>IF($A786="","",games!$B786)</f>
        <v>2022</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2022</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Tower Dominion</v>
      </c>
      <c r="B787">
        <f>IF($A787="","",games!$B787)</f>
        <v>2025</v>
      </c>
      <c r="C787" t="str">
        <f>IF($A787="","",games!$C787)</f>
        <v>Strategy</v>
      </c>
      <c r="D787">
        <f>IF($A787="","",COUNTIF(connections!$A$2:$A$1400,$A787)+COUNTIF(connections!$B$2:$B$1400,$A787))</f>
        <v>1</v>
      </c>
      <c r="E787">
        <f t="shared" si="156"/>
        <v>2</v>
      </c>
      <c r="F787">
        <f t="shared" si="157"/>
        <v>5</v>
      </c>
      <c r="G787" t="e">
        <f t="shared" si="158"/>
        <v>#N/A</v>
      </c>
      <c r="H787" t="e">
        <f t="shared" si="159"/>
        <v>#N/A</v>
      </c>
      <c r="I787">
        <f t="shared" si="160"/>
        <v>2025</v>
      </c>
      <c r="J787">
        <f t="shared" si="161"/>
        <v>2.1150000000000002</v>
      </c>
      <c r="K787" t="e">
        <f t="shared" si="162"/>
        <v>#N/A</v>
      </c>
      <c r="L787" t="e">
        <f t="shared" si="163"/>
        <v>#N/A</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Tower Escape</v>
      </c>
      <c r="B788">
        <f>IF($A788="","",games!$B788)</f>
        <v>2023</v>
      </c>
      <c r="C788" t="str">
        <f>IF($A788="","",games!$C788)</f>
        <v>Deckbuilder</v>
      </c>
      <c r="D788">
        <f>IF($A788="","",COUNTIF(connections!$A$2:$A$1400,$A788)+COUNTIF(connections!$B$2:$B$1400,$A788))</f>
        <v>2</v>
      </c>
      <c r="E788">
        <f t="shared" si="156"/>
        <v>3</v>
      </c>
      <c r="F788">
        <f t="shared" si="157"/>
        <v>6</v>
      </c>
      <c r="G788" t="e">
        <f t="shared" si="158"/>
        <v>#N/A</v>
      </c>
      <c r="H788" t="e">
        <f t="shared" si="159"/>
        <v>#N/A</v>
      </c>
      <c r="I788" t="e">
        <f t="shared" si="160"/>
        <v>#N/A</v>
      </c>
      <c r="J788" t="e">
        <f t="shared" si="161"/>
        <v>#N/A</v>
      </c>
      <c r="K788">
        <f t="shared" si="162"/>
        <v>2023</v>
      </c>
      <c r="L788">
        <f t="shared" si="163"/>
        <v>3.1379999999999999</v>
      </c>
      <c r="M788" t="e">
        <f t="shared" si="164"/>
        <v>#N/A</v>
      </c>
      <c r="N788" t="e">
        <f t="shared" si="165"/>
        <v>#N/A</v>
      </c>
      <c r="O788">
        <f t="shared" si="166"/>
        <v>2.000788</v>
      </c>
      <c r="P788" t="str">
        <f>IF(OR($A788="",games!$H788=""),"",games!$H788)</f>
        <v>Yes</v>
      </c>
      <c r="Q788">
        <f t="shared" si="167"/>
        <v>2.000788</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Tower Factory</v>
      </c>
      <c r="B789">
        <f>IF($A789="","",games!$B789)</f>
        <v>2024</v>
      </c>
      <c r="C789" t="str">
        <f>IF($A789="","",games!$C789)</f>
        <v>Strategy</v>
      </c>
      <c r="D789">
        <f>IF($A789="","",COUNTIF(connections!$A$2:$A$1400,$A789)+COUNTIF(connections!$B$2:$B$1400,$A789))</f>
        <v>2</v>
      </c>
      <c r="E789">
        <f t="shared" si="156"/>
        <v>2</v>
      </c>
      <c r="F789">
        <f t="shared" si="157"/>
        <v>7</v>
      </c>
      <c r="G789" t="e">
        <f t="shared" si="158"/>
        <v>#N/A</v>
      </c>
      <c r="H789" t="e">
        <f t="shared" si="159"/>
        <v>#N/A</v>
      </c>
      <c r="I789">
        <f t="shared" si="160"/>
        <v>2024</v>
      </c>
      <c r="J789">
        <f t="shared" si="161"/>
        <v>2.161</v>
      </c>
      <c r="K789" t="e">
        <f t="shared" si="162"/>
        <v>#N/A</v>
      </c>
      <c r="L789" t="e">
        <f t="shared" si="163"/>
        <v>#N/A</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Tower Fortress</v>
      </c>
      <c r="B790">
        <f>IF($A790="","",games!$B790)</f>
        <v>2017</v>
      </c>
      <c r="C790" t="str">
        <f>IF($A790="","",games!$C790)</f>
        <v>Action</v>
      </c>
      <c r="D790">
        <f>IF($A790="","",COUNTIF(connections!$A$2:$A$1400,$A790)+COUNTIF(connections!$B$2:$B$1400,$A790))</f>
        <v>1</v>
      </c>
      <c r="E790">
        <f t="shared" si="156"/>
        <v>1</v>
      </c>
      <c r="F790">
        <f t="shared" si="157"/>
        <v>8</v>
      </c>
      <c r="G790">
        <f t="shared" si="158"/>
        <v>2017</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Tower of Guns</v>
      </c>
      <c r="B791">
        <f>IF($A791="","",games!$B791)</f>
        <v>2014</v>
      </c>
      <c r="C791" t="str">
        <f>IF($A791="","",games!$C791)</f>
        <v>Action</v>
      </c>
      <c r="D791">
        <f>IF($A791="","",COUNTIF(connections!$A$2:$A$1400,$A791)+COUNTIF(connections!$B$2:$B$1400,$A791))</f>
        <v>2</v>
      </c>
      <c r="E791">
        <f t="shared" si="156"/>
        <v>1</v>
      </c>
      <c r="F791">
        <f t="shared" si="157"/>
        <v>9</v>
      </c>
      <c r="G791">
        <f t="shared" si="158"/>
        <v>2014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2.000791</v>
      </c>
      <c r="P791" t="str">
        <f>IF(OR($A791="",games!$H791=""),"",games!$H791)</f>
        <v>Yes</v>
      </c>
      <c r="Q791">
        <f t="shared" si="167"/>
        <v>2.000791</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Tower Tactics: Liberation</v>
      </c>
      <c r="B792">
        <f>IF($A792="","",games!$B792)</f>
        <v>2021</v>
      </c>
      <c r="C792" t="str">
        <f>IF($A792="","",games!$C792)</f>
        <v>Deckbuilder</v>
      </c>
      <c r="D792">
        <f>IF($A792="","",COUNTIF(connections!$A$2:$A$1400,$A792)+COUNTIF(connections!$B$2:$B$1400,$A792))</f>
        <v>3</v>
      </c>
      <c r="E792">
        <f t="shared" si="156"/>
        <v>3</v>
      </c>
      <c r="F792">
        <f t="shared" si="157"/>
        <v>10</v>
      </c>
      <c r="G792" t="e">
        <f t="shared" si="158"/>
        <v>#N/A</v>
      </c>
      <c r="H792" t="e">
        <f t="shared" si="159"/>
        <v>#N/A</v>
      </c>
      <c r="I792" t="e">
        <f t="shared" si="160"/>
        <v>#N/A</v>
      </c>
      <c r="J792" t="e">
        <f t="shared" si="161"/>
        <v>#N/A</v>
      </c>
      <c r="K792">
        <f t="shared" si="162"/>
        <v>2021</v>
      </c>
      <c r="L792">
        <f t="shared" si="163"/>
        <v>3.23</v>
      </c>
      <c r="M792" t="e">
        <f t="shared" si="164"/>
        <v>#N/A</v>
      </c>
      <c r="N792" t="e">
        <f t="shared" si="165"/>
        <v>#N/A</v>
      </c>
      <c r="O792">
        <f t="shared" si="166"/>
        <v>3.0007920000000001</v>
      </c>
      <c r="P792" t="str">
        <f>IF(OR($A792="",games!$H792=""),"",games!$H792)</f>
        <v>Yes</v>
      </c>
      <c r="Q792">
        <f t="shared" si="167"/>
        <v>3.0007920000000001</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Toy Smash Kaboom!</v>
      </c>
      <c r="B793">
        <f>IF($A793="","",games!$B793)</f>
        <v>2025</v>
      </c>
      <c r="C793" t="str">
        <f>IF($A793="","",games!$C793)</f>
        <v>Deckbuilder</v>
      </c>
      <c r="D793">
        <f>IF($A793="","",COUNTIF(connections!$A$2:$A$1400,$A793)+COUNTIF(connections!$B$2:$B$1400,$A793))</f>
        <v>1</v>
      </c>
      <c r="E793">
        <f t="shared" si="156"/>
        <v>3</v>
      </c>
      <c r="F793">
        <f t="shared" si="157"/>
        <v>11</v>
      </c>
      <c r="G793" t="e">
        <f t="shared" si="158"/>
        <v>#N/A</v>
      </c>
      <c r="H793" t="e">
        <f t="shared" si="159"/>
        <v>#N/A</v>
      </c>
      <c r="I793" t="e">
        <f t="shared" si="160"/>
        <v>#N/A</v>
      </c>
      <c r="J793" t="e">
        <f t="shared" si="161"/>
        <v>#N/A</v>
      </c>
      <c r="K793">
        <f t="shared" si="162"/>
        <v>2025</v>
      </c>
      <c r="L793">
        <f t="shared" si="163"/>
        <v>3.2530000000000001</v>
      </c>
      <c r="M793" t="e">
        <f t="shared" si="164"/>
        <v>#N/A</v>
      </c>
      <c r="N793" t="e">
        <f t="shared" si="165"/>
        <v>#N/A</v>
      </c>
      <c r="O793">
        <f t="shared" si="166"/>
        <v>1.000793</v>
      </c>
      <c r="P793" t="str">
        <f>IF(OR($A793="",games!$H793=""),"",games!$H793)</f>
        <v/>
      </c>
      <c r="Q793" t="str">
        <f t="shared" si="167"/>
        <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Trials of Fire</v>
      </c>
      <c r="B794">
        <f>IF($A794="","",games!$B794)</f>
        <v>2019</v>
      </c>
      <c r="C794" t="str">
        <f>IF($A794="","",games!$C794)</f>
        <v>Deckbuilder</v>
      </c>
      <c r="D794">
        <f>IF($A794="","",COUNTIF(connections!$A$2:$A$1400,$A794)+COUNTIF(connections!$B$2:$B$1400,$A794))</f>
        <v>1</v>
      </c>
      <c r="E794">
        <f t="shared" si="156"/>
        <v>3</v>
      </c>
      <c r="F794">
        <f t="shared" si="157"/>
        <v>12</v>
      </c>
      <c r="G794" t="e">
        <f t="shared" si="158"/>
        <v>#N/A</v>
      </c>
      <c r="H794" t="e">
        <f t="shared" si="159"/>
        <v>#N/A</v>
      </c>
      <c r="I794" t="e">
        <f t="shared" si="160"/>
        <v>#N/A</v>
      </c>
      <c r="J794" t="e">
        <f t="shared" si="161"/>
        <v>#N/A</v>
      </c>
      <c r="K794">
        <f t="shared" si="162"/>
        <v>2019</v>
      </c>
      <c r="L794">
        <f t="shared" si="163"/>
        <v>3.2759999999999998</v>
      </c>
      <c r="M794" t="e">
        <f t="shared" si="164"/>
        <v>#N/A</v>
      </c>
      <c r="N794" t="e">
        <f t="shared" si="165"/>
        <v>#N/A</v>
      </c>
      <c r="O794">
        <f t="shared" si="166"/>
        <v>1.000794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TumbleSeed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Turnbound</v>
      </c>
      <c r="B796">
        <f>IF($A796="","",games!$B796)</f>
        <v>2026</v>
      </c>
      <c r="C796" t="str">
        <f>IF($A796="","",games!$C796)</f>
        <v>Deckbuilder</v>
      </c>
      <c r="D796">
        <f>IF($A796="","",COUNTIF(connections!$A$2:$A$1400,$A796)+COUNTIF(connections!$B$2:$B$1400,$A796))</f>
        <v>2</v>
      </c>
      <c r="E796">
        <f t="shared" si="156"/>
        <v>3</v>
      </c>
      <c r="F796">
        <f t="shared" si="157"/>
        <v>14</v>
      </c>
      <c r="G796" t="e">
        <f t="shared" si="158"/>
        <v>#N/A</v>
      </c>
      <c r="H796" t="e">
        <f t="shared" si="159"/>
        <v>#N/A</v>
      </c>
      <c r="I796" t="e">
        <f t="shared" si="160"/>
        <v>#N/A</v>
      </c>
      <c r="J796" t="e">
        <f t="shared" si="161"/>
        <v>#N/A</v>
      </c>
      <c r="K796">
        <f t="shared" si="162"/>
        <v>2026</v>
      </c>
      <c r="L796">
        <f t="shared" si="163"/>
        <v>3.3220000000000001</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Tyrant's Realm</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Ultima Ratio Regum</v>
      </c>
      <c r="B798">
        <f>IF($A798="","",games!$B798)</f>
        <v>2012</v>
      </c>
      <c r="C798" t="str">
        <f>IF($A798="","",games!$C798)</f>
        <v>Traditional</v>
      </c>
      <c r="D798">
        <f>IF($A798="","",COUNTIF(connections!$A$2:$A$1400,$A798)+COUNTIF(connections!$B$2:$B$1400,$A798))</f>
        <v>2</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2012</v>
      </c>
      <c r="N798">
        <f t="shared" si="165"/>
        <v>4.3680000000000003</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Ultimate ADOM</v>
      </c>
      <c r="B799">
        <f>IF($A799="","",games!$B799)</f>
        <v>2021</v>
      </c>
      <c r="C799" t="str">
        <f>IF($A799="","",games!$C799)</f>
        <v>Traditional</v>
      </c>
      <c r="D799">
        <f>IF($A799="","",COUNTIF(connections!$A$2:$A$1400,$A799)+COUNTIF(connections!$B$2:$B$1400,$A799))</f>
        <v>1</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2021</v>
      </c>
      <c r="N799">
        <f t="shared" si="165"/>
        <v>4.391</v>
      </c>
      <c r="O799">
        <f t="shared" si="166"/>
        <v>1.000799</v>
      </c>
      <c r="P799" t="str">
        <f>IF(OR($A799="",games!$H799=""),"",games!$H799)</f>
        <v>Yes</v>
      </c>
      <c r="Q799">
        <f t="shared" si="167"/>
        <v>1.000799</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Ultrapool</v>
      </c>
      <c r="B800">
        <f>IF($A800="","",games!$B800)</f>
        <v>2026</v>
      </c>
      <c r="C800" t="str">
        <f>IF($A800="","",games!$C800)</f>
        <v>Deckbuilder</v>
      </c>
      <c r="D800">
        <f>IF($A800="","",COUNTIF(connections!$A$2:$A$1400,$A800)+COUNTIF(connections!$B$2:$B$1400,$A800))</f>
        <v>2</v>
      </c>
      <c r="E800">
        <f t="shared" si="156"/>
        <v>3</v>
      </c>
      <c r="F800">
        <f t="shared" si="157"/>
        <v>18</v>
      </c>
      <c r="G800" t="e">
        <f t="shared" si="158"/>
        <v>#N/A</v>
      </c>
      <c r="H800" t="e">
        <f t="shared" si="159"/>
        <v>#N/A</v>
      </c>
      <c r="I800" t="e">
        <f t="shared" si="160"/>
        <v>#N/A</v>
      </c>
      <c r="J800" t="e">
        <f t="shared" si="161"/>
        <v>#N/A</v>
      </c>
      <c r="K800">
        <f t="shared" si="162"/>
        <v>2026</v>
      </c>
      <c r="L800">
        <f t="shared" si="163"/>
        <v>3.4140000000000001</v>
      </c>
      <c r="M800" t="e">
        <f t="shared" si="164"/>
        <v>#N/A</v>
      </c>
      <c r="N800" t="e">
        <f t="shared" si="165"/>
        <v>#N/A</v>
      </c>
      <c r="O800">
        <f t="shared" si="166"/>
        <v>2.0007999999999999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Uma Musume: Pretty Derby</v>
      </c>
      <c r="B801">
        <f>IF($A801="","",games!$B801)</f>
        <v>2021</v>
      </c>
      <c r="C801" t="str">
        <f>IF($A801="","",games!$C801)</f>
        <v>Strategy</v>
      </c>
      <c r="D801">
        <f>IF($A801="","",COUNTIF(connections!$A$2:$A$1400,$A801)+COUNTIF(connections!$B$2:$B$1400,$A801))</f>
        <v>0</v>
      </c>
      <c r="E801">
        <f t="shared" si="156"/>
        <v>2</v>
      </c>
      <c r="F801">
        <f t="shared" si="157"/>
        <v>19</v>
      </c>
      <c r="G801" t="e">
        <f t="shared" si="158"/>
        <v>#N/A</v>
      </c>
      <c r="H801" t="e">
        <f t="shared" si="159"/>
        <v>#N/A</v>
      </c>
      <c r="I801">
        <f t="shared" si="160"/>
        <v>2021</v>
      </c>
      <c r="J801">
        <f t="shared" si="161"/>
        <v>2.4369999999999998</v>
      </c>
      <c r="K801" t="e">
        <f t="shared" si="162"/>
        <v>#N/A</v>
      </c>
      <c r="L801" t="e">
        <f t="shared" si="163"/>
        <v>#N/A</v>
      </c>
      <c r="M801" t="e">
        <f t="shared" si="164"/>
        <v>#N/A</v>
      </c>
      <c r="N801" t="e">
        <f t="shared" si="165"/>
        <v>#N/A</v>
      </c>
      <c r="O801">
        <f t="shared" si="166"/>
        <v>8.0099999999999995E-4</v>
      </c>
      <c r="P801" t="str">
        <f>IF(OR($A801="",games!$H801=""),"",games!$H801)</f>
        <v>Yes</v>
      </c>
      <c r="Q801">
        <f t="shared" si="167"/>
        <v>8.0099999999999995E-4</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Underdogs</v>
      </c>
      <c r="B802">
        <f>IF($A802="","",games!$B802)</f>
        <v>2024</v>
      </c>
      <c r="C802" t="str">
        <f>IF($A802="","",games!$C802)</f>
        <v>Action</v>
      </c>
      <c r="D802">
        <f>IF($A802="","",COUNTIF(connections!$A$2:$A$1400,$A802)+COUNTIF(connections!$B$2:$B$1400,$A802))</f>
        <v>0</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8.0199999999999998E-4</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UnderMine</v>
      </c>
      <c r="B803">
        <f>IF($A803="","",games!$B803)</f>
        <v>2019</v>
      </c>
      <c r="C803" t="str">
        <f>IF($A803="","",games!$C803)</f>
        <v>Action</v>
      </c>
      <c r="D803">
        <f>IF($A803="","",COUNTIF(connections!$A$2:$A$1400,$A803)+COUNTIF(connections!$B$2:$B$1400,$A803))</f>
        <v>5</v>
      </c>
      <c r="E803">
        <f t="shared" si="156"/>
        <v>1</v>
      </c>
      <c r="F803">
        <f t="shared" si="157"/>
        <v>21</v>
      </c>
      <c r="G803">
        <f t="shared" si="158"/>
        <v>2019</v>
      </c>
      <c r="H803">
        <f t="shared" si="159"/>
        <v>1.4830000000000001</v>
      </c>
      <c r="I803" t="e">
        <f t="shared" si="160"/>
        <v>#N/A</v>
      </c>
      <c r="J803" t="e">
        <f t="shared" si="161"/>
        <v>#N/A</v>
      </c>
      <c r="K803" t="e">
        <f t="shared" si="162"/>
        <v>#N/A</v>
      </c>
      <c r="L803" t="e">
        <f t="shared" si="163"/>
        <v>#N/A</v>
      </c>
      <c r="M803" t="e">
        <f t="shared" si="164"/>
        <v>#N/A</v>
      </c>
      <c r="N803" t="e">
        <f t="shared" si="165"/>
        <v>#N/A</v>
      </c>
      <c r="O803">
        <f t="shared" si="166"/>
        <v>5.0008030000000003</v>
      </c>
      <c r="P803" t="str">
        <f>IF(OR($A803="",games!$H803=""),"",games!$H803)</f>
        <v>Yes</v>
      </c>
      <c r="Q803">
        <f t="shared" si="167"/>
        <v>5.0008030000000003</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UnderMine 2</v>
      </c>
      <c r="B804">
        <f>IF($A804="","",games!$B804)</f>
        <v>2025</v>
      </c>
      <c r="C804" t="str">
        <f>IF($A804="","",games!$C804)</f>
        <v>Action</v>
      </c>
      <c r="D804">
        <f>IF($A804="","",COUNTIF(connections!$A$2:$A$1400,$A804)+COUNTIF(connections!$B$2:$B$1400,$A804))</f>
        <v>1</v>
      </c>
      <c r="E804">
        <f t="shared" si="156"/>
        <v>1</v>
      </c>
      <c r="F804">
        <f t="shared" si="157"/>
        <v>22</v>
      </c>
      <c r="G804">
        <f t="shared" si="158"/>
        <v>2025</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Unexplored</v>
      </c>
      <c r="B805">
        <f>IF($A805="","",games!$B805)</f>
        <v>2017</v>
      </c>
      <c r="C805" t="str">
        <f>IF($A805="","",games!$C805)</f>
        <v>Action</v>
      </c>
      <c r="D805">
        <f>IF($A805="","",COUNTIF(connections!$A$2:$A$1400,$A805)+COUNTIF(connections!$B$2:$B$1400,$A805))</f>
        <v>3</v>
      </c>
      <c r="E805">
        <f t="shared" si="156"/>
        <v>1</v>
      </c>
      <c r="F805">
        <f t="shared" si="157"/>
        <v>23</v>
      </c>
      <c r="G805">
        <f t="shared" si="158"/>
        <v>2017</v>
      </c>
      <c r="H805">
        <f t="shared" si="159"/>
        <v>1.5289999999999999</v>
      </c>
      <c r="I805" t="e">
        <f t="shared" si="160"/>
        <v>#N/A</v>
      </c>
      <c r="J805" t="e">
        <f t="shared" si="161"/>
        <v>#N/A</v>
      </c>
      <c r="K805" t="e">
        <f t="shared" si="162"/>
        <v>#N/A</v>
      </c>
      <c r="L805" t="e">
        <f t="shared" si="163"/>
        <v>#N/A</v>
      </c>
      <c r="M805" t="e">
        <f t="shared" si="164"/>
        <v>#N/A</v>
      </c>
      <c r="N805" t="e">
        <f t="shared" si="165"/>
        <v>#N/A</v>
      </c>
      <c r="O805">
        <f t="shared" si="166"/>
        <v>3.0008050000000002</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Unexplored 2: The Wayfarer's Legacy</v>
      </c>
      <c r="B806">
        <f>IF($A806="","",games!$B806)</f>
        <v>2022</v>
      </c>
      <c r="C806" t="str">
        <f>IF($A806="","",games!$C806)</f>
        <v>Action</v>
      </c>
      <c r="D806">
        <f>IF($A806="","",COUNTIF(connections!$A$2:$A$1400,$A806)+COUNTIF(connections!$B$2:$B$1400,$A806))</f>
        <v>1</v>
      </c>
      <c r="E806">
        <f t="shared" si="156"/>
        <v>1</v>
      </c>
      <c r="F806">
        <f t="shared" si="157"/>
        <v>24</v>
      </c>
      <c r="G806">
        <f t="shared" si="158"/>
        <v>2022</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UnReal World</v>
      </c>
      <c r="B807">
        <f>IF($A807="","",games!$B807)</f>
        <v>1992</v>
      </c>
      <c r="C807" t="str">
        <f>IF($A807="","",games!$C807)</f>
        <v>Traditional</v>
      </c>
      <c r="D807">
        <f>IF($A807="","",COUNTIF(connections!$A$2:$A$1400,$A807)+COUNTIF(connections!$B$2:$B$1400,$A807))</f>
        <v>3</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1992</v>
      </c>
      <c r="N807">
        <f t="shared" si="165"/>
        <v>4.5750000000000002</v>
      </c>
      <c r="O807">
        <f t="shared" si="166"/>
        <v>3.000807</v>
      </c>
      <c r="P807" t="str">
        <f>IF(OR($A807="",games!$H807=""),"",games!$H807)</f>
        <v>Yes</v>
      </c>
      <c r="Q807">
        <f t="shared" si="167"/>
        <v>3.000807</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Vagante</v>
      </c>
      <c r="B808">
        <f>IF($A808="","",games!$B808)</f>
        <v>2018</v>
      </c>
      <c r="C808" t="str">
        <f>IF($A808="","",games!$C808)</f>
        <v>Action</v>
      </c>
      <c r="D808">
        <f>IF($A808="","",COUNTIF(connections!$A$2:$A$1400,$A808)+COUNTIF(connections!$B$2:$B$1400,$A808))</f>
        <v>2</v>
      </c>
      <c r="E808">
        <f t="shared" si="156"/>
        <v>1</v>
      </c>
      <c r="F808">
        <f t="shared" si="157"/>
        <v>26</v>
      </c>
      <c r="G808">
        <f t="shared" si="158"/>
        <v>2018</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Vampire Crawlers</v>
      </c>
      <c r="B809">
        <f>IF($A809="","",games!$B809)</f>
        <v>2026</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Vampire Hunters</v>
      </c>
      <c r="B810">
        <f>IF($A810="","",games!$B810)</f>
        <v>2023</v>
      </c>
      <c r="C810" t="str">
        <f>IF($A810="","",games!$C810)</f>
        <v>Action</v>
      </c>
      <c r="D810">
        <f>IF($A810="","",COUNTIF(connections!$A$2:$A$1400,$A810)+COUNTIF(connections!$B$2:$B$1400,$A810))</f>
        <v>1</v>
      </c>
      <c r="E810">
        <f t="shared" si="156"/>
        <v>1</v>
      </c>
      <c r="F810">
        <f t="shared" si="157"/>
        <v>28</v>
      </c>
      <c r="G810">
        <f t="shared" si="158"/>
        <v>2023</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Yes</v>
      </c>
      <c r="Q810">
        <f t="shared" si="167"/>
        <v>1.00081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Vampire Survivors</v>
      </c>
      <c r="B811">
        <f>IF($A811="","",games!$B811)</f>
        <v>2021</v>
      </c>
      <c r="C811" t="str">
        <f>IF($A811="","",games!$C811)</f>
        <v>Action</v>
      </c>
      <c r="D811">
        <f>IF($A811="","",COUNTIF(connections!$A$2:$A$1400,$A811)+COUNTIF(connections!$B$2:$B$1400,$A811))</f>
        <v>89</v>
      </c>
      <c r="E811">
        <f t="shared" si="156"/>
        <v>1</v>
      </c>
      <c r="F811">
        <f t="shared" si="157"/>
        <v>29</v>
      </c>
      <c r="G811">
        <f t="shared" si="158"/>
        <v>2021</v>
      </c>
      <c r="H811">
        <f t="shared" si="159"/>
        <v>1.667</v>
      </c>
      <c r="I811" t="e">
        <f t="shared" si="160"/>
        <v>#N/A</v>
      </c>
      <c r="J811" t="e">
        <f t="shared" si="161"/>
        <v>#N/A</v>
      </c>
      <c r="K811" t="e">
        <f t="shared" si="162"/>
        <v>#N/A</v>
      </c>
      <c r="L811" t="e">
        <f t="shared" si="163"/>
        <v>#N/A</v>
      </c>
      <c r="M811" t="e">
        <f t="shared" si="164"/>
        <v>#N/A</v>
      </c>
      <c r="N811" t="e">
        <f t="shared" si="165"/>
        <v>#N/A</v>
      </c>
      <c r="O811">
        <f t="shared" si="166"/>
        <v>89.000810999999999</v>
      </c>
      <c r="P811" t="str">
        <f>IF(OR($A811="",games!$H811=""),"",games!$H811)</f>
        <v>Yes</v>
      </c>
      <c r="Q811">
        <f t="shared" si="167"/>
        <v>89.000810999999999</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Vault of the Void</v>
      </c>
      <c r="B812">
        <f>IF($A812="","",games!$B812)</f>
        <v>2020</v>
      </c>
      <c r="C812" t="str">
        <f>IF($A812="","",games!$C812)</f>
        <v>Deckbuilder</v>
      </c>
      <c r="D812">
        <f>IF($A812="","",COUNTIF(connections!$A$2:$A$1400,$A812)+COUNTIF(connections!$B$2:$B$1400,$A812))</f>
        <v>1</v>
      </c>
      <c r="E812">
        <f t="shared" si="156"/>
        <v>3</v>
      </c>
      <c r="F812">
        <f t="shared" si="157"/>
        <v>30</v>
      </c>
      <c r="G812" t="e">
        <f t="shared" si="158"/>
        <v>#N/A</v>
      </c>
      <c r="H812" t="e">
        <f t="shared" si="159"/>
        <v>#N/A</v>
      </c>
      <c r="I812" t="e">
        <f t="shared" si="160"/>
        <v>#N/A</v>
      </c>
      <c r="J812" t="e">
        <f t="shared" si="161"/>
        <v>#N/A</v>
      </c>
      <c r="K812">
        <f t="shared" si="162"/>
        <v>2020</v>
      </c>
      <c r="L812">
        <f t="shared" si="163"/>
        <v>3.69</v>
      </c>
      <c r="M812" t="e">
        <f t="shared" si="164"/>
        <v>#N/A</v>
      </c>
      <c r="N812" t="e">
        <f t="shared" si="165"/>
        <v>#N/A</v>
      </c>
      <c r="O812">
        <f t="shared" si="166"/>
        <v>1.000812</v>
      </c>
      <c r="P812" t="str">
        <f>IF(OR($A812="",games!$H812=""),"",games!$H812)</f>
        <v>Yes</v>
      </c>
      <c r="Q812">
        <f t="shared" si="167"/>
        <v>1.000812</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Vellum</v>
      </c>
      <c r="B813">
        <f>IF($A813="","",games!$B813)</f>
        <v>2024</v>
      </c>
      <c r="C813" t="str">
        <f>IF($A813="","",games!$C813)</f>
        <v>Action</v>
      </c>
      <c r="D813">
        <f>IF($A813="","",COUNTIF(connections!$A$2:$A$1400,$A813)+COUNTIF(connections!$B$2:$B$1400,$A813))</f>
        <v>6</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6.000813</v>
      </c>
      <c r="P813" t="str">
        <f>IF(OR($A813="",games!$H813=""),"",games!$H813)</f>
        <v/>
      </c>
      <c r="Q813" t="str">
        <f t="shared" si="167"/>
        <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Vital Shell</v>
      </c>
      <c r="B814">
        <f>IF($A814="","",games!$B814)</f>
        <v>2026</v>
      </c>
      <c r="C814" t="str">
        <f>IF($A814="","",games!$C814)</f>
        <v>Action</v>
      </c>
      <c r="D814">
        <f>IF($A814="","",COUNTIF(connections!$A$2:$A$1400,$A814)+COUNTIF(connections!$B$2:$B$1400,$A814))</f>
        <v>1</v>
      </c>
      <c r="E814">
        <f t="shared" si="156"/>
        <v>1</v>
      </c>
      <c r="F814">
        <f t="shared" si="157"/>
        <v>32</v>
      </c>
      <c r="G814">
        <f t="shared" si="158"/>
        <v>2026</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Vivid Knight</v>
      </c>
      <c r="B815">
        <f>IF($A815="","",games!$B815)</f>
        <v>2021</v>
      </c>
      <c r="C815" t="str">
        <f>IF($A815="","",games!$C815)</f>
        <v>Deckbuilder</v>
      </c>
      <c r="D815">
        <f>IF($A815="","",COUNTIF(connections!$A$2:$A$1400,$A815)+COUNTIF(connections!$B$2:$B$1400,$A815))</f>
        <v>4</v>
      </c>
      <c r="E815">
        <f t="shared" si="156"/>
        <v>3</v>
      </c>
      <c r="F815">
        <f t="shared" si="157"/>
        <v>33</v>
      </c>
      <c r="G815" t="e">
        <f t="shared" si="158"/>
        <v>#N/A</v>
      </c>
      <c r="H815" t="e">
        <f t="shared" si="159"/>
        <v>#N/A</v>
      </c>
      <c r="I815" t="e">
        <f t="shared" si="160"/>
        <v>#N/A</v>
      </c>
      <c r="J815" t="e">
        <f t="shared" si="161"/>
        <v>#N/A</v>
      </c>
      <c r="K815">
        <f t="shared" si="162"/>
        <v>2021</v>
      </c>
      <c r="L815">
        <f t="shared" si="163"/>
        <v>3.7589999999999999</v>
      </c>
      <c r="M815" t="e">
        <f t="shared" si="164"/>
        <v>#N/A</v>
      </c>
      <c r="N815" t="e">
        <f t="shared" si="165"/>
        <v>#N/A</v>
      </c>
      <c r="O815">
        <f t="shared" si="166"/>
        <v>4.0008150000000002</v>
      </c>
      <c r="P815" t="str">
        <f>IF(OR($A815="",games!$H815=""),"",games!$H815)</f>
        <v/>
      </c>
      <c r="Q815" t="str">
        <f t="shared" si="167"/>
        <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Vivid World</v>
      </c>
      <c r="B816">
        <f>IF($A816="","",games!$B816)</f>
        <v>2025</v>
      </c>
      <c r="C816" t="str">
        <f>IF($A816="","",games!$C816)</f>
        <v>Deckbuilder</v>
      </c>
      <c r="D816">
        <f>IF($A816="","",COUNTIF(connections!$A$2:$A$1400,$A816)+COUNTIF(connections!$B$2:$B$1400,$A816))</f>
        <v>1</v>
      </c>
      <c r="E816">
        <f t="shared" si="156"/>
        <v>3</v>
      </c>
      <c r="F816">
        <f t="shared" si="157"/>
        <v>0</v>
      </c>
      <c r="G816" t="e">
        <f t="shared" si="158"/>
        <v>#N/A</v>
      </c>
      <c r="H816" t="e">
        <f t="shared" si="159"/>
        <v>#N/A</v>
      </c>
      <c r="I816" t="e">
        <f t="shared" si="160"/>
        <v>#N/A</v>
      </c>
      <c r="J816" t="e">
        <f t="shared" si="161"/>
        <v>#N/A</v>
      </c>
      <c r="K816">
        <f t="shared" si="162"/>
        <v>2025</v>
      </c>
      <c r="L816">
        <f t="shared" si="163"/>
        <v>3</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Voice of Belldona</v>
      </c>
      <c r="B817">
        <f>IF($A817="","",games!$B817)</f>
        <v>2026</v>
      </c>
      <c r="C817" t="str">
        <f>IF($A817="","",games!$C817)</f>
        <v>Deckbuilder</v>
      </c>
      <c r="D817">
        <f>IF($A817="","",COUNTIF(connections!$A$2:$A$1400,$A817)+COUNTIF(connections!$B$2:$B$1400,$A817))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Void Bastards</v>
      </c>
      <c r="B818">
        <f>IF($A818="","",games!$B818)</f>
        <v>2019</v>
      </c>
      <c r="C818" t="str">
        <f>IF($A818="","",games!$C818)</f>
        <v>Action</v>
      </c>
      <c r="D818">
        <f>IF($A818="","",COUNTIF(connections!$A$2:$A$1400,$A818)+COUNTIF(connections!$B$2:$B$1400,$A818))</f>
        <v>2</v>
      </c>
      <c r="E818">
        <f t="shared" si="156"/>
        <v>1</v>
      </c>
      <c r="F818">
        <f t="shared" si="157"/>
        <v>2</v>
      </c>
      <c r="G818">
        <f t="shared" si="158"/>
        <v>2019</v>
      </c>
      <c r="H818">
        <f t="shared" si="159"/>
        <v>1.046</v>
      </c>
      <c r="I818" t="e">
        <f t="shared" si="160"/>
        <v>#N/A</v>
      </c>
      <c r="J818" t="e">
        <f t="shared" si="161"/>
        <v>#N/A</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Void Scrappers</v>
      </c>
      <c r="B819">
        <f>IF($A819="","",games!$B819)</f>
        <v>2022</v>
      </c>
      <c r="C819" t="str">
        <f>IF($A819="","",games!$C819)</f>
        <v>Action</v>
      </c>
      <c r="D819">
        <f>IF($A819="","",COUNTIF(connections!$A$2:$A$1400,$A819)+COUNTIF(connections!$B$2:$B$1400,$A819))</f>
        <v>2</v>
      </c>
      <c r="E819">
        <f t="shared" si="156"/>
        <v>1</v>
      </c>
      <c r="F819">
        <f t="shared" si="157"/>
        <v>3</v>
      </c>
      <c r="G819">
        <f t="shared" si="158"/>
        <v>2022</v>
      </c>
      <c r="H819">
        <f t="shared" si="159"/>
        <v>1.069</v>
      </c>
      <c r="I819" t="e">
        <f t="shared" si="160"/>
        <v>#N/A</v>
      </c>
      <c r="J819" t="e">
        <f t="shared" si="161"/>
        <v>#N/A</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Void War</v>
      </c>
      <c r="B820">
        <f>IF($A820="","",games!$B820)</f>
        <v>2024</v>
      </c>
      <c r="C820" t="str">
        <f>IF($A820="","",games!$C820)</f>
        <v>Strategy</v>
      </c>
      <c r="D820">
        <f>IF($A820="","",COUNTIF(connections!$A$2:$A$1400,$A820)+COUNTIF(connections!$B$2:$B$1400,$A820))</f>
        <v>2</v>
      </c>
      <c r="E820">
        <f t="shared" si="156"/>
        <v>2</v>
      </c>
      <c r="F820">
        <f t="shared" si="157"/>
        <v>4</v>
      </c>
      <c r="G820" t="e">
        <f t="shared" si="158"/>
        <v>#N/A</v>
      </c>
      <c r="H820" t="e">
        <f t="shared" si="159"/>
        <v>#N/A</v>
      </c>
      <c r="I820">
        <f t="shared" si="160"/>
        <v>2024</v>
      </c>
      <c r="J820">
        <f t="shared" si="161"/>
        <v>2.0920000000000001</v>
      </c>
      <c r="K820" t="e">
        <f t="shared" si="162"/>
        <v>#N/A</v>
      </c>
      <c r="L820" t="e">
        <f t="shared" si="163"/>
        <v>#N/A</v>
      </c>
      <c r="M820" t="e">
        <f t="shared" si="164"/>
        <v>#N/A</v>
      </c>
      <c r="N820" t="e">
        <f t="shared" si="165"/>
        <v>#N/A</v>
      </c>
      <c r="O820">
        <f t="shared" si="166"/>
        <v>2.00082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Voidigo</v>
      </c>
      <c r="B821">
        <f>IF($A821="","",games!$B821)</f>
        <v>2023</v>
      </c>
      <c r="C821" t="str">
        <f>IF($A821="","",games!$C821)</f>
        <v>Action</v>
      </c>
      <c r="D821">
        <f>IF($A821="","",COUNTIF(connections!$A$2:$A$1400,$A821)+COUNTIF(connections!$B$2:$B$1400,$A821))</f>
        <v>1</v>
      </c>
      <c r="E821">
        <f t="shared" si="156"/>
        <v>1</v>
      </c>
      <c r="F821">
        <f t="shared" si="157"/>
        <v>5</v>
      </c>
      <c r="G821">
        <f t="shared" si="158"/>
        <v>2023</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Voids Vigil</v>
      </c>
      <c r="B822">
        <f>IF($A822="","",games!$B822)</f>
        <v>2024</v>
      </c>
      <c r="C822" t="str">
        <f>IF($A822="","",games!$C822)</f>
        <v>Action</v>
      </c>
      <c r="D822">
        <f>IF($A822="","",COUNTIF(connections!$A$2:$A$1400,$A822)+COUNTIF(connections!$B$2:$B$1400,$A822))</f>
        <v>2</v>
      </c>
      <c r="E822">
        <f t="shared" si="156"/>
        <v>1</v>
      </c>
      <c r="F822">
        <f t="shared" si="157"/>
        <v>6</v>
      </c>
      <c r="G822">
        <f t="shared" si="158"/>
        <v>2024</v>
      </c>
      <c r="H822">
        <f t="shared" si="159"/>
        <v>1.1379999999999999</v>
      </c>
      <c r="I822" t="e">
        <f t="shared" si="160"/>
        <v>#N/A</v>
      </c>
      <c r="J822" t="e">
        <f t="shared" si="161"/>
        <v>#N/A</v>
      </c>
      <c r="K822" t="e">
        <f t="shared" si="162"/>
        <v>#N/A</v>
      </c>
      <c r="L822" t="e">
        <f t="shared" si="163"/>
        <v>#N/A</v>
      </c>
      <c r="M822" t="e">
        <f t="shared" si="164"/>
        <v>#N/A</v>
      </c>
      <c r="N822" t="e">
        <f t="shared" si="165"/>
        <v>#N/A</v>
      </c>
      <c r="O822">
        <f t="shared" si="166"/>
        <v>2.0008219999999999</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Voin</v>
      </c>
      <c r="B823">
        <f>IF($A823="","",games!$B823)</f>
        <v>2024</v>
      </c>
      <c r="C823" t="str">
        <f>IF($A823="","",games!$C823)</f>
        <v>Action</v>
      </c>
      <c r="D823">
        <f>IF($A823="","",COUNTIF(connections!$A$2:$A$1400,$A823)+COUNTIF(connections!$B$2:$B$1400,$A823))</f>
        <v>1</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Waku Waku Puyo Puyo Dungeon</v>
      </c>
      <c r="B824">
        <f>IF($A824="","",games!$B824)</f>
        <v>1998</v>
      </c>
      <c r="C824" t="str">
        <f>IF($A824="","",games!$C824)</f>
        <v>Traditional</v>
      </c>
      <c r="D824">
        <f>IF($A824="","",COUNTIF(connections!$A$2:$A$1400,$A824)+COUNTIF(connections!$B$2:$B$1400,$A824))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1998</v>
      </c>
      <c r="N824">
        <f t="shared" si="165"/>
        <v>4.1840000000000002</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Wall World</v>
      </c>
      <c r="B825">
        <f>IF($A825="","",games!$B825)</f>
        <v>2023</v>
      </c>
      <c r="C825" t="str">
        <f>IF($A825="","",games!$C825)</f>
        <v>Strategy</v>
      </c>
      <c r="D825">
        <f>IF($A825="","",COUNTIF(connections!$A$2:$A$1400,$A825)+COUNTIF(connections!$B$2:$B$1400,$A825))</f>
        <v>2</v>
      </c>
      <c r="E825">
        <f t="shared" si="156"/>
        <v>2</v>
      </c>
      <c r="F825">
        <f t="shared" si="157"/>
        <v>9</v>
      </c>
      <c r="G825" t="e">
        <f t="shared" si="158"/>
        <v>#N/A</v>
      </c>
      <c r="H825" t="e">
        <f t="shared" si="159"/>
        <v>#N/A</v>
      </c>
      <c r="I825">
        <f t="shared" si="160"/>
        <v>2023</v>
      </c>
      <c r="J825">
        <f t="shared" si="161"/>
        <v>2.2069999999999999</v>
      </c>
      <c r="K825" t="e">
        <f t="shared" si="162"/>
        <v>#N/A</v>
      </c>
      <c r="L825" t="e">
        <f t="shared" si="163"/>
        <v>#N/A</v>
      </c>
      <c r="M825" t="e">
        <f t="shared" si="164"/>
        <v>#N/A</v>
      </c>
      <c r="N825" t="e">
        <f t="shared" si="165"/>
        <v>#N/A</v>
      </c>
      <c r="O825">
        <f t="shared" si="166"/>
        <v>2.0008249999999999</v>
      </c>
      <c r="P825" t="str">
        <f>IF(OR($A825="",games!$H825=""),"",games!$H825)</f>
        <v>Yes</v>
      </c>
      <c r="Q825">
        <f t="shared" si="167"/>
        <v>2.0008249999999999</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Wall World 2</v>
      </c>
      <c r="B826">
        <f>IF($A826="","",games!$B826)</f>
        <v>2025</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2025</v>
      </c>
      <c r="J826">
        <f t="shared" si="161"/>
        <v>2.23</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Wanderburg</v>
      </c>
      <c r="B827">
        <f>IF($A827="","",games!$B827)</f>
        <v>2026</v>
      </c>
      <c r="C827" t="str">
        <f>IF($A827="","",games!$C827)</f>
        <v>Action</v>
      </c>
      <c r="D827">
        <f>IF($A827="","",COUNTIF(connections!$A$2:$A$1400,$A827)+COUNTIF(connections!$B$2:$B$1400,$A827))</f>
        <v>2</v>
      </c>
      <c r="E827">
        <f t="shared" si="156"/>
        <v>1</v>
      </c>
      <c r="F827">
        <f t="shared" si="157"/>
        <v>11</v>
      </c>
      <c r="G827">
        <f t="shared" si="158"/>
        <v>2026</v>
      </c>
      <c r="H827">
        <f t="shared" si="159"/>
        <v>1.2530000000000001</v>
      </c>
      <c r="I827" t="e">
        <f t="shared" si="160"/>
        <v>#N/A</v>
      </c>
      <c r="J827" t="e">
        <f t="shared" si="161"/>
        <v>#N/A</v>
      </c>
      <c r="K827" t="e">
        <f t="shared" si="162"/>
        <v>#N/A</v>
      </c>
      <c r="L827" t="e">
        <f t="shared" si="163"/>
        <v>#N/A</v>
      </c>
      <c r="M827" t="e">
        <f t="shared" si="164"/>
        <v>#N/A</v>
      </c>
      <c r="N827" t="e">
        <f t="shared" si="165"/>
        <v>#N/A</v>
      </c>
      <c r="O827">
        <f t="shared" si="166"/>
        <v>2.0008270000000001</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Warhammer Survivors</v>
      </c>
      <c r="B828">
        <f>IF($A828="","",games!$B828)</f>
        <v>2026</v>
      </c>
      <c r="C828" t="str">
        <f>IF($A828="","",games!$C828)</f>
        <v>Action</v>
      </c>
      <c r="D828">
        <f>IF($A828="","",COUNTIF(connections!$A$2:$A$1400,$A828)+COUNTIF(connections!$B$2:$B$1400,$A828))</f>
        <v>1</v>
      </c>
      <c r="E828">
        <f t="shared" si="156"/>
        <v>1</v>
      </c>
      <c r="F828">
        <f t="shared" si="157"/>
        <v>12</v>
      </c>
      <c r="G828">
        <f t="shared" si="158"/>
        <v>2026</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WarpVector</v>
      </c>
      <c r="B829">
        <f>IF($A829="","",games!$B829)</f>
        <v>2023</v>
      </c>
      <c r="C829" t="str">
        <f>IF($A829="","",games!$C829)</f>
        <v>Traditional</v>
      </c>
      <c r="D829">
        <f>IF($A829="","",COUNTIF(connections!$A$2:$A$1400,$A829)+COUNTIF(connections!$B$2:$B$1400,$A829))</f>
        <v>2</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2023</v>
      </c>
      <c r="N829">
        <f t="shared" si="165"/>
        <v>4.2990000000000004</v>
      </c>
      <c r="O829">
        <f t="shared" si="166"/>
        <v>2.000829</v>
      </c>
      <c r="P829" t="str">
        <f>IF(OR($A829="",games!$H829=""),"",games!$H829)</f>
        <v/>
      </c>
      <c r="Q829" t="str">
        <f t="shared" si="167"/>
        <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Warriors: Abyss</v>
      </c>
      <c r="B830">
        <f>IF($A830="","",games!$B830)</f>
        <v>2025</v>
      </c>
      <c r="C830" t="str">
        <f>IF($A830="","",games!$C830)</f>
        <v>Action</v>
      </c>
      <c r="D830">
        <f>IF($A830="","",COUNTIF(connections!$A$2:$A$1400,$A830)+COUNTIF(connections!$B$2:$B$1400,$A830))</f>
        <v>1</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Warsim: The Realm of Aslona</v>
      </c>
      <c r="B831">
        <f>IF($A831="","",games!$B831)</f>
        <v>2017</v>
      </c>
      <c r="C831" t="str">
        <f>IF($A831="","",games!$C831)</f>
        <v>Strategy</v>
      </c>
      <c r="D831">
        <f>IF($A831="","",COUNTIF(connections!$A$2:$A$1400,$A831)+COUNTIF(connections!$B$2:$B$1400,$A831))</f>
        <v>1</v>
      </c>
      <c r="E831">
        <f t="shared" si="156"/>
        <v>2</v>
      </c>
      <c r="F831">
        <f t="shared" si="157"/>
        <v>15</v>
      </c>
      <c r="G831" t="e">
        <f t="shared" si="158"/>
        <v>#N/A</v>
      </c>
      <c r="H831" t="e">
        <f t="shared" si="159"/>
        <v>#N/A</v>
      </c>
      <c r="I831">
        <f t="shared" si="160"/>
        <v>2017</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Wayward</v>
      </c>
      <c r="B832">
        <f>IF($A832="","",games!$B832)</f>
        <v>2011</v>
      </c>
      <c r="C832" t="str">
        <f>IF($A832="","",games!$C832)</f>
        <v>Traditional</v>
      </c>
      <c r="D832">
        <f>IF($A832="","",COUNTIF(connections!$A$2:$A$1400,$A832)+COUNTIF(connections!$B$2:$B$1400,$A832))</f>
        <v>2</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2011</v>
      </c>
      <c r="N832">
        <f t="shared" si="165"/>
        <v>4.3680000000000003</v>
      </c>
      <c r="O832">
        <f t="shared" si="166"/>
        <v>2.0008319999999999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WazHack</v>
      </c>
      <c r="B833">
        <f>IF($A833="","",games!$B833)</f>
        <v>2012</v>
      </c>
      <c r="C833" t="str">
        <f>IF($A833="","",games!$C833)</f>
        <v>Strategy</v>
      </c>
      <c r="D833">
        <f>IF($A833="","",COUNTIF(connections!$A$2:$A$1400,$A833)+COUNTIF(connections!$B$2:$B$1400,$A833))</f>
        <v>1</v>
      </c>
      <c r="E833">
        <f t="shared" si="156"/>
        <v>2</v>
      </c>
      <c r="F833">
        <f t="shared" si="157"/>
        <v>17</v>
      </c>
      <c r="G833" t="e">
        <f t="shared" si="158"/>
        <v>#N/A</v>
      </c>
      <c r="H833" t="e">
        <f t="shared" si="159"/>
        <v>#N/A</v>
      </c>
      <c r="I833">
        <f t="shared" si="160"/>
        <v>2012</v>
      </c>
      <c r="J833">
        <f t="shared" si="161"/>
        <v>2.391</v>
      </c>
      <c r="K833" t="e">
        <f t="shared" si="162"/>
        <v>#N/A</v>
      </c>
      <c r="L833" t="e">
        <f t="shared" si="163"/>
        <v>#N/A</v>
      </c>
      <c r="M833" t="e">
        <f t="shared" si="164"/>
        <v>#N/A</v>
      </c>
      <c r="N833" t="e">
        <f t="shared" si="165"/>
        <v>#N/A</v>
      </c>
      <c r="O833">
        <f t="shared" si="166"/>
        <v>1.0008330000000001</v>
      </c>
      <c r="P833" t="str">
        <f>IF(OR($A833="",games!$H833=""),"",games!$H833)</f>
        <v>Yes</v>
      </c>
      <c r="Q833">
        <f t="shared" si="167"/>
        <v>1.0008330000000001</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We Need To Go Deeper</v>
      </c>
      <c r="B834">
        <f>IF($A834="","",games!$B834)</f>
        <v>2017</v>
      </c>
      <c r="C834" t="str">
        <f>IF($A834="","",games!$C834)</f>
        <v>Action</v>
      </c>
      <c r="D834">
        <f>IF($A834="","",COUNTIF(connections!$A$2:$A$1400,$A834)+COUNTIF(connections!$B$2:$B$1400,$A834))</f>
        <v>0</v>
      </c>
      <c r="E834">
        <f t="shared" ref="E834:E897" si="169">IF($A834="","",IFERROR(MATCH($C834,$R$2:$R$5,0),0))</f>
        <v>1</v>
      </c>
      <c r="F834">
        <f t="shared" ref="F834:F897" si="170">IF($A834="","",MOD(ROW(),34))</f>
        <v>18</v>
      </c>
      <c r="G834">
        <f t="shared" ref="G834:G897" si="171">IF($A834="",NA(),IF($C834="Action",$B834,NA()))</f>
        <v>2017</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8.34E-4</v>
      </c>
      <c r="P834" t="str">
        <f>IF(OR($A834="",games!$H834=""),"",games!$H834)</f>
        <v>Yes</v>
      </c>
      <c r="Q834">
        <f t="shared" ref="Q834:Q897" si="180">IF(OR($A834="",$P834&lt;&gt;"Yes"),"",$D834+ROW()/1000000)</f>
        <v>8.34E-4</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Weird Worlds: Return to Infinite Space</v>
      </c>
      <c r="B835">
        <f>IF($A835="","",games!$B835)</f>
        <v>2005</v>
      </c>
      <c r="C835" t="str">
        <f>IF($A835="","",games!$C835)</f>
        <v>Strategy</v>
      </c>
      <c r="D835">
        <f>IF($A835="","",COUNTIF(connections!$A$2:$A$1400,$A835)+COUNTIF(connections!$B$2:$B$1400,$A835))</f>
        <v>2</v>
      </c>
      <c r="E835">
        <f t="shared" si="169"/>
        <v>2</v>
      </c>
      <c r="F835">
        <f t="shared" si="170"/>
        <v>19</v>
      </c>
      <c r="G835" t="e">
        <f t="shared" si="171"/>
        <v>#N/A</v>
      </c>
      <c r="H835" t="e">
        <f t="shared" si="172"/>
        <v>#N/A</v>
      </c>
      <c r="I835">
        <f t="shared" si="173"/>
        <v>2005</v>
      </c>
      <c r="J835">
        <f t="shared" si="174"/>
        <v>2.4369999999999998</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West of Dead</v>
      </c>
      <c r="B836">
        <f>IF($A836="","",games!$B836)</f>
        <v>2020</v>
      </c>
      <c r="C836" t="str">
        <f>IF($A836="","",games!$C836)</f>
        <v>Action</v>
      </c>
      <c r="D836">
        <f>IF($A836="","",COUNTIF(connections!$A$2:$A$1400,$A836)+COUNTIF(connections!$B$2:$B$1400,$A836))</f>
        <v>1</v>
      </c>
      <c r="E836">
        <f t="shared" si="169"/>
        <v>1</v>
      </c>
      <c r="F836">
        <f t="shared" si="170"/>
        <v>20</v>
      </c>
      <c r="G836">
        <f t="shared" si="171"/>
        <v>2020</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Whisker Squadron: Survivor</v>
      </c>
      <c r="B837">
        <f>IF($A837="","",games!$B837)</f>
        <v>2025</v>
      </c>
      <c r="C837" t="str">
        <f>IF($A837="","",games!$C837)</f>
        <v>Action</v>
      </c>
      <c r="D837">
        <f>IF($A837="","",COUNTIF(connections!$A$2:$A$1400,$A837)+COUNTIF(connections!$B$2:$B$1400,$A837))</f>
        <v>1</v>
      </c>
      <c r="E837">
        <f t="shared" si="169"/>
        <v>1</v>
      </c>
      <c r="F837">
        <f t="shared" si="170"/>
        <v>21</v>
      </c>
      <c r="G837">
        <f t="shared" si="171"/>
        <v>2025</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White Knuckle</v>
      </c>
      <c r="B838">
        <f>IF($A838="","",games!$B838)</f>
        <v>2025</v>
      </c>
      <c r="C838" t="str">
        <f>IF($A838="","",games!$C838)</f>
        <v>Action</v>
      </c>
      <c r="D838">
        <f>IF($A838="","",COUNTIF(connections!$A$2:$A$1400,$A838)+COUNTIF(connections!$B$2:$B$1400,$A838))</f>
        <v>0</v>
      </c>
      <c r="E838">
        <f t="shared" si="169"/>
        <v>1</v>
      </c>
      <c r="F838">
        <f t="shared" si="170"/>
        <v>22</v>
      </c>
      <c r="G838">
        <f t="shared" si="171"/>
        <v>2025</v>
      </c>
      <c r="H838">
        <f t="shared" si="172"/>
        <v>1.506</v>
      </c>
      <c r="I838" t="e">
        <f t="shared" si="173"/>
        <v>#N/A</v>
      </c>
      <c r="J838" t="e">
        <f t="shared" si="174"/>
        <v>#N/A</v>
      </c>
      <c r="K838" t="e">
        <f t="shared" si="175"/>
        <v>#N/A</v>
      </c>
      <c r="L838" t="e">
        <f t="shared" si="176"/>
        <v>#N/A</v>
      </c>
      <c r="M838" t="e">
        <f t="shared" si="177"/>
        <v>#N/A</v>
      </c>
      <c r="N838" t="e">
        <f t="shared" si="178"/>
        <v>#N/A</v>
      </c>
      <c r="O838">
        <f t="shared" si="179"/>
        <v>8.3799999999999999E-4</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Wild Bastards</v>
      </c>
      <c r="B839">
        <f>IF($A839="","",games!$B839)</f>
        <v>2024</v>
      </c>
      <c r="C839" t="str">
        <f>IF($A839="","",games!$C839)</f>
        <v>Action</v>
      </c>
      <c r="D839">
        <f>IF($A839="","",COUNTIF(connections!$A$2:$A$1400,$A839)+COUNTIF(connections!$B$2:$B$1400,$A839))</f>
        <v>1</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Wildermyth</v>
      </c>
      <c r="B840">
        <f>IF($A840="","",games!$B840)</f>
        <v>2019</v>
      </c>
      <c r="C840" t="str">
        <f>IF($A840="","",games!$C840)</f>
        <v>Strategy</v>
      </c>
      <c r="D840">
        <f>IF($A840="","",COUNTIF(connections!$A$2:$A$1400,$A840)+COUNTIF(connections!$B$2:$B$1400,$A840))</f>
        <v>0</v>
      </c>
      <c r="E840">
        <f t="shared" si="169"/>
        <v>2</v>
      </c>
      <c r="F840">
        <f t="shared" si="170"/>
        <v>24</v>
      </c>
      <c r="G840" t="e">
        <f t="shared" si="171"/>
        <v>#N/A</v>
      </c>
      <c r="H840" t="e">
        <f t="shared" si="172"/>
        <v>#N/A</v>
      </c>
      <c r="I840">
        <f t="shared" si="173"/>
        <v>2019</v>
      </c>
      <c r="J840">
        <f t="shared" si="174"/>
        <v>2.552</v>
      </c>
      <c r="K840" t="e">
        <f t="shared" si="175"/>
        <v>#N/A</v>
      </c>
      <c r="L840" t="e">
        <f t="shared" si="176"/>
        <v>#N/A</v>
      </c>
      <c r="M840" t="e">
        <f t="shared" si="177"/>
        <v>#N/A</v>
      </c>
      <c r="N840" t="e">
        <f t="shared" si="178"/>
        <v>#N/A</v>
      </c>
      <c r="O840">
        <f t="shared" si="179"/>
        <v>8.4000000000000003E-4</v>
      </c>
      <c r="P840" t="str">
        <f>IF(OR($A840="",games!$H840=""),"",games!$H840)</f>
        <v/>
      </c>
      <c r="Q840" t="str">
        <f t="shared" si="180"/>
        <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Wildfrost</v>
      </c>
      <c r="B841">
        <f>IF($A841="","",games!$B841)</f>
        <v>2023</v>
      </c>
      <c r="C841" t="str">
        <f>IF($A841="","",games!$C841)</f>
        <v>Deckbuilder</v>
      </c>
      <c r="D841">
        <f>IF($A841="","",COUNTIF(connections!$A$2:$A$1400,$A841)+COUNTIF(connections!$B$2:$B$1400,$A841))</f>
        <v>8</v>
      </c>
      <c r="E841">
        <f t="shared" si="169"/>
        <v>3</v>
      </c>
      <c r="F841">
        <f t="shared" si="170"/>
        <v>25</v>
      </c>
      <c r="G841" t="e">
        <f t="shared" si="171"/>
        <v>#N/A</v>
      </c>
      <c r="H841" t="e">
        <f t="shared" si="172"/>
        <v>#N/A</v>
      </c>
      <c r="I841" t="e">
        <f t="shared" si="173"/>
        <v>#N/A</v>
      </c>
      <c r="J841" t="e">
        <f t="shared" si="174"/>
        <v>#N/A</v>
      </c>
      <c r="K841">
        <f t="shared" si="175"/>
        <v>2023</v>
      </c>
      <c r="L841">
        <f t="shared" si="176"/>
        <v>3.5750000000000002</v>
      </c>
      <c r="M841" t="e">
        <f t="shared" si="177"/>
        <v>#N/A</v>
      </c>
      <c r="N841" t="e">
        <f t="shared" si="178"/>
        <v>#N/A</v>
      </c>
      <c r="O841">
        <f t="shared" si="179"/>
        <v>8.0008409999999994</v>
      </c>
      <c r="P841" t="str">
        <f>IF(OR($A841="",games!$H841=""),"",games!$H841)</f>
        <v>Yes</v>
      </c>
      <c r="Q841">
        <f t="shared" si="180"/>
        <v>8.0008409999999994</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Windblown</v>
      </c>
      <c r="B842">
        <f>IF($A842="","",games!$B842)</f>
        <v>2024</v>
      </c>
      <c r="C842" t="str">
        <f>IF($A842="","",games!$C842)</f>
        <v>Action</v>
      </c>
      <c r="D842">
        <f>IF($A842="","",COUNTIF(connections!$A$2:$A$1400,$A842)+COUNTIF(connections!$B$2:$B$1400,$A842))</f>
        <v>1</v>
      </c>
      <c r="E842">
        <f t="shared" si="169"/>
        <v>1</v>
      </c>
      <c r="F842">
        <f t="shared" si="170"/>
        <v>26</v>
      </c>
      <c r="G842">
        <f t="shared" si="171"/>
        <v>2024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Winnie's Hole</v>
      </c>
      <c r="B843">
        <f>IF($A843="","",games!$B843)</f>
        <v>2026</v>
      </c>
      <c r="C843" t="str">
        <f>IF($A843="","",games!$C843)</f>
        <v>Deckbuilder</v>
      </c>
      <c r="D843">
        <f>IF($A843="","",COUNTIF(connections!$A$2:$A$1400,$A843)+COUNTIF(connections!$B$2:$B$1400,$A843))</f>
        <v>3</v>
      </c>
      <c r="E843">
        <f t="shared" si="169"/>
        <v>3</v>
      </c>
      <c r="F843">
        <f t="shared" si="170"/>
        <v>27</v>
      </c>
      <c r="G843" t="e">
        <f t="shared" si="171"/>
        <v>#N/A</v>
      </c>
      <c r="H843" t="e">
        <f t="shared" si="172"/>
        <v>#N/A</v>
      </c>
      <c r="I843" t="e">
        <f t="shared" si="173"/>
        <v>#N/A</v>
      </c>
      <c r="J843" t="e">
        <f t="shared" si="174"/>
        <v>#N/A</v>
      </c>
      <c r="K843">
        <f t="shared" si="175"/>
        <v>2026</v>
      </c>
      <c r="L843">
        <f t="shared" si="176"/>
        <v>3.621</v>
      </c>
      <c r="M843" t="e">
        <f t="shared" si="177"/>
        <v>#N/A</v>
      </c>
      <c r="N843" t="e">
        <f t="shared" si="178"/>
        <v>#N/A</v>
      </c>
      <c r="O843">
        <f t="shared" si="179"/>
        <v>3.0008430000000001</v>
      </c>
      <c r="P843" t="str">
        <f>IF(OR($A843="",games!$H843=""),"",games!$H843)</f>
        <v/>
      </c>
      <c r="Q843" t="str">
        <f t="shared" si="180"/>
        <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Wireworks</v>
      </c>
      <c r="B844">
        <f>IF($A844="","",games!$B844)</f>
        <v>2026</v>
      </c>
      <c r="C844" t="str">
        <f>IF($A844="","",games!$C844)</f>
        <v>Strategy</v>
      </c>
      <c r="D844">
        <f>IF($A844="","",COUNTIF(connections!$A$2:$A$1400,$A844)+COUNTIF(connections!$B$2:$B$1400,$A844))</f>
        <v>0</v>
      </c>
      <c r="E844">
        <f t="shared" si="169"/>
        <v>2</v>
      </c>
      <c r="F844">
        <f t="shared" si="170"/>
        <v>28</v>
      </c>
      <c r="G844" t="e">
        <f t="shared" si="171"/>
        <v>#N/A</v>
      </c>
      <c r="H844" t="e">
        <f t="shared" si="172"/>
        <v>#N/A</v>
      </c>
      <c r="I844">
        <f t="shared" si="173"/>
        <v>2026</v>
      </c>
      <c r="J844">
        <f t="shared" si="174"/>
        <v>2.6440000000000001</v>
      </c>
      <c r="K844" t="e">
        <f t="shared" si="175"/>
        <v>#N/A</v>
      </c>
      <c r="L844" t="e">
        <f t="shared" si="176"/>
        <v>#N/A</v>
      </c>
      <c r="M844" t="e">
        <f t="shared" si="177"/>
        <v>#N/A</v>
      </c>
      <c r="N844" t="e">
        <f t="shared" si="178"/>
        <v>#N/A</v>
      </c>
      <c r="O844">
        <f t="shared" si="179"/>
        <v>8.4400000000000002E-4</v>
      </c>
      <c r="P844" t="str">
        <f>IF(OR($A844="",games!$H844=""),"",games!$H844)</f>
        <v/>
      </c>
      <c r="Q844" t="str">
        <f t="shared" si="180"/>
        <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Witchfire</v>
      </c>
      <c r="B845">
        <f>IF($A845="","",games!$B845)</f>
        <v>2024</v>
      </c>
      <c r="C845" t="str">
        <f>IF($A845="","",games!$C845)</f>
        <v>Action</v>
      </c>
      <c r="D845">
        <f>IF($A845="","",COUNTIF(connections!$A$2:$A$1400,$A845)+COUNTIF(connections!$B$2:$B$1400,$A845))</f>
        <v>1</v>
      </c>
      <c r="E845">
        <f t="shared" si="169"/>
        <v>1</v>
      </c>
      <c r="F845">
        <f t="shared" si="170"/>
        <v>29</v>
      </c>
      <c r="G845">
        <f t="shared" si="171"/>
        <v>2024</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Witch's Apocalyptic Journey</v>
      </c>
      <c r="B846">
        <f>IF($A846="","",games!$B846)</f>
        <v>2026</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2026</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Wizard of Legend</v>
      </c>
      <c r="B847">
        <f>IF($A847="","",games!$B847)</f>
        <v>2018</v>
      </c>
      <c r="C847" t="str">
        <f>IF($A847="","",games!$C847)</f>
        <v>Action</v>
      </c>
      <c r="D847">
        <f>IF($A847="","",COUNTIF(connections!$A$2:$A$1400,$A847)+COUNTIF(connections!$B$2:$B$1400,$A847))</f>
        <v>4</v>
      </c>
      <c r="E847">
        <f t="shared" si="169"/>
        <v>1</v>
      </c>
      <c r="F847">
        <f t="shared" si="170"/>
        <v>31</v>
      </c>
      <c r="G847">
        <f t="shared" si="171"/>
        <v>2018</v>
      </c>
      <c r="H847">
        <f t="shared" si="172"/>
        <v>1.7130000000000001</v>
      </c>
      <c r="I847" t="e">
        <f t="shared" si="173"/>
        <v>#N/A</v>
      </c>
      <c r="J847" t="e">
        <f t="shared" si="174"/>
        <v>#N/A</v>
      </c>
      <c r="K847" t="e">
        <f t="shared" si="175"/>
        <v>#N/A</v>
      </c>
      <c r="L847" t="e">
        <f t="shared" si="176"/>
        <v>#N/A</v>
      </c>
      <c r="M847" t="e">
        <f t="shared" si="177"/>
        <v>#N/A</v>
      </c>
      <c r="N847" t="e">
        <f t="shared" si="178"/>
        <v>#N/A</v>
      </c>
      <c r="O847">
        <f t="shared" si="179"/>
        <v>4.0008470000000003</v>
      </c>
      <c r="P847" t="str">
        <f>IF(OR($A847="",games!$H847=""),"",games!$H847)</f>
        <v>Yes</v>
      </c>
      <c r="Q847">
        <f t="shared" si="180"/>
        <v>4.0008470000000003</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Wizard of Legend 2</v>
      </c>
      <c r="B848">
        <f>IF($A848="","",games!$B848)</f>
        <v>2024</v>
      </c>
      <c r="C848" t="str">
        <f>IF($A848="","",games!$C848)</f>
        <v>Action</v>
      </c>
      <c r="D848">
        <f>IF($A848="","",COUNTIF(connections!$A$2:$A$1400,$A848)+COUNTIF(connections!$B$2:$B$1400,$A848))</f>
        <v>1</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WizardChess</v>
      </c>
      <c r="B849">
        <f>IF($A849="","",games!$B849)</f>
        <v>2021</v>
      </c>
      <c r="C849" t="str">
        <f>IF($A849="","",games!$C849)</f>
        <v>Strategy</v>
      </c>
      <c r="D849">
        <f>IF($A849="","",COUNTIF(connections!$A$2:$A$1400,$A849)+COUNTIF(connections!$B$2:$B$1400,$A849))</f>
        <v>1</v>
      </c>
      <c r="E849">
        <f t="shared" si="169"/>
        <v>2</v>
      </c>
      <c r="F849">
        <f t="shared" si="170"/>
        <v>33</v>
      </c>
      <c r="G849" t="e">
        <f t="shared" si="171"/>
        <v>#N/A</v>
      </c>
      <c r="H849" t="e">
        <f t="shared" si="172"/>
        <v>#N/A</v>
      </c>
      <c r="I849">
        <f t="shared" si="173"/>
        <v>2021</v>
      </c>
      <c r="J849">
        <f t="shared" si="174"/>
        <v>2.7589999999999999</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Word Play</v>
      </c>
      <c r="B850">
        <f>IF($A850="","",games!$B850)</f>
        <v>2025</v>
      </c>
      <c r="C850" t="str">
        <f>IF($A850="","",games!$C850)</f>
        <v>Deckbuilder</v>
      </c>
      <c r="D850">
        <f>IF($A850="","",COUNTIF(connections!$A$2:$A$1400,$A850)+COUNTIF(connections!$B$2:$B$1400,$A850))</f>
        <v>1</v>
      </c>
      <c r="E850">
        <f t="shared" si="169"/>
        <v>3</v>
      </c>
      <c r="F850">
        <f t="shared" si="170"/>
        <v>0</v>
      </c>
      <c r="G850" t="e">
        <f t="shared" si="171"/>
        <v>#N/A</v>
      </c>
      <c r="H850" t="e">
        <f t="shared" si="172"/>
        <v>#N/A</v>
      </c>
      <c r="I850" t="e">
        <f t="shared" si="173"/>
        <v>#N/A</v>
      </c>
      <c r="J850" t="e">
        <f t="shared" si="174"/>
        <v>#N/A</v>
      </c>
      <c r="K850">
        <f t="shared" si="175"/>
        <v>2025</v>
      </c>
      <c r="L850">
        <f t="shared" si="176"/>
        <v>3</v>
      </c>
      <c r="M850" t="e">
        <f t="shared" si="177"/>
        <v>#N/A</v>
      </c>
      <c r="N850" t="e">
        <f t="shared" si="178"/>
        <v>#N/A</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Wordatro!</v>
      </c>
      <c r="B851">
        <f>IF($A851="","",games!$B851)</f>
        <v>2025</v>
      </c>
      <c r="C851" t="str">
        <f>IF($A851="","",games!$C851)</f>
        <v>Deckbuilder</v>
      </c>
      <c r="D851">
        <f>IF($A851="","",COUNTIF(connections!$A$2:$A$1400,$A851)+COUNTIF(connections!$B$2:$B$1400,$A851))</f>
        <v>1</v>
      </c>
      <c r="E851">
        <f t="shared" si="169"/>
        <v>3</v>
      </c>
      <c r="F851">
        <f t="shared" si="170"/>
        <v>1</v>
      </c>
      <c r="G851" t="e">
        <f t="shared" si="171"/>
        <v>#N/A</v>
      </c>
      <c r="H851" t="e">
        <f t="shared" si="172"/>
        <v>#N/A</v>
      </c>
      <c r="I851" t="e">
        <f t="shared" si="173"/>
        <v>#N/A</v>
      </c>
      <c r="J851" t="e">
        <f t="shared" si="174"/>
        <v>#N/A</v>
      </c>
      <c r="K851">
        <f t="shared" si="175"/>
        <v>2025</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Words Can Kill</v>
      </c>
      <c r="B852">
        <f>IF($A852="","",games!$B852)</f>
        <v>2022</v>
      </c>
      <c r="C852" t="str">
        <f>IF($A852="","",games!$C852)</f>
        <v>Deckbuilder</v>
      </c>
      <c r="D852">
        <f>IF($A852="","",COUNTIF(connections!$A$2:$A$1400,$A852)+COUNTIF(connections!$B$2:$B$1400,$A852))</f>
        <v>1</v>
      </c>
      <c r="E852">
        <f t="shared" si="169"/>
        <v>3</v>
      </c>
      <c r="F852">
        <f t="shared" si="170"/>
        <v>2</v>
      </c>
      <c r="G852" t="e">
        <f t="shared" si="171"/>
        <v>#N/A</v>
      </c>
      <c r="H852" t="e">
        <f t="shared" si="172"/>
        <v>#N/A</v>
      </c>
      <c r="I852" t="e">
        <f t="shared" si="173"/>
        <v>#N/A</v>
      </c>
      <c r="J852" t="e">
        <f t="shared" si="174"/>
        <v>#N/A</v>
      </c>
      <c r="K852">
        <f t="shared" si="175"/>
        <v>2022</v>
      </c>
      <c r="L852">
        <f t="shared" si="176"/>
        <v>3.0459999999999998</v>
      </c>
      <c r="M852" t="e">
        <f t="shared" si="177"/>
        <v>#N/A</v>
      </c>
      <c r="N852" t="e">
        <f t="shared" si="178"/>
        <v>#N/A</v>
      </c>
      <c r="O852">
        <f t="shared" si="179"/>
        <v>1.0008520000000001</v>
      </c>
      <c r="P852" t="str">
        <f>IF(OR($A852="",games!$H852=""),"",games!$H852)</f>
        <v>Yes</v>
      </c>
      <c r="Q852">
        <f t="shared" si="180"/>
        <v>1.0008520000000001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Worlds Upon The Wind</v>
      </c>
      <c r="B853">
        <f>IF($A853="","",games!$B853)</f>
        <v>2026</v>
      </c>
      <c r="C853" t="str">
        <f>IF($A853="","",games!$C853)</f>
        <v>Deckbuilder</v>
      </c>
      <c r="D853">
        <f>IF($A853="","",COUNTIF(connections!$A$2:$A$1400,$A853)+COUNTIF(connections!$B$2:$B$1400,$A853))</f>
        <v>1</v>
      </c>
      <c r="E853">
        <f t="shared" si="169"/>
        <v>3</v>
      </c>
      <c r="F853">
        <f t="shared" si="170"/>
        <v>3</v>
      </c>
      <c r="G853" t="e">
        <f t="shared" si="171"/>
        <v>#N/A</v>
      </c>
      <c r="H853" t="e">
        <f t="shared" si="172"/>
        <v>#N/A</v>
      </c>
      <c r="I853" t="e">
        <f t="shared" si="173"/>
        <v>#N/A</v>
      </c>
      <c r="J853" t="e">
        <f t="shared" si="174"/>
        <v>#N/A</v>
      </c>
      <c r="K853">
        <f t="shared" si="175"/>
        <v>2026</v>
      </c>
      <c r="L853">
        <f t="shared" si="176"/>
        <v>3.069</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Yasha: Legends of the Demon Blade</v>
      </c>
      <c r="B854">
        <f>IF($A854="","",games!$B854)</f>
        <v>2025</v>
      </c>
      <c r="C854" t="str">
        <f>IF($A854="","",games!$C854)</f>
        <v>Action</v>
      </c>
      <c r="D854">
        <f>IF($A854="","",COUNTIF(connections!$A$2:$A$1400,$A854)+COUNTIF(connections!$B$2:$B$1400,$A854))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Yet Another Zombie Survivors</v>
      </c>
      <c r="B855">
        <f>IF($A855="","",games!$B855)</f>
        <v>2023</v>
      </c>
      <c r="C855" t="str">
        <f>IF($A855="","",games!$C855)</f>
        <v>Action</v>
      </c>
      <c r="D855">
        <f>IF($A855="","",COUNTIF(connections!$A$2:$A$1400,$A855)+COUNTIF(connections!$B$2:$B$1400,$A855))</f>
        <v>1</v>
      </c>
      <c r="E855">
        <f t="shared" si="169"/>
        <v>1</v>
      </c>
      <c r="F855">
        <f t="shared" si="170"/>
        <v>5</v>
      </c>
      <c r="G855">
        <f t="shared" si="171"/>
        <v>2023</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Yohane the Parhelion: Numazu in the Mirage</v>
      </c>
      <c r="B856">
        <f>IF($A856="","",games!$B856)</f>
        <v>2024</v>
      </c>
      <c r="C856" t="str">
        <f>IF($A856="","",games!$C856)</f>
        <v>Deckbuilder</v>
      </c>
      <c r="D856">
        <f>IF($A856="","",COUNTIF(connections!$A$2:$A$1400,$A856)+COUNTIF(connections!$B$2:$B$1400,$A856))</f>
        <v>1</v>
      </c>
      <c r="E856">
        <f t="shared" si="169"/>
        <v>3</v>
      </c>
      <c r="F856">
        <f t="shared" si="170"/>
        <v>6</v>
      </c>
      <c r="G856" t="e">
        <f t="shared" si="171"/>
        <v>#N/A</v>
      </c>
      <c r="H856" t="e">
        <f t="shared" si="172"/>
        <v>#N/A</v>
      </c>
      <c r="I856" t="e">
        <f t="shared" si="173"/>
        <v>#N/A</v>
      </c>
      <c r="J856" t="e">
        <f t="shared" si="174"/>
        <v>#N/A</v>
      </c>
      <c r="K856">
        <f t="shared" si="175"/>
        <v>2024</v>
      </c>
      <c r="L856">
        <f t="shared" si="176"/>
        <v>3.1379999999999999</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Youdanji</v>
      </c>
      <c r="B857">
        <f>IF($A857="","",games!$B857)</f>
        <v>2017</v>
      </c>
      <c r="C857" t="str">
        <f>IF($A857="","",games!$C857)</f>
        <v>Traditional</v>
      </c>
      <c r="D857">
        <f>IF($A857="","",COUNTIF(connections!$A$2:$A$1400,$A857)+COUNTIF(connections!$B$2:$B$1400,$A857))</f>
        <v>1</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2017</v>
      </c>
      <c r="N857">
        <f t="shared" si="178"/>
        <v>4.1609999999999996</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Z.H.P. Unlosing Ranger VS Darkdeath Evilman</v>
      </c>
      <c r="B858">
        <f>IF($A858="","",games!$B858)</f>
        <v>2010</v>
      </c>
      <c r="C858" t="str">
        <f>IF($A858="","",games!$C858)</f>
        <v>Traditional</v>
      </c>
      <c r="D858">
        <f>IF($A858="","",COUNTIF(connections!$A$2:$A$1400,$A858)+COUNTIF(connections!$B$2:$B$1400,$A858))</f>
        <v>2</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2010</v>
      </c>
      <c r="N858">
        <f t="shared" si="178"/>
        <v>4.1840000000000002</v>
      </c>
      <c r="O858">
        <f t="shared" si="179"/>
        <v>2.000858</v>
      </c>
      <c r="P858" t="str">
        <f>IF(OR($A858="",games!$H858=""),"",games!$H858)</f>
        <v>Yes</v>
      </c>
      <c r="Q858">
        <f t="shared" si="180"/>
        <v>2.000858</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Zangband</v>
      </c>
      <c r="B859">
        <f>IF($A859="","",games!$B859)</f>
        <v>1994</v>
      </c>
      <c r="C859" t="str">
        <f>IF($A859="","",games!$C859)</f>
        <v>Traditional</v>
      </c>
      <c r="D859">
        <f>IF($A859="","",COUNTIF(connections!$A$2:$A$1400,$A859)+COUNTIF(connections!$B$2:$B$1400,$A859))</f>
        <v>4</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1994</v>
      </c>
      <c r="N859">
        <f t="shared" si="178"/>
        <v>4.2069999999999999</v>
      </c>
      <c r="O859">
        <f t="shared" si="179"/>
        <v>4.0008590000000002</v>
      </c>
      <c r="P859" t="str">
        <f>IF(OR($A859="",games!$H859=""),"",games!$H859)</f>
        <v>Yes</v>
      </c>
      <c r="Q859">
        <f t="shared" si="180"/>
        <v>4.0008590000000002</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Zet Zillions</v>
      </c>
      <c r="B860">
        <f>IF($A860="","",games!$B860)</f>
        <v>2024</v>
      </c>
      <c r="C860" t="str">
        <f>IF($A860="","",games!$C860)</f>
        <v>Deckbuilder</v>
      </c>
      <c r="D860">
        <f>IF($A860="","",COUNTIF(connections!$A$2:$A$1400,$A860)+COUNTIF(connections!$B$2:$B$1400,$A860))</f>
        <v>2</v>
      </c>
      <c r="E860">
        <f t="shared" si="169"/>
        <v>3</v>
      </c>
      <c r="F860">
        <f t="shared" si="170"/>
        <v>10</v>
      </c>
      <c r="G860" t="e">
        <f t="shared" si="171"/>
        <v>#N/A</v>
      </c>
      <c r="H860" t="e">
        <f t="shared" si="172"/>
        <v>#N/A</v>
      </c>
      <c r="I860" t="e">
        <f t="shared" si="173"/>
        <v>#N/A</v>
      </c>
      <c r="J860" t="e">
        <f t="shared" si="174"/>
        <v>#N/A</v>
      </c>
      <c r="K860">
        <f t="shared" si="175"/>
        <v>2024</v>
      </c>
      <c r="L860">
        <f t="shared" si="176"/>
        <v>3.23</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Ziggurat</v>
      </c>
      <c r="B861">
        <f>IF($A861="","",games!$B861)</f>
        <v>2014</v>
      </c>
      <c r="C861" t="str">
        <f>IF($A861="","",games!$C861)</f>
        <v>Action</v>
      </c>
      <c r="D861">
        <f>IF($A861="","",COUNTIF(connections!$A$2:$A$1400,$A861)+COUNTIF(connections!$B$2:$B$1400,$A861))</f>
        <v>2</v>
      </c>
      <c r="E861">
        <f t="shared" si="169"/>
        <v>1</v>
      </c>
      <c r="F861">
        <f t="shared" si="170"/>
        <v>11</v>
      </c>
      <c r="G861">
        <f t="shared" si="171"/>
        <v>2014</v>
      </c>
      <c r="H861">
        <f t="shared" si="172"/>
        <v>1.2530000000000001</v>
      </c>
      <c r="I861" t="e">
        <f t="shared" si="173"/>
        <v>#N/A</v>
      </c>
      <c r="J861" t="e">
        <f t="shared" si="174"/>
        <v>#N/A</v>
      </c>
      <c r="K861" t="e">
        <f t="shared" si="175"/>
        <v>#N/A</v>
      </c>
      <c r="L861" t="e">
        <f t="shared" si="176"/>
        <v>#N/A</v>
      </c>
      <c r="M861" t="e">
        <f t="shared" si="177"/>
        <v>#N/A</v>
      </c>
      <c r="N861" t="e">
        <f t="shared" si="178"/>
        <v>#N/A</v>
      </c>
      <c r="O861">
        <f t="shared" si="179"/>
        <v>2.000861</v>
      </c>
      <c r="P861" t="str">
        <f>IF(OR($A861="",games!$H861=""),"",games!$H861)</f>
        <v>Yes</v>
      </c>
      <c r="Q861">
        <f t="shared" si="180"/>
        <v>2.000861</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Ziggurat 2</v>
      </c>
      <c r="B862">
        <f>IF($A862="","",games!$B862)</f>
        <v>2020</v>
      </c>
      <c r="C862" t="str">
        <f>IF($A862="","",games!$C862)</f>
        <v>Action</v>
      </c>
      <c r="D862">
        <f>IF($A862="","",COUNTIF(connections!$A$2:$A$1400,$A862)+COUNTIF(connections!$B$2:$B$1400,$A862))</f>
        <v>1</v>
      </c>
      <c r="E862">
        <f t="shared" si="169"/>
        <v>1</v>
      </c>
      <c r="F862">
        <f t="shared" si="170"/>
        <v>12</v>
      </c>
      <c r="G862">
        <f t="shared" si="171"/>
        <v>2020</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Yes</v>
      </c>
      <c r="Q862">
        <f t="shared" si="180"/>
        <v>1.0008619999999999</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ZMAngband</v>
      </c>
      <c r="B863">
        <f>IF($A863="","",games!$B863)</f>
        <v>2025</v>
      </c>
      <c r="C863" t="str">
        <f>IF($A863="","",games!$C863)</f>
        <v>Traditional</v>
      </c>
      <c r="D863">
        <f>IF($A863="","",COUNTIF(connections!$A$2:$A$1400,$A863)+COUNTIF(connections!$B$2:$B$1400,$A863))</f>
        <v>6</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2025</v>
      </c>
      <c r="N863">
        <f t="shared" si="178"/>
        <v>4.2990000000000004</v>
      </c>
      <c r="O863">
        <f t="shared" si="179"/>
        <v>6.0008629999999998</v>
      </c>
      <c r="P863" t="str">
        <f>IF(OR($A863="",games!$H863=""),"",games!$H863)</f>
        <v>Yes</v>
      </c>
      <c r="Q863">
        <f t="shared" si="180"/>
        <v>6.0008629999999998</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Zoeti</v>
      </c>
      <c r="B864">
        <f>IF($A864="","",games!$B864)</f>
        <v>2023</v>
      </c>
      <c r="C864" t="str">
        <f>IF($A864="","",games!$C864)</f>
        <v>Deckbuilder</v>
      </c>
      <c r="D864">
        <f>IF($A864="","",COUNTIF(connections!$A$2:$A$1400,$A864)+COUNTIF(connections!$B$2:$B$1400,$A864))</f>
        <v>3</v>
      </c>
      <c r="E864">
        <f t="shared" si="169"/>
        <v>3</v>
      </c>
      <c r="F864">
        <f t="shared" si="170"/>
        <v>14</v>
      </c>
      <c r="G864" t="e">
        <f t="shared" si="171"/>
        <v>#N/A</v>
      </c>
      <c r="H864" t="e">
        <f t="shared" si="172"/>
        <v>#N/A</v>
      </c>
      <c r="I864" t="e">
        <f t="shared" si="173"/>
        <v>#N/A</v>
      </c>
      <c r="J864" t="e">
        <f t="shared" si="174"/>
        <v>#N/A</v>
      </c>
      <c r="K864">
        <f t="shared" si="175"/>
        <v>2023</v>
      </c>
      <c r="L864">
        <f t="shared" si="176"/>
        <v>3.3220000000000001</v>
      </c>
      <c r="M864" t="e">
        <f t="shared" si="177"/>
        <v>#N/A</v>
      </c>
      <c r="N864" t="e">
        <f t="shared" si="178"/>
        <v>#N/A</v>
      </c>
      <c r="O864">
        <f t="shared" si="179"/>
        <v>3.000864</v>
      </c>
      <c r="P864" t="str">
        <f>IF(OR($A864="",games!$H864=""),"",games!$H864)</f>
        <v>Yes</v>
      </c>
      <c r="Q864">
        <f t="shared" si="180"/>
        <v>3.000864</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Zoominoes</v>
      </c>
      <c r="B865">
        <f>IF($A865="","",games!$B865)</f>
        <v>2026</v>
      </c>
      <c r="C865" t="str">
        <f>IF($A865="","",games!$C865)</f>
        <v>Deckbuilder</v>
      </c>
      <c r="D865">
        <f>IF($A865="","",COUNTIF(connections!$A$2:$A$1400,$A865)+COUNTIF(connections!$B$2:$B$1400,$A865))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Zorbus</v>
      </c>
      <c r="B866">
        <f>IF($A866="","",games!$B866)</f>
        <v>2022</v>
      </c>
      <c r="C866" t="str">
        <f>IF($A866="","",games!$C866)</f>
        <v>Traditional</v>
      </c>
      <c r="D866">
        <f>IF($A866="","",COUNTIF(connections!$A$2:$A$1400,$A866)+COUNTIF(connections!$B$2:$B$1400,$A866))</f>
        <v>1</v>
      </c>
      <c r="E866">
        <f t="shared" si="169"/>
        <v>4</v>
      </c>
      <c r="F866">
        <f t="shared" si="170"/>
        <v>16</v>
      </c>
      <c r="G866" t="e">
        <f t="shared" si="171"/>
        <v>#N/A</v>
      </c>
      <c r="H866" t="e">
        <f t="shared" si="172"/>
        <v>#N/A</v>
      </c>
      <c r="I866" t="e">
        <f t="shared" si="173"/>
        <v>#N/A</v>
      </c>
      <c r="J866" t="e">
        <f t="shared" si="174"/>
        <v>#N/A</v>
      </c>
      <c r="K866" t="e">
        <f t="shared" si="175"/>
        <v>#N/A</v>
      </c>
      <c r="L866" t="e">
        <f t="shared" si="176"/>
        <v>#N/A</v>
      </c>
      <c r="M866">
        <f t="shared" si="177"/>
        <v>2022</v>
      </c>
      <c r="N866">
        <f t="shared" si="178"/>
        <v>4.3680000000000003</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f>IF(connections!$A1243="","",IFERROR(INDEX(games!$B$2:$B$950,MATCH(connections!$A1243,games!$A$2:$A$950,0)),""))</f>
        <v>2021</v>
      </c>
      <c r="U1243">
        <f>IF(connections!$A1243="","",IFERROR(INDEX(games!$B$2:$B$950,MATCH(connections!$B1243,games!$A$2:$A$950,0)),""))</f>
        <v>2026</v>
      </c>
      <c r="V1243">
        <f t="shared" si="199"/>
        <v>5</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2015</v>
      </c>
      <c r="U1245">
        <f>IF(connections!$A1245="","",IFERROR(INDEX(games!$B$2:$B$950,MATCH(connections!$B1245,games!$A$2:$A$950,0)),""))</f>
        <v>2019</v>
      </c>
      <c r="V1245">
        <f t="shared" si="199"/>
        <v>4</v>
      </c>
    </row>
    <row r="1246" spans="20:22" x14ac:dyDescent="0.25">
      <c r="T1246">
        <f>IF(connections!$A1246="","",IFERROR(INDEX(games!$B$2:$B$950,MATCH(connections!$A1246,games!$A$2:$A$950,0)),""))</f>
        <v>2021</v>
      </c>
      <c r="U1246">
        <f>IF(connections!$A1246="","",IFERROR(INDEX(games!$B$2:$B$950,MATCH(connections!$B1246,games!$A$2:$A$950,0)),""))</f>
        <v>2026</v>
      </c>
      <c r="V1246">
        <f t="shared" si="199"/>
        <v>5</v>
      </c>
    </row>
    <row r="1247" spans="20:22" x14ac:dyDescent="0.25">
      <c r="T1247">
        <f>IF(connections!$A1247="","",IFERROR(INDEX(games!$B$2:$B$950,MATCH(connections!$A1247,games!$A$2:$A$950,0)),""))</f>
        <v>2019</v>
      </c>
      <c r="U1247">
        <f>IF(connections!$A1247="","",IFERROR(INDEX(games!$B$2:$B$950,MATCH(connections!$B1247,games!$A$2:$A$950,0)),""))</f>
        <v>2026</v>
      </c>
      <c r="V1247">
        <f t="shared" si="199"/>
        <v>7</v>
      </c>
    </row>
    <row r="1248" spans="20:22" x14ac:dyDescent="0.25">
      <c r="T1248">
        <f>IF(connections!$A1248="","",IFERROR(INDEX(games!$B$2:$B$950,MATCH(connections!$A1248,games!$A$2:$A$950,0)),""))</f>
        <v>1993</v>
      </c>
      <c r="U1248">
        <f>IF(connections!$A1248="","",IFERROR(INDEX(games!$B$2:$B$950,MATCH(connections!$B1248,games!$A$2:$A$950,0)),""))</f>
        <v>2026</v>
      </c>
      <c r="V1248">
        <f t="shared" si="199"/>
        <v>33</v>
      </c>
    </row>
    <row r="1249" spans="20:22" x14ac:dyDescent="0.25">
      <c r="T1249">
        <f>IF(connections!$A1249="","",IFERROR(INDEX(games!$B$2:$B$950,MATCH(connections!$A1249,games!$A$2:$A$950,0)),""))</f>
        <v>2018</v>
      </c>
      <c r="U1249">
        <f>IF(connections!$A1249="","",IFERROR(INDEX(games!$B$2:$B$950,MATCH(connections!$B1249,games!$A$2:$A$950,0)),""))</f>
        <v>2026</v>
      </c>
      <c r="V1249">
        <f t="shared" si="199"/>
        <v>8</v>
      </c>
    </row>
    <row r="1250" spans="20:22" x14ac:dyDescent="0.25">
      <c r="T1250">
        <f>IF(connections!$A1250="","",IFERROR(INDEX(games!$B$2:$B$950,MATCH(connections!$A1250,games!$A$2:$A$950,0)),""))</f>
        <v>2021</v>
      </c>
      <c r="U1250">
        <f>IF(connections!$A1250="","",IFERROR(INDEX(games!$B$2:$B$950,MATCH(connections!$B1250,games!$A$2:$A$950,0)),""))</f>
        <v>2026</v>
      </c>
      <c r="V1250">
        <f t="shared" si="199"/>
        <v>5</v>
      </c>
    </row>
    <row r="1251" spans="20:22" x14ac:dyDescent="0.25">
      <c r="T1251">
        <f>IF(connections!$A1251="","",IFERROR(INDEX(games!$B$2:$B$950,MATCH(connections!$A1251,games!$A$2:$A$950,0)),""))</f>
        <v>2012</v>
      </c>
      <c r="U1251">
        <f>IF(connections!$A1251="","",IFERROR(INDEX(games!$B$2:$B$950,MATCH(connections!$B1251,games!$A$2:$A$950,0)),""))</f>
        <v>2019</v>
      </c>
      <c r="V1251">
        <f t="shared" si="199"/>
        <v>7</v>
      </c>
    </row>
    <row r="1252" spans="20:22" x14ac:dyDescent="0.25">
      <c r="T1252">
        <f>IF(connections!$A1252="","",IFERROR(INDEX(games!$B$2:$B$950,MATCH(connections!$A1252,games!$A$2:$A$950,0)),""))</f>
        <v>2011</v>
      </c>
      <c r="U1252">
        <f>IF(connections!$A1252="","",IFERROR(INDEX(games!$B$2:$B$950,MATCH(connections!$B1252,games!$A$2:$A$950,0)),""))</f>
        <v>2019</v>
      </c>
      <c r="V1252">
        <f t="shared" si="199"/>
        <v>8</v>
      </c>
    </row>
    <row r="1253" spans="20:22" x14ac:dyDescent="0.25">
      <c r="T1253">
        <f>IF(connections!$A1253="","",IFERROR(INDEX(games!$B$2:$B$950,MATCH(connections!$A1253,games!$A$2:$A$950,0)),""))</f>
        <v>2013</v>
      </c>
      <c r="U1253">
        <f>IF(connections!$A1253="","",IFERROR(INDEX(games!$B$2:$B$950,MATCH(connections!$B1253,games!$A$2:$A$950,0)),""))</f>
        <v>2019</v>
      </c>
      <c r="V1253">
        <f t="shared" si="199"/>
        <v>6</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2026-09-10T06:09:52Z</dcterms:modified>
  <dc:language>en-US</dc:language>
</cp:coreProperties>
</file>