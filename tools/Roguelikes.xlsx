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83164A9-6CE1-47EF-B512-DC91AB9DA28E}"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B8"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696"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D868" i="47" s="1"/>
  <c r="A867" i="47"/>
  <c r="D867" i="47" s="1"/>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U852" i="47"/>
  <c r="T852" i="47"/>
  <c r="A852" i="47"/>
  <c r="D852" i="47" s="1"/>
  <c r="U851" i="47"/>
  <c r="T851" i="47"/>
  <c r="A851" i="47"/>
  <c r="P851" i="47" s="1"/>
  <c r="U850" i="47"/>
  <c r="T850" i="47"/>
  <c r="A850" i="47"/>
  <c r="D850" i="47" s="1"/>
  <c r="U849" i="47"/>
  <c r="T849" i="47"/>
  <c r="A849" i="47"/>
  <c r="B849" i="47" s="1"/>
  <c r="U848" i="47"/>
  <c r="T848" i="47"/>
  <c r="A848" i="47"/>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U676" i="47"/>
  <c r="T676" i="47"/>
  <c r="A676" i="47"/>
  <c r="D676" i="47" s="1"/>
  <c r="U675" i="47"/>
  <c r="T675" i="47"/>
  <c r="A675" i="47"/>
  <c r="D675" i="47" s="1"/>
  <c r="U674" i="47"/>
  <c r="T674" i="47"/>
  <c r="A674" i="47"/>
  <c r="D674" i="47" s="1"/>
  <c r="U673" i="47"/>
  <c r="T673" i="47"/>
  <c r="A673" i="47"/>
  <c r="D673" i="47" s="1"/>
  <c r="U672" i="47"/>
  <c r="T672" i="47"/>
  <c r="A672" i="47"/>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U555" i="47"/>
  <c r="T555" i="47"/>
  <c r="A555" i="47"/>
  <c r="D555" i="47" s="1"/>
  <c r="U554" i="47"/>
  <c r="T554" i="47"/>
  <c r="A554" i="47"/>
  <c r="D554" i="47" s="1"/>
  <c r="U553" i="47"/>
  <c r="T553" i="47"/>
  <c r="A553" i="47"/>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U500" i="47"/>
  <c r="T500" i="47"/>
  <c r="A500" i="47"/>
  <c r="F500" i="47" s="1"/>
  <c r="U499" i="47"/>
  <c r="T499" i="47"/>
  <c r="A499" i="47"/>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I463" i="47" s="1"/>
  <c r="U462" i="47"/>
  <c r="T462" i="47"/>
  <c r="A462" i="47"/>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U274" i="47"/>
  <c r="T274" i="47"/>
  <c r="A274" i="47"/>
  <c r="D274" i="47" s="1"/>
  <c r="U273" i="47"/>
  <c r="T273" i="47"/>
  <c r="A273" i="47"/>
  <c r="U272" i="47"/>
  <c r="T272" i="47"/>
  <c r="A272" i="47"/>
  <c r="D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N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U97" i="47"/>
  <c r="T97" i="47"/>
  <c r="A97" i="47"/>
  <c r="F97" i="47" s="1"/>
  <c r="U96" i="47"/>
  <c r="T96" i="47"/>
  <c r="A96" i="47"/>
  <c r="D96" i="47" s="1"/>
  <c r="U95" i="47"/>
  <c r="T95" i="47"/>
  <c r="A95" i="47"/>
  <c r="P95" i="47" s="1"/>
  <c r="U94" i="47"/>
  <c r="T94" i="47"/>
  <c r="A94" i="47"/>
  <c r="D94" i="47" s="1"/>
  <c r="U93" i="47"/>
  <c r="T93" i="47"/>
  <c r="A93" i="47"/>
  <c r="F93" i="47" s="1"/>
  <c r="U92" i="47"/>
  <c r="T92" i="47"/>
  <c r="A92" i="47"/>
  <c r="U91" i="47"/>
  <c r="T91" i="47"/>
  <c r="A91" i="47"/>
  <c r="P91" i="47" s="1"/>
  <c r="U90" i="47"/>
  <c r="T90" i="47"/>
  <c r="A90" i="47"/>
  <c r="D90" i="47" s="1"/>
  <c r="U89" i="47"/>
  <c r="T89" i="47"/>
  <c r="A89" i="47"/>
  <c r="D89" i="47" s="1"/>
  <c r="U88" i="47"/>
  <c r="T88" i="47"/>
  <c r="A88" i="47"/>
  <c r="F88" i="47" s="1"/>
  <c r="U87" i="47"/>
  <c r="T87" i="47"/>
  <c r="A87" i="47"/>
  <c r="D87" i="47" s="1"/>
  <c r="U86" i="47"/>
  <c r="T86" i="47"/>
  <c r="A86" i="47"/>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D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D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E357" i="1"/>
  <c r="D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886" i="47" l="1"/>
  <c r="D726" i="47"/>
  <c r="D720" i="47"/>
  <c r="D631" i="47"/>
  <c r="D519" i="47"/>
  <c r="D474" i="47"/>
  <c r="D441" i="47"/>
  <c r="D443" i="47"/>
  <c r="D433" i="47"/>
  <c r="D398" i="47"/>
  <c r="D340" i="47"/>
  <c r="D295" i="47"/>
  <c r="D315" i="47"/>
  <c r="D239" i="47"/>
  <c r="D20" i="47"/>
  <c r="D157" i="47"/>
  <c r="D69" i="47"/>
  <c r="D648" i="47"/>
  <c r="D500" i="47"/>
  <c r="D316" i="47"/>
  <c r="D224" i="47"/>
  <c r="D244" i="47"/>
  <c r="O244" i="47" s="1"/>
  <c r="D43" i="47"/>
  <c r="O43" i="47" s="1"/>
  <c r="D88" i="47"/>
  <c r="D738" i="47"/>
  <c r="D571" i="47"/>
  <c r="D226" i="47"/>
  <c r="D261" i="47"/>
  <c r="D10" i="47"/>
  <c r="D57" i="47"/>
  <c r="D861" i="47"/>
  <c r="D764" i="47"/>
  <c r="D76" i="47"/>
  <c r="O565" i="47"/>
  <c r="O677" i="47"/>
  <c r="D872" i="47"/>
  <c r="D811" i="47"/>
  <c r="D796" i="47"/>
  <c r="D739" i="47"/>
  <c r="D745" i="47"/>
  <c r="D601" i="47"/>
  <c r="D635" i="47"/>
  <c r="D573" i="47"/>
  <c r="D545" i="47"/>
  <c r="D525" i="47"/>
  <c r="D414" i="47"/>
  <c r="D410" i="47"/>
  <c r="D267" i="47"/>
  <c r="D235" i="47"/>
  <c r="D246" i="47"/>
  <c r="O246" i="47" s="1"/>
  <c r="D67" i="47"/>
  <c r="D16" i="47"/>
  <c r="D63" i="47"/>
  <c r="D748" i="47"/>
  <c r="D583" i="47"/>
  <c r="D557" i="47"/>
  <c r="D306" i="47"/>
  <c r="D230" i="47"/>
  <c r="D184" i="47"/>
  <c r="D45" i="47"/>
  <c r="D202" i="47"/>
  <c r="D294" i="47"/>
  <c r="D651" i="47"/>
  <c r="D80" i="47"/>
  <c r="D281" i="47"/>
  <c r="O281" i="47" s="1"/>
  <c r="D214" i="47"/>
  <c r="O214" i="47" s="1"/>
  <c r="D524" i="47"/>
  <c r="D740" i="47"/>
  <c r="D683" i="47"/>
  <c r="D216" i="47"/>
  <c r="D873" i="47"/>
  <c r="D181" i="47"/>
  <c r="O181" i="47" s="1"/>
  <c r="D343" i="47"/>
  <c r="O848" i="47"/>
  <c r="D812" i="47"/>
  <c r="D787" i="47"/>
  <c r="D484" i="47"/>
  <c r="D523" i="47"/>
  <c r="O523" i="47" s="1"/>
  <c r="D384" i="47"/>
  <c r="O384" i="47" s="1"/>
  <c r="D231" i="47"/>
  <c r="D61" i="47"/>
  <c r="D12" i="47"/>
  <c r="D824" i="47"/>
  <c r="D577" i="47"/>
  <c r="D487" i="47"/>
  <c r="D463" i="47"/>
  <c r="D212" i="47"/>
  <c r="D228" i="47"/>
  <c r="D21" i="47"/>
  <c r="D26" i="47"/>
  <c r="D757" i="47"/>
  <c r="D602" i="47"/>
  <c r="D530" i="47"/>
  <c r="D389" i="47"/>
  <c r="O389" i="47" s="1"/>
  <c r="D632" i="47"/>
  <c r="O632" i="47" s="1"/>
  <c r="D33" i="47"/>
  <c r="D864" i="47"/>
  <c r="D891" i="47"/>
  <c r="D877" i="47"/>
  <c r="D710" i="47"/>
  <c r="D685" i="47"/>
  <c r="D619" i="47"/>
  <c r="D516" i="47"/>
  <c r="D479" i="47"/>
  <c r="D185" i="47"/>
  <c r="D255" i="47"/>
  <c r="D8" i="47"/>
  <c r="D150" i="47"/>
  <c r="D801" i="47"/>
  <c r="O801" i="47" s="1"/>
  <c r="D781" i="47"/>
  <c r="D412" i="47"/>
  <c r="D457" i="47"/>
  <c r="D209" i="47"/>
  <c r="D170" i="47"/>
  <c r="D22" i="47"/>
  <c r="D806" i="47"/>
  <c r="D321" i="47"/>
  <c r="D277" i="47"/>
  <c r="D35" i="47"/>
  <c r="D257" i="47"/>
  <c r="D314" i="47"/>
  <c r="D598" i="47"/>
  <c r="D232" i="47"/>
  <c r="D865" i="47"/>
  <c r="D253" i="47"/>
  <c r="O253" i="47" s="1"/>
  <c r="D50" i="47"/>
  <c r="O50" i="47" s="1"/>
  <c r="O86" i="47"/>
  <c r="O358" i="47"/>
  <c r="O790" i="47"/>
  <c r="D878" i="47"/>
  <c r="D742" i="47"/>
  <c r="D713" i="47"/>
  <c r="D639" i="47"/>
  <c r="D654" i="47"/>
  <c r="D580" i="47"/>
  <c r="D470" i="47"/>
  <c r="D496" i="47"/>
  <c r="D425" i="47"/>
  <c r="D374" i="47"/>
  <c r="D376" i="47"/>
  <c r="Q376" i="47" s="1"/>
  <c r="D175" i="47"/>
  <c r="D145" i="47"/>
  <c r="D4" i="47"/>
  <c r="D143" i="47"/>
  <c r="D762" i="47"/>
  <c r="D561" i="47"/>
  <c r="D409" i="47"/>
  <c r="D447" i="47"/>
  <c r="D290" i="47"/>
  <c r="D761" i="47"/>
  <c r="D286" i="47"/>
  <c r="D236" i="47"/>
  <c r="D341" i="47"/>
  <c r="D6" i="47"/>
  <c r="D771" i="47"/>
  <c r="O771" i="47" s="1"/>
  <c r="D333" i="47"/>
  <c r="D104" i="47"/>
  <c r="D694" i="47"/>
  <c r="D221" i="47"/>
  <c r="D86" i="47"/>
  <c r="D218" i="47"/>
  <c r="O218" i="47" s="1"/>
  <c r="D426" i="47"/>
  <c r="O426" i="47" s="1"/>
  <c r="D565" i="47"/>
  <c r="O305" i="47"/>
  <c r="D843" i="47"/>
  <c r="D728" i="47"/>
  <c r="D700" i="47"/>
  <c r="D655" i="47"/>
  <c r="O655" i="47" s="1"/>
  <c r="D629" i="47"/>
  <c r="O629" i="47" s="1"/>
  <c r="D574" i="47"/>
  <c r="D550" i="47"/>
  <c r="D482" i="47"/>
  <c r="D449" i="47"/>
  <c r="D351" i="47"/>
  <c r="D171" i="47"/>
  <c r="D119" i="47"/>
  <c r="D114" i="47"/>
  <c r="D634" i="47"/>
  <c r="D238" i="47"/>
  <c r="D322" i="47"/>
  <c r="D31" i="47"/>
  <c r="D39" i="47"/>
  <c r="D809" i="47"/>
  <c r="D213" i="47"/>
  <c r="O213" i="47" s="1"/>
  <c r="D198" i="47"/>
  <c r="O198" i="47" s="1"/>
  <c r="D560" i="47"/>
  <c r="D292" i="47"/>
  <c r="D630" i="47"/>
  <c r="D29" i="47"/>
  <c r="D200" i="47"/>
  <c r="D536" i="47"/>
  <c r="D889" i="47"/>
  <c r="D225" i="47"/>
  <c r="O225" i="47" s="1"/>
  <c r="D347" i="47"/>
  <c r="O347" i="47" s="1"/>
  <c r="D610" i="47"/>
  <c r="O610" i="47" s="1"/>
  <c r="O188" i="47"/>
  <c r="O540" i="47"/>
  <c r="O556" i="47"/>
  <c r="D866" i="47"/>
  <c r="D828" i="47"/>
  <c r="D818" i="47"/>
  <c r="D715" i="47"/>
  <c r="D535" i="47"/>
  <c r="D603" i="47"/>
  <c r="D456" i="47"/>
  <c r="D332" i="47"/>
  <c r="D386" i="47"/>
  <c r="D179" i="47"/>
  <c r="D84" i="47"/>
  <c r="D116" i="47"/>
  <c r="D113" i="47"/>
  <c r="D624" i="47"/>
  <c r="D813" i="47"/>
  <c r="O813" i="47" s="1"/>
  <c r="D454" i="47"/>
  <c r="O454" i="47" s="1"/>
  <c r="D289" i="47"/>
  <c r="D138" i="47"/>
  <c r="D15" i="47"/>
  <c r="D37" i="47"/>
  <c r="D777" i="47"/>
  <c r="D156" i="47"/>
  <c r="D51" i="47"/>
  <c r="D698" i="47"/>
  <c r="D176" i="47"/>
  <c r="D622" i="47"/>
  <c r="D92" i="47"/>
  <c r="O92" i="47" s="1"/>
  <c r="D229" i="47"/>
  <c r="O229" i="47" s="1"/>
  <c r="O823" i="47"/>
  <c r="D820" i="47"/>
  <c r="D815" i="47"/>
  <c r="O815" i="47" s="1"/>
  <c r="D615" i="47"/>
  <c r="D595" i="47"/>
  <c r="D385" i="47"/>
  <c r="D336" i="47"/>
  <c r="D56" i="47"/>
  <c r="D127" i="47"/>
  <c r="D106" i="47"/>
  <c r="D326" i="47"/>
  <c r="D140" i="47"/>
  <c r="D201" i="47"/>
  <c r="D301" i="47"/>
  <c r="D11" i="47"/>
  <c r="D549" i="47"/>
  <c r="D128" i="47"/>
  <c r="D146" i="47"/>
  <c r="Q146" i="47" s="1"/>
  <c r="D505" i="47"/>
  <c r="O505" i="47" s="1"/>
  <c r="D14" i="47"/>
  <c r="D517" i="47"/>
  <c r="D537" i="47"/>
  <c r="D17" i="47"/>
  <c r="D612" i="47"/>
  <c r="D23" i="47"/>
  <c r="D444" i="47"/>
  <c r="O444" i="47" s="1"/>
  <c r="D672" i="47"/>
  <c r="O672" i="47" s="1"/>
  <c r="O237" i="47"/>
  <c r="O765" i="47"/>
  <c r="D892" i="47"/>
  <c r="D750" i="47"/>
  <c r="D641" i="47"/>
  <c r="D509" i="47"/>
  <c r="D547" i="47"/>
  <c r="D432" i="47"/>
  <c r="O432" i="47" s="1"/>
  <c r="D401" i="47"/>
  <c r="D370" i="47"/>
  <c r="D349" i="47"/>
  <c r="D249" i="47"/>
  <c r="D251" i="47"/>
  <c r="D183" i="47"/>
  <c r="D48" i="47"/>
  <c r="D95" i="47"/>
  <c r="D93" i="47"/>
  <c r="D752" i="47"/>
  <c r="D819" i="47"/>
  <c r="D829" i="47"/>
  <c r="D437" i="47"/>
  <c r="D620" i="47"/>
  <c r="D466" i="47"/>
  <c r="O466" i="47" s="1"/>
  <c r="D280" i="47"/>
  <c r="O280" i="47" s="1"/>
  <c r="D144" i="47"/>
  <c r="D186" i="47"/>
  <c r="D65" i="47"/>
  <c r="D719" i="47"/>
  <c r="D72" i="47"/>
  <c r="D849" i="47"/>
  <c r="D148" i="47"/>
  <c r="D197" i="47"/>
  <c r="D118" i="47"/>
  <c r="D328" i="47"/>
  <c r="D182" i="47"/>
  <c r="D266" i="47"/>
  <c r="O266" i="47" s="1"/>
  <c r="D693" i="47"/>
  <c r="O693" i="47" s="1"/>
  <c r="O152" i="47"/>
  <c r="O344" i="47"/>
  <c r="D880" i="47"/>
  <c r="D802" i="47"/>
  <c r="D791" i="47"/>
  <c r="D746" i="47"/>
  <c r="D690" i="47"/>
  <c r="D663" i="47"/>
  <c r="D591" i="47"/>
  <c r="D569" i="47"/>
  <c r="D416" i="47"/>
  <c r="D352" i="47"/>
  <c r="D298" i="47"/>
  <c r="D303" i="47"/>
  <c r="D242" i="47"/>
  <c r="D44" i="47"/>
  <c r="O44" i="47" s="1"/>
  <c r="D64" i="47"/>
  <c r="O64" i="47" s="1"/>
  <c r="D845" i="47"/>
  <c r="D789" i="47"/>
  <c r="D821" i="47"/>
  <c r="D312" i="47"/>
  <c r="D503" i="47"/>
  <c r="D438" i="47"/>
  <c r="D222" i="47"/>
  <c r="D172" i="47"/>
  <c r="D661" i="47"/>
  <c r="D313" i="47"/>
  <c r="D18" i="47"/>
  <c r="D49" i="47"/>
  <c r="D608" i="47"/>
  <c r="D356" i="47"/>
  <c r="D485" i="47"/>
  <c r="O485" i="47" s="1"/>
  <c r="D54" i="47"/>
  <c r="O54" i="47" s="1"/>
  <c r="D189" i="47"/>
  <c r="D427" i="47"/>
  <c r="D774" i="47"/>
  <c r="D392" i="47"/>
  <c r="D108" i="47"/>
  <c r="O108" i="47" s="1"/>
  <c r="D481" i="47"/>
  <c r="O481" i="47" s="1"/>
  <c r="O419" i="47"/>
  <c r="D884" i="47"/>
  <c r="D851" i="47"/>
  <c r="D786" i="47"/>
  <c r="D772" i="47"/>
  <c r="D579" i="47"/>
  <c r="D429" i="47"/>
  <c r="D448" i="47"/>
  <c r="D402" i="47"/>
  <c r="O402" i="47" s="1"/>
  <c r="D259" i="47"/>
  <c r="D207" i="47"/>
  <c r="D40" i="47"/>
  <c r="D107" i="47"/>
  <c r="D727" i="47"/>
  <c r="D682" i="47"/>
  <c r="D652" i="47"/>
  <c r="D162" i="47"/>
  <c r="D27" i="47"/>
  <c r="D594" i="47"/>
  <c r="D154" i="47"/>
  <c r="D5" i="47"/>
  <c r="D711" i="47"/>
  <c r="D592" i="47"/>
  <c r="D276" i="47"/>
  <c r="O276" i="47" s="1"/>
  <c r="D434" i="47"/>
  <c r="O434" i="47" s="1"/>
  <c r="D46" i="47"/>
  <c r="D714" i="47"/>
  <c r="D204" i="47"/>
  <c r="D265" i="47"/>
  <c r="D660" i="47"/>
  <c r="O62" i="47"/>
  <c r="O94" i="47"/>
  <c r="O174" i="47"/>
  <c r="O462" i="47"/>
  <c r="O638" i="47"/>
  <c r="D779" i="47"/>
  <c r="D736" i="47"/>
  <c r="D703" i="47"/>
  <c r="D617" i="47"/>
  <c r="D559" i="47"/>
  <c r="D531" i="47"/>
  <c r="D502" i="47"/>
  <c r="D490" i="47"/>
  <c r="D428" i="47"/>
  <c r="D445" i="47"/>
  <c r="D363" i="47"/>
  <c r="D342" i="47"/>
  <c r="D195" i="47"/>
  <c r="D91" i="47"/>
  <c r="D36" i="47"/>
  <c r="D123" i="47"/>
  <c r="D153" i="47"/>
  <c r="D510" i="47"/>
  <c r="D320" i="47"/>
  <c r="O320" i="47" s="1"/>
  <c r="D25" i="47"/>
  <c r="O25" i="47" s="1"/>
  <c r="D149" i="47"/>
  <c r="D396" i="47"/>
  <c r="D47" i="47"/>
  <c r="D588" i="47"/>
  <c r="D471" i="47"/>
  <c r="D430" i="47"/>
  <c r="D773" i="47"/>
  <c r="D618" i="47"/>
  <c r="D817" i="47"/>
  <c r="D337" i="47"/>
  <c r="D273" i="47"/>
  <c r="O273" i="47" s="1"/>
  <c r="D499" i="47"/>
  <c r="O499" i="47" s="1"/>
  <c r="D718" i="47"/>
  <c r="O718" i="47" s="1"/>
  <c r="D887" i="47"/>
  <c r="D782" i="47"/>
  <c r="D709" i="47"/>
  <c r="O709" i="47" s="1"/>
  <c r="D584" i="47"/>
  <c r="D476" i="47"/>
  <c r="D508" i="47"/>
  <c r="D361" i="47"/>
  <c r="D32" i="47"/>
  <c r="D109" i="47"/>
  <c r="D846" i="47"/>
  <c r="D708" i="47"/>
  <c r="D318" i="47"/>
  <c r="D205" i="47"/>
  <c r="D269" i="47"/>
  <c r="D124" i="47"/>
  <c r="D19" i="47"/>
  <c r="D78" i="47"/>
  <c r="D841" i="47"/>
  <c r="O841" i="47" s="1"/>
  <c r="D518" i="47"/>
  <c r="O518" i="47" s="1"/>
  <c r="D563" i="47"/>
  <c r="D458" i="47"/>
  <c r="O458" i="47" s="1"/>
  <c r="D310" i="47"/>
  <c r="D169" i="47"/>
  <c r="D533" i="47"/>
  <c r="D769" i="47"/>
  <c r="D284" i="47"/>
  <c r="O284" i="47" s="1"/>
  <c r="D2" i="47"/>
  <c r="O2" i="47" s="1"/>
  <c r="D136" i="47"/>
  <c r="O136" i="47" s="1"/>
  <c r="D501" i="47"/>
  <c r="O501" i="47" s="1"/>
  <c r="O722" i="47"/>
  <c r="D98" i="47"/>
  <c r="O98" i="47" s="1"/>
  <c r="O196" i="47"/>
  <c r="O260" i="47"/>
  <c r="O324" i="47"/>
  <c r="O436" i="47"/>
  <c r="O532" i="47"/>
  <c r="O756" i="47"/>
  <c r="O852" i="47"/>
  <c r="D879" i="47"/>
  <c r="D775" i="47"/>
  <c r="D684" i="47"/>
  <c r="D600" i="47"/>
  <c r="D568" i="47"/>
  <c r="D325" i="47"/>
  <c r="D254" i="47"/>
  <c r="D227" i="47"/>
  <c r="D79" i="47"/>
  <c r="D686" i="47"/>
  <c r="D664" i="47"/>
  <c r="D628" i="47"/>
  <c r="O628" i="47" s="1"/>
  <c r="D121" i="47"/>
  <c r="O121" i="47" s="1"/>
  <c r="D41" i="47"/>
  <c r="D194" i="47"/>
  <c r="O194" i="47" s="1"/>
  <c r="D668" i="47"/>
  <c r="D424" i="47"/>
  <c r="D220" i="47"/>
  <c r="D161" i="47"/>
  <c r="D68" i="47"/>
  <c r="D724" i="47"/>
  <c r="D658" i="47"/>
  <c r="D38" i="47"/>
  <c r="O38" i="47" s="1"/>
  <c r="D152" i="47"/>
  <c r="D288" i="47"/>
  <c r="O288" i="47" s="1"/>
  <c r="D734" i="47"/>
  <c r="O734" i="47" s="1"/>
  <c r="D766" i="47"/>
  <c r="D784" i="47"/>
  <c r="O784" i="47" s="1"/>
  <c r="D733" i="47"/>
  <c r="O733" i="47" s="1"/>
  <c r="D582" i="47"/>
  <c r="D627" i="47"/>
  <c r="D539" i="47"/>
  <c r="D575" i="47"/>
  <c r="D453" i="47"/>
  <c r="D440" i="47"/>
  <c r="D390" i="47"/>
  <c r="D372" i="47"/>
  <c r="D319" i="47"/>
  <c r="D323" i="47"/>
  <c r="D215" i="47"/>
  <c r="D103" i="47"/>
  <c r="D24" i="47"/>
  <c r="D669" i="47"/>
  <c r="D842" i="47"/>
  <c r="O842" i="47" s="1"/>
  <c r="D450" i="47"/>
  <c r="O450" i="47" s="1"/>
  <c r="D285" i="47"/>
  <c r="D122" i="47"/>
  <c r="O122" i="47" s="1"/>
  <c r="D190" i="47"/>
  <c r="D656" i="47"/>
  <c r="D248" i="47"/>
  <c r="D327" i="47"/>
  <c r="D408" i="47"/>
  <c r="D178" i="47"/>
  <c r="D97" i="47"/>
  <c r="D130" i="47"/>
  <c r="D837" i="47"/>
  <c r="D264" i="47"/>
  <c r="D208" i="47"/>
  <c r="D869" i="47"/>
  <c r="D42" i="47"/>
  <c r="O42" i="47" s="1"/>
  <c r="D166" i="47"/>
  <c r="Q166" i="47" s="1"/>
  <c r="D304" i="47"/>
  <c r="O304" i="47" s="1"/>
  <c r="D520" i="47"/>
  <c r="O520" i="47" s="1"/>
  <c r="D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O65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O221"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O328"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536"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O264"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O176" i="47"/>
  <c r="O200"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O861" i="47"/>
  <c r="F861" i="47"/>
  <c r="C631" i="47"/>
  <c r="H631" i="47" s="1"/>
  <c r="C677" i="47"/>
  <c r="B714" i="47"/>
  <c r="P799" i="47"/>
  <c r="O837"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O97"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Q539" i="47" s="1"/>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O711" i="47"/>
  <c r="C711" i="47"/>
  <c r="I711" i="47" s="1"/>
  <c r="P834" i="47"/>
  <c r="F834" i="47"/>
  <c r="C834" i="47"/>
  <c r="P4" i="47"/>
  <c r="O49"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O651" i="47"/>
  <c r="P763" i="47"/>
  <c r="P631" i="47"/>
  <c r="O656" i="47"/>
  <c r="O668"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O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O201" i="47"/>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O412" i="47"/>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O752"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Q20"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Q298"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O782" i="47"/>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I625" i="47" l="1"/>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<sst xmlns="http://schemas.openxmlformats.org/spreadsheetml/2006/main" count="24489" uniqueCount="8433">
  <si>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</si>
  <si>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</si>
  <si>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</si>
  <si>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</si>
  <si>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</si>
  <si>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</si>
  <si>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</si>
  <si>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</si>
  <si>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</si>
  <si>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</si>
  <si>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</si>
  <si>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</si>
  <si>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</si>
  <si>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</si>
  <si>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</si>
  <si>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</si>
  <si>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</si>
  <si>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</si>
  <si>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</si>
  <si>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</si>
  <si>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</si>
  <si>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</si>
  <si>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</si>
  <si>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</si>
  <si>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</si>
  <si>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</si>
  <si>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</si>
  <si>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</si>
  <si>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</si>
  <si>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</si>
  <si>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</si>
  <si>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</si>
  <si>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</si>
  <si>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</si>
  <si>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</si>
  <si>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</si>
  <si>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</si>
  <si>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</si>
  <si>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</si>
  <si>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</si>
  <si>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</si>
  <si>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</si>
  <si>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</si>
  <si>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</si>
  <si>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</si>
  <si>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</si>
  <si>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</si>
  <si>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</si>
  <si>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</si>
  <si>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</si>
  <si>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</si>
  <si>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</si>
  <si>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</si>
  <si>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</si>
  <si>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</si>
  <si>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</si>
  <si>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</si>
  <si>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</si>
  <si>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</si>
  <si>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</si>
  <si>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</si>
  <si>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</si>
  <si>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</si>
  <si>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</si>
  <si>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</si>
  <si>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</si>
  <si>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</si>
  <si>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</si>
  <si>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</si>
  <si>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</si>
  <si>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</si>
  <si>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</si>
  <si>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</si>
  <si>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</si>
  <si>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</si>
  <si>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</si>
  <si>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</si>
  <si>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</si>
  <si>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</si>
  <si>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</si>
  <si>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</si>
  <si>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</si>
  <si>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</si>
  <si>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</si>
  <si>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</si>
  <si>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</si>
  <si>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</si>
  <si>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</si>
  <si>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</si>
  <si>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</si>
  <si>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</si>
  <si>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</si>
  <si>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</si>
  <si>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</si>
  <si>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</si>
  <si>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</si>
  <si>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</si>
  <si>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</si>
  <si>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</si>
  <si>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</si>
  <si>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</si>
  <si>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</si>
  <si>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</si>
  <si>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</si>
  <si>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</si>
  <si>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</si>
  <si>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</si>
  <si>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</si>
  <si>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</si>
  <si>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</si>
  <si>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</si>
  <si>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</si>
  <si>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</si>
  <si>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</si>
  <si>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</si>
  <si>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</si>
  <si>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</si>
  <si>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</si>
  <si>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</si>
  <si>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</si>
  <si>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</si>
  <si>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</si>
  <si>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</si>
  <si>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</si>
  <si>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</si>
  <si>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</si>
  <si>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</si>
  <si>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</si>
  <si>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</si>
  <si>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</si>
  <si>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</si>
  <si>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</si>
  <si>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</si>
  <si>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</si>
  <si>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</si>
  <si>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</si>
  <si>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</si>
  <si>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</si>
  <si>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</si>
  <si>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</si>
  <si>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</si>
  <si>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</si>
  <si>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</si>
  <si>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</si>
  <si>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</si>
  <si>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</si>
  <si>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</si>
  <si>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</si>
  <si>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</si>
  <si>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</si>
  <si>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</si>
  <si>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</si>
  <si>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</si>
  <si>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</si>
  <si>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</si>
  <si>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</si>
  <si>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</si>
  <si>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</si>
  <si>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</si>
  <si>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</si>
  <si>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</si>
  <si>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</si>
  <si>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</si>
  <si>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</si>
  <si>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</si>
  <si>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</si>
  <si>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</si>
  <si>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</si>
  <si>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</si>
  <si>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</si>
  <si>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</si>
  <si>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</si>
  <si>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</si>
  <si>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</si>
  <si>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</si>
  <si>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</si>
  <si>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</si>
  <si>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</si>
  <si>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</si>
  <si>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</si>
  <si>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</si>
  <si>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</si>
  <si>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</si>
  <si>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</si>
  <si>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</si>
  <si>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</si>
  <si>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</si>
  <si>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</si>
  <si>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</si>
  <si>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</si>
  <si>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</si>
  <si>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</si>
  <si>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</si>
  <si>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</si>
  <si>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</si>
  <si>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</si>
  <si>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</si>
  <si>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</si>
  <si>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</si>
  <si>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</si>
  <si>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</si>
  <si>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</si>
  <si>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</si>
  <si>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</si>
  <si>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</si>
  <si>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</si>
  <si>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</si>
  <si>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</si>
  <si>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</si>
  <si>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</si>
  <si>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</si>
  <si>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</si>
  <si>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</si>
  <si>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</si>
  <si>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</si>
  <si>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</si>
  <si>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</si>
  <si>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</si>
  <si>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</si>
  <si>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</si>
  <si>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</si>
  <si>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</si>
  <si>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</si>
  <si>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</si>
  <si>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</si>
  <si>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</si>
  <si>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</si>
  <si>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</si>
  <si>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</si>
  <si>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</si>
  <si>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</si>
  <si>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</si>
  <si>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</si>
  <si>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</si>
  <si>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</si>
  <si>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</si>
  <si>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</si>
  <si>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</si>
  <si>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</si>
  <si>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</si>
  <si>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</si>
  <si>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</si>
  <si>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</si>
  <si>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</si>
  <si>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</si>
  <si>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</si>
  <si>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</si>
  <si>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</si>
  <si>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</si>
  <si>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</si>
  <si>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</si>
  <si>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</si>
  <si>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</si>
  <si>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</si>
  <si>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</si>
  <si>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</si>
  <si>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</si>
  <si>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</si>
  <si>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</si>
  <si>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</si>
  <si>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</si>
  <si>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</si>
  <si>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</si>
  <si>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</si>
  <si>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</si>
  <si>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</si>
  <si>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</si>
  <si>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</si>
  <si>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</si>
  <si>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</si>
  <si>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</si>
  <si>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</si>
  <si>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</si>
  <si>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</si>
  <si>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</si>
  <si>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</si>
  <si>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</si>
  <si>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</si>
  <si>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</si>
  <si>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</si>
  <si>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</si>
  <si>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</si>
  <si>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</si>
  <si>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</si>
  <si>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</si>
  <si>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</si>
  <si>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</si>
  <si>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</si>
  <si>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</si>
  <si>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</si>
  <si>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</si>
  <si>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</si>
  <si>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</si>
  <si>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</si>
  <si>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</si>
  <si>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</si>
  <si>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</si>
  <si>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</si>
  <si>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</si>
  <si>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</si>
  <si>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</si>
  <si>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</si>
  <si>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</si>
  <si>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</si>
  <si>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</si>
  <si>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</si>
  <si>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</si>
  <si>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</si>
  <si>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</si>
  <si>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</si>
  <si>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</si>
  <si>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</si>
  <si>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</si>
  <si>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</si>
  <si>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</si>
  <si>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</si>
  <si>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</si>
  <si>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</si>
  <si>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</si>
  <si>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</si>
  <si>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</si>
  <si>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</si>
  <si>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</si>
  <si>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</si>
  <si>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</si>
  <si>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</si>
  <si>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</si>
  <si>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</si>
  <si>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</si>
  <si>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</si>
  <si>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</si>
  <si>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</si>
  <si>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</si>
  <si>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</si>
  <si>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</si>
  <si>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</si>
  <si>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</si>
  <si>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</si>
  <si>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</si>
  <si>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</si>
  <si>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</si>
  <si>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</si>
  <si>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</si>
  <si>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</si>
  <si>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</si>
  <si>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</si>
  <si>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</si>
  <si>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</si>
  <si>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</si>
  <si>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</si>
  <si>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</si>
  <si>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</si>
  <si>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</si>
  <si>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</si>
  <si>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</si>
  <si>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</si>
  <si>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</si>
  <si>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</si>
  <si>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</si>
  <si>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</si>
  <si>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</si>
  <si>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</si>
  <si>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</si>
  <si>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</si>
  <si>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</si>
  <si>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</si>
  <si>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</si>
  <si>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</si>
  <si>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</si>
  <si>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</si>
  <si>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</si>
  <si>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</si>
  <si>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</si>
  <si>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</si>
  <si>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</si>
  <si>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</si>
  <si>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</si>
  <si>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</si>
  <si>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</si>
  <si>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</si>
  <si>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</si>
  <si>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</si>
  <si>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</si>
  <si>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</si>
  <si>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</si>
  <si>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</si>
  <si>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</si>
  <si>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</si>
  <si>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</si>
  <si>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</si>
  <si>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</si>
  <si>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</si>
  <si>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</si>
  <si>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</si>
  <si>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</si>
  <si>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</si>
  <si>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</si>
  <si>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</si>
  <si>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</si>
  <si>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</si>
  <si>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</si>
  <si>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</si>
  <si>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</si>
  <si>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</si>
  <si>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</si>
  <si>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</si>
  <si>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</si>
  <si>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</si>
  <si>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</si>
  <si>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</si>
  <si>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</si>
  <si>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</si>
  <si>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</si>
  <si>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</si>
  <si>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</si>
  <si>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</si>
  <si>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</si>
  <si>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</si>
  <si>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</si>
  <si>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</si>
  <si>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</si>
  <si>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</si>
  <si>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</si>
  <si>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</si>
  <si>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</si>
  <si>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</si>
  <si>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</si>
  <si>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</si>
  <si>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</si>
  <si>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</si>
  <si>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</si>
  <si>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</si>
  <si>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</si>
  <si>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</si>
  <si>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</si>
  <si>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</si>
  <si>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</si>
  <si>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</si>
  <si>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</si>
  <si>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</si>
  <si>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</si>
  <si>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</si>
  <si>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</si>
  <si>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</si>
  <si>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</si>
  <si>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</si>
  <si>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</si>
  <si>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</si>
  <si>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</si>
  <si>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</si>
  <si>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</si>
  <si>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</si>
  <si>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</si>
  <si>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</si>
  <si>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</si>
  <si>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</si>
  <si>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</si>
  <si>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</si>
  <si>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</si>
  <si>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</si>
  <si>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</si>
  <si>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</si>
  <si>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</si>
  <si>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</si>
  <si>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</si>
  <si>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</si>
  <si>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</si>
  <si>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</si>
  <si>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</si>
  <si>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</si>
  <si>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</si>
  <si>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</si>
  <si>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</si>
  <si>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</si>
  <si>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</si>
  <si>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</si>
  <si>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</si>
  <si>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</si>
  <si>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</si>
  <si>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</si>
  <si>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</si>
  <si>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</si>
  <si>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</si>
  <si>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</si>
  <si>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</si>
  <si>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</si>
  <si>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</si>
  <si>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</si>
  <si>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</si>
  <si>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</si>
  <si>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</si>
  <si>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</si>
  <si>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</si>
  <si>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</si>
  <si>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</si>
  <si>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</si>
  <si>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</si>
  <si>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</si>
  <si>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</si>
  <si>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</si>
  <si>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</si>
  <si>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</si>
  <si>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</si>
  <si>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</si>
  <si>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</si>
  <si>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</si>
  <si>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</si>
  <si>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</si>
  <si>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</si>
  <si>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</si>
  <si>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</si>
  <si>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</si>
  <si>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</si>
  <si>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</si>
  <si>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</si>
  <si>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</si>
  <si>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</si>
  <si>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</si>
  <si>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</si>
  <si>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</si>
  <si>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</si>
  <si>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</si>
  <si>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</si>
  <si>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</si>
  <si>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</si>
  <si>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</si>
  <si>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</si>
  <si>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</si>
  <si>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</si>
  <si>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</si>
  <si>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</si>
  <si>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</si>
  <si>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</si>
  <si>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</si>
  <si>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</si>
  <si>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</si>
  <si>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</si>
  <si>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</si>
  <si>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</si>
  <si>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</si>
  <si>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</si>
  <si>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</si>
  <si>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</si>
  <si>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</si>
  <si>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</si>
  <si>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</si>
  <si>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</si>
  <si>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</si>
  <si>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</si>
  <si>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</si>
  <si>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</si>
  <si>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</si>
  <si>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</si>
  <si>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</si>
  <si>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</si>
  <si>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</si>
  <si>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</si>
  <si>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</si>
  <si>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</si>
  <si>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</si>
  <si>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</si>
  <si>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</si>
  <si>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</si>
  <si>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</si>
  <si>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</si>
  <si>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</si>
  <si>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</si>
  <si>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</si>
  <si>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</si>
  <si>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</si>
  <si>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</si>
  <si>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</si>
  <si>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</si>
  <si>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</si>
  <si>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</si>
  <si>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</si>
  <si>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</si>
  <si>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</si>
  <si>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</si>
  <si>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</si>
  <si>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</si>
  <si>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</si>
  <si>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</si>
  <si>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</si>
  <si>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</si>
  <si>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</si>
  <si>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</si>
  <si>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</si>
  <si>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</si>
  <si>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</si>
  <si>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</si>
  <si>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</si>
  <si>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</si>
  <si>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</si>
  <si>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</si>
  <si>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</si>
  <si>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</si>
  <si>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</si>
  <si>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</si>
  <si>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</si>
  <si>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</si>
  <si>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</si>
  <si>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</si>
  <si>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</si>
  <si>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</si>
  <si>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</si>
  <si>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</si>
  <si>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</si>
  <si>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</si>
  <si>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</si>
  <si>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</si>
  <si>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</si>
  <si>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</si>
  <si>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</si>
  <si>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</si>
  <si>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</si>
  <si>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</si>
  <si>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</si>
  <si>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</si>
  <si>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</si>
  <si>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</si>
  <si>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</si>
  <si>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</si>
  <si>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</si>
  <si>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</si>
  <si>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</si>
  <si>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</si>
  <si>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</si>
  <si>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</si>
  <si>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</si>
  <si>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</si>
  <si>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</si>
  <si>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</si>
  <si>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</si>
  <si>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</si>
  <si>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</si>
  <si>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</si>
  <si>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</si>
  <si>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</si>
  <si>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</si>
  <si>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</si>
  <si>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</si>
  <si>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</si>
  <si>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</si>
  <si>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</si>
  <si>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</si>
  <si>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</si>
  <si>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</si>
  <si>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</si>
  <si>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</si>
  <si>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</si>
  <si>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</si>
  <si>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</si>
  <si>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</si>
  <si>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</si>
  <si>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</si>
  <si>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</si>
  <si>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</si>
  <si>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</si>
  <si>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</si>
  <si>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</si>
  <si>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</si>
  <si>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</si>
  <si>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</si>
  <si>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</si>
  <si>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</si>
  <si>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</si>
  <si>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</si>
  <si>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</si>
  <si>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</si>
  <si>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</si>
  <si>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</si>
  <si>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</si>
  <si>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</si>
  <si>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</si>
  <si>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</si>
  <si>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</si>
  <si>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</si>
  <si>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</si>
  <si>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</si>
  <si>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</si>
  <si>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</si>
  <si>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</si>
  <si>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</si>
  <si>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</si>
  <si>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</si>
  <si>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</si>
  <si>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</si>
  <si>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</si>
  <si>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</si>
  <si>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</si>
  <si>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</si>
  <si>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</si>
  <si>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</si>
  <si>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</si>
  <si>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</si>
  <si>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</si>
  <si>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</si>
  <si>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</si>
  <si>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</si>
  <si>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</si>
  <si>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</si>
  <si>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</si>
  <si>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</si>
  <si>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</si>
  <si>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</si>
  <si>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</si>
  <si>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</si>
  <si>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</si>
  <si>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</si>
  <si>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</si>
  <si>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</si>
  <si>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</si>
  <si>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</si>
  <si>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</si>
  <si>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</si>
  <si>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</si>
  <si>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</si>
  <si>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</si>
  <si>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</si>
  <si>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</si>
  <si>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</si>
  <si>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</si>
  <si>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</si>
  <si>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</si>
  <si>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</si>
  <si>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</si>
  <si>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</si>
  <si>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</si>
  <si>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</si>
  <si>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</si>
  <si>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</si>
  <si>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</si>
  <si>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</si>
  <si>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</si>
  <si>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</si>
  <si>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</si>
  <si>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</si>
  <si>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</si>
  <si>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</si>
  <si>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</si>
  <si>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</si>
  <si>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</si>
  <si>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</si>
  <si>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</si>
  <si>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</si>
  <si>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</si>
  <si>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</si>
  <si>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</si>
  <si>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</si>
  <si>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</si>
  <si>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</si>
  <si>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</si>
  <si>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</si>
  <si>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</si>
  <si>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</si>
  <si>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</si>
  <si>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</si>
  <si>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</si>
  <si>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</si>
  <si>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</si>
  <si>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</si>
  <si>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</si>
  <si>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</si>
  <si>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</si>
  <si>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</si>
  <si>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</si>
  <si>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</si>
  <si>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</si>
  <si>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</si>
  <si>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</si>
  <si>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</si>
  <si>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</si>
  <si>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</si>
  <si>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</si>
  <si>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</si>
  <si>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</si>
  <si>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</si>
  <si>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</si>
  <si>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</si>
  <si>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</si>
  <si>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</si>
  <si>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</si>
  <si>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</si>
  <si>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</si>
  <si>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</si>
  <si>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</si>
  <si>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</si>
  <si>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</si>
  <si>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</si>
  <si>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</si>
  <si>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</si>
  <si>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</si>
  <si>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</si>
  <si>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</si>
  <si>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</si>
  <si>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</si>
  <si>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</si>
  <si>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</si>
  <si>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</si>
  <si>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</si>
  <si>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</si>
  <si>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</si>
  <si>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</si>
  <si>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</si>
  <si>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</si>
  <si>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</si>
  <si>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</si>
  <si>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</si>
  <si>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</si>
  <si>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</si>
  <si>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</si>
  <si>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</si>
  <si>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</si>
  <si>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</si>
  <si>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</si>
  <si>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</si>
  <si>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</si>
  <si>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</si>
  <si>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</si>
  <si>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</si>
  <si>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</si>
  <si>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</si>
  <si>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</si>
  <si>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</si>
  <si>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</si>
  <si>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</si>
  <si>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</si>
  <si>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</si>
  <si>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</si>
  <si>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</si>
  <si>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</si>
  <si>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</si>
  <si>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</si>
  <si>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</si>
  <si>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</si>
  <si>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</si>
  <si>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</si>
  <si>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</si>
  <si>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</si>
  <si>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</si>
  <si>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</si>
  <si>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</si>
  <si>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</si>
  <si>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</si>
  <si>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</si>
  <si>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</si>
  <si>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</si>
  <si>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</si>
  <si>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</si>
  <si>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</si>
  <si>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</si>
  <si>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</si>
  <si>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</si>
  <si>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</si>
  <si>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</si>
  <si>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</si>
  <si>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</si>
  <si>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</si>
  <si>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</si>
  <si>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</si>
  <si>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</si>
  <si>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</si>
  <si>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</si>
  <si>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</si>
  <si>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</si>
  <si>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</si>
  <si>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</si>
  <si>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</si>
  <si>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</si>
  <si>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</si>
  <si>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</si>
  <si>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</si>
  <si>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</si>
  <si>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</si>
  <si>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</si>
  <si>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</si>
  <si>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</si>
  <si>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</si>
  <si>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</si>
  <si>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</si>
  <si>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</si>
  <si>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</si>
  <si>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</si>
  <si>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</si>
  <si>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</si>
  <si>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</si>
  <si>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</si>
  <si>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</si>
  <si>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</si>
  <si>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</si>
  <si>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</si>
  <si>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</si>
  <si>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</si>
  <si>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</si>
  <si>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</si>
  <si>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</si>
  <si>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</si>
  <si>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</si>
  <si>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</si>
  <si>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</si>
  <si>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</si>
  <si>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</si>
  <si>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</si>
  <si>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</si>
  <si>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</si>
  <si>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</si>
  <si>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</si>
  <si>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</si>
  <si>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</si>
  <si>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</si>
  <si>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</si>
  <si>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</si>
  <si>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</si>
  <si>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</si>
  <si>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</si>
  <si>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</si>
  <si>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</si>
  <si>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</si>
  <si>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</si>
  <si>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</si>
  <si>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</si>
  <si>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</si>
  <si>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</si>
  <si>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</si>
  <si>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</si>
  <si>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</si>
  <si>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</si>
  <si>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</si>
  <si>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</si>
  <si>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</si>
  <si>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</si>
  <si>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</si>
  <si>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</si>
  <si>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</si>
  <si>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</si>
  <si>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</si>
  <si>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</si>
  <si>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</si>
  <si>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</si>
  <si>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</si>
  <si>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</si>
  <si>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</si>
  <si>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</si>
  <si>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</si>
  <si>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</si>
  <si>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</si>
  <si>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</si>
  <si>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</si>
  <si>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</si>
  <si>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</si>
  <si>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</si>
  <si>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</si>
  <si>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</si>
  <si>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</si>
  <si>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</si>
  <si>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</si>
  <si>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</si>
  <si>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</si>
  <si>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</si>
  <si>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</si>
  <si>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</si>
  <si>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</si>
  <si>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</si>
  <si>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</si>
  <si>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</si>
  <si>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</si>
  <si>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</si>
  <si>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</si>
  <si>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</si>
  <si>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</si>
  <si>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</si>
  <si>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</si>
  <si>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</si>
  <si>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</si>
  <si>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</si>
  <si>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</si>
  <si>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</si>
  <si>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</si>
  <si>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</si>
  <si>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</si>
  <si>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</si>
  <si>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</si>
  <si>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</si>
  <si>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</si>
  <si>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</si>
  <si>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</si>
  <si>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</si>
  <si>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</si>
  <si>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</si>
  <si>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</si>
  <si>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</si>
  <si>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</si>
  <si>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</si>
  <si>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</si>
  <si>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</si>
  <si>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</si>
  <si>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</si>
  <si>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</si>
  <si>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</si>
  <si>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</si>
  <si>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</si>
  <si>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</si>
  <si>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</si>
  <si>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</si>
  <si>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</si>
  <si>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</si>
  <si>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</si>
  <si>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</si>
  <si>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</si>
  <si>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</si>
  <si>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</si>
  <si>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</si>
  <si>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</si>
  <si>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</si>
  <si>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</si>
  <si>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</si>
  <si>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</si>
  <si>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</si>
  <si>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</si>
  <si>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</si>
  <si>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</si>
  <si>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</si>
  <si>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</si>
  <si>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</si>
  <si>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</si>
  <si>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</si>
  <si>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</si>
  <si>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</si>
  <si>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</si>
  <si>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</si>
  <si>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</si>
  <si>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</si>
  <si>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</si>
  <si>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</si>
  <si>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</si>
  <si>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</si>
  <si>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</si>
  <si>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</si>
  <si>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</si>
  <si>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</si>
  <si>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</si>
  <si>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</si>
  <si>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</si>
  <si>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</si>
  <si>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</si>
  <si>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</si>
  <si>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</si>
  <si>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</si>
  <si>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</si>
  <si>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</si>
  <si>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</si>
  <si>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</si>
  <si>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</si>
  <si>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</si>
  <si>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</si>
  <si>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</si>
  <si>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</si>
  <si>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</si>
  <si>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</si>
  <si>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</si>
  <si>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</si>
  <si>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</si>
  <si>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</si>
  <si>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</si>
  <si>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</si>
  <si>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</si>
  <si>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</si>
  <si>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</si>
  <si>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</si>
  <si>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</si>
  <si>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</si>
  <si>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</si>
  <si>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</si>
  <si>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</si>
  <si>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</si>
  <si>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</si>
  <si>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</si>
  <si>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</si>
  <si>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</si>
  <si>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</si>
  <si>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</si>
  <si>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</si>
  <si>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</si>
  <si>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</si>
  <si>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</si>
  <si>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</si>
  <si>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</si>
  <si>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</si>
  <si>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</si>
  <si>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</si>
  <si>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</si>
  <si>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</si>
  <si>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</si>
  <si>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</si>
  <si>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</si>
  <si>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</si>
  <si>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</si>
  <si>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</si>
  <si>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</si>
  <si>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</si>
  <si>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</si>
  <si>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</si>
  <si>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</si>
  <si>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</si>
  <si>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</si>
  <si>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</si>
  <si>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</si>
  <si>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</si>
  <si>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</si>
  <si>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</si>
  <si>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</si>
  <si>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</si>
  <si>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</si>
  <si>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</si>
  <si>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</si>
  <si>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</si>
  <si>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</si>
  <si>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</si>
  <si>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</si>
  <si>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</si>
  <si>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</si>
  <si>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</si>
  <si>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</si>
  <si>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</si>
  <si>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</si>
  <si>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</si>
  <si>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</si>
  <si>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</si>
  <si>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</si>
  <si>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</si>
  <si>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</si>
  <si>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</si>
  <si>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</si>
  <si>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</si>
  <si>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</si>
  <si>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</si>
  <si>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</si>
  <si>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</si>
  <si>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</si>
  <si>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</si>
  <si>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</si>
  <si>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</si>
  <si>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</si>
  <si>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</si>
  <si>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</si>
  <si>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</si>
  <si>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</si>
  <si>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</si>
  <si>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</si>
  <si>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</si>
  <si>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</si>
  <si>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</si>
  <si>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</si>
  <si>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</si>
  <si>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</si>
  <si>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</si>
  <si>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</si>
  <si>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</si>
  <si>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</si>
  <si>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</si>
  <si>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</si>
  <si>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</si>
  <si>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</si>
  <si>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</si>
  <si>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</si>
  <si>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</si>
  <si>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</si>
  <si>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</si>
  <si>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</si>
  <si>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</si>
  <si>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</si>
  <si>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</si>
  <si>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</si>
  <si>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</si>
  <si>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</si>
  <si>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</si>
  <si>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</si>
  <si>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</si>
  <si>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</si>
  <si>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</si>
  <si>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</si>
  <si>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</si>
  <si>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</si>
  <si>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</si>
  <si>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</si>
  <si>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</si>
  <si>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</si>
  <si>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</si>
  <si>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</si>
  <si>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</si>
  <si>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</si>
  <si>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</si>
  <si>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</si>
  <si>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</si>
  <si>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</si>
  <si>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</si>
  <si>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</si>
  <si>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</si>
  <si>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</si>
  <si>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</si>
  <si>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</si>
  <si>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</si>
  <si>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</si>
  <si>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</si>
  <si>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</si>
  <si>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</si>
  <si>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</si>
  <si>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</si>
  <si>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</si>
  <si>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</si>
  <si>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</si>
  <si>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</si>
  <si>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</si>
  <si>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</si>
  <si>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</si>
  <si>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</si>
  <si>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</si>
  <si>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</si>
  <si>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</si>
  <si>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</si>
  <si>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</si>
  <si>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</si>
  <si>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</si>
  <si>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</si>
  <si>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</si>
  <si>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</si>
  <si>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</si>
  <si>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</si>
  <si>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</si>
  <si>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</si>
  <si>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</si>
  <si>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</si>
  <si>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</si>
  <si>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</si>
  <si>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</si>
  <si>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</si>
  <si>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</si>
  <si>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</si>
  <si>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</si>
  <si>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</si>
  <si>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</si>
  <si>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</si>
  <si>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</si>
  <si>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</si>
  <si>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</si>
  <si>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</si>
  <si>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</si>
  <si>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</si>
  <si>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</si>
  <si>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</si>
  <si>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</si>
  <si>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</si>
  <si>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</si>
  <si>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</si>
  <si>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</si>
  <si>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</si>
  <si>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</si>
  <si>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</si>
  <si>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</si>
  <si>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</si>
  <si>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</si>
  <si>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</si>
  <si>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</si>
  <si>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</si>
  <si>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</si>
  <si>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</si>
  <si>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</si>
  <si>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</si>
  <si>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</si>
  <si>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</si>
  <si>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</si>
  <si>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</si>
  <si>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</si>
  <si>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</si>
  <si>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</si>
  <si>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</si>
  <si>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</si>
  <si>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</si>
  <si>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</si>
  <si>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</si>
  <si>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</si>
  <si>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</si>
  <si>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</si>
  <si>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</si>
  <si>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</si>
  <si>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</si>
  <si>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</si>
  <si>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</si>
  <si>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</si>
  <si>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</si>
  <si>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</si>
  <si>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</si>
  <si>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</si>
  <si>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</si>
  <si>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</si>
  <si>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</si>
  <si>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</si>
  <si>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</si>
  <si>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</si>
  <si>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</si>
  <si>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</si>
  <si>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</si>
  <si>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</si>
  <si>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</si>
  <si>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</si>
  <si>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</si>
  <si>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</si>
  <si>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</si>
  <si>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</si>
  <si>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</si>
  <si>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</si>
  <si>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</si>
  <si>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</si>
  <si>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</si>
  <si>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</si>
  <si>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</si>
  <si>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</si>
  <si>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</si>
  <si>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</si>
  <si>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</si>
  <si>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</si>
  <si>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</si>
  <si>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</si>
  <si>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</si>
  <si>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</si>
  <si>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</si>
  <si>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</si>
  <si>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</si>
  <si>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</si>
  <si>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</si>
  <si>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</si>
  <si>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</si>
  <si>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</si>
  <si>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</si>
  <si>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</si>
  <si>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</si>
  <si>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</si>
  <si>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</si>
  <si>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</si>
  <si>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</si>
  <si>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</si>
  <si>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</si>
  <si>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</si>
  <si>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</si>
  <si>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</si>
  <si>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</si>
  <si>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</si>
  <si>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</si>
  <si>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</si>
  <si>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</si>
  <si>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</si>
  <si>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</si>
  <si>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</si>
  <si>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</si>
  <si>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</si>
  <si>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</si>
  <si>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</si>
  <si>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</si>
  <si>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</si>
  <si>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</si>
  <si>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</si>
  <si>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</si>
  <si>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</si>
  <si>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</si>
  <si>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</si>
  <si>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</si>
  <si>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</si>
  <si>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</si>
  <si>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</si>
  <si>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</si>
  <si>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</si>
  <si>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</si>
  <si>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</si>
  <si>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</si>
  <si>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</si>
  <si>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</si>
  <si>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</si>
  <si>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</si>
  <si>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</si>
  <si>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</si>
  <si>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</si>
  <si>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</si>
  <si>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</si>
  <si>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</si>
  <si>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</si>
  <si>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</si>
  <si>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</si>
  <si>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</si>
  <si>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</si>
  <si>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</si>
  <si>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</si>
  <si>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</si>
  <si>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</si>
  <si>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</si>
  <si>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</si>
  <si>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</si>
  <si>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</si>
  <si>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</si>
  <si>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</si>
  <si>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</si>
  <si>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</si>
  <si>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</si>
  <si>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</si>
  <si>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</si>
  <si>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</si>
  <si>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</si>
  <si>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</si>
  <si>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</si>
  <si>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</si>
  <si>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</si>
  <si>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</si>
  <si>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</si>
  <si>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</si>
  <si>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</si>
  <si>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</si>
  <si>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</si>
  <si>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</si>
  <si>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</si>
  <si>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</si>
  <si>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</si>
  <si>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</si>
  <si>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</si>
  <si>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</si>
  <si>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</si>
  <si>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</si>
  <si>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</si>
  <si>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</si>
  <si>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</si>
  <si>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</si>
  <si>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</si>
  <si>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</si>
  <si>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</si>
  <si>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</si>
  <si>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</si>
  <si>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</si>
  <si>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</si>
  <si>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</si>
  <si>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</si>
  <si>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</si>
  <si>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</si>
  <si>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</si>
  <si>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</si>
  <si>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</si>
  <si>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</si>
  <si>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</si>
  <si>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</si>
  <si>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</si>
  <si>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</si>
  <si>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</si>
  <si>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</si>
  <si>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</si>
  <si>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</si>
  <si>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</si>
  <si>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</si>
  <si>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</si>
  <si>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</si>
  <si>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</si>
  <si>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</si>
  <si>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</si>
  <si>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</si>
  <si>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</si>
  <si>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</si>
  <si>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</si>
  <si>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</si>
  <si>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</si>
  <si>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</si>
  <si>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</si>
  <si>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</si>
  <si>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</si>
  <si>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</si>
  <si>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</si>
  <si>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</si>
  <si>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</si>
  <si>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</si>
  <si>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</si>
  <si>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</si>
  <si>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</si>
  <si>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</si>
  <si>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</si>
  <si>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</si>
  <si>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</si>
  <si>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</si>
  <si>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</si>
  <si>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</si>
  <si>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</si>
  <si>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</si>
  <si>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</si>
  <si>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</si>
  <si>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</si>
  <si>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</si>
  <si>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</si>
  <si>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</si>
  <si>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</si>
  <si>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</si>
  <si>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</si>
  <si>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</si>
  <si>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</si>
  <si>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</si>
  <si>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</si>
  <si>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</si>
  <si>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</si>
  <si>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</si>
  <si>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</si>
  <si>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</si>
  <si>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</si>
  <si>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</si>
  <si>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</si>
  <si>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</si>
  <si>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</si>
  <si>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</si>
  <si>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</si>
  <si>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</si>
  <si>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</si>
  <si>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</si>
  <si>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</si>
  <si>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</si>
  <si>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</si>
  <si>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</si>
  <si>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</si>
  <si>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</si>
  <si>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</si>
  <si>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</si>
  <si>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</si>
  <si>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</si>
  <si>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</si>
  <si>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</si>
  <si>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</si>
  <si>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</si>
  <si>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</si>
  <si>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</si>
  <si>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</si>
  <si>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</si>
  <si>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</si>
  <si>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</si>
  <si>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</si>
  <si>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</si>
  <si>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</si>
  <si>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</si>
  <si>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</si>
  <si>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</si>
  <si>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</si>
  <si>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</si>
  <si>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</si>
  <si>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</si>
  <si>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</si>
  <si>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</si>
  <si>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</si>
  <si>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</si>
  <si>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</si>
  <si>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</si>
  <si>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</si>
  <si>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</si>
  <si>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</si>
  <si>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</si>
  <si>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</si>
  <si>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</si>
  <si>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</si>
  <si>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</si>
  <si>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</si>
  <si>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</si>
  <si>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</si>
  <si>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</si>
  <si>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</si>
  <si>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</si>
  <si>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</si>
  <si>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</si>
  <si>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</si>
  <si>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</si>
  <si>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</si>
  <si>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</si>
  <si>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</si>
  <si>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</si>
  <si>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</si>
  <si>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</si>
  <si>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</si>
  <si>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</si>
  <si>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</si>
  <si>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</si>
  <si>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</si>
  <si>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</si>
  <si>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</si>
  <si>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</si>
  <si>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</si>
  <si>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</si>
  <si>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</si>
  <si>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</si>
  <si>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</si>
  <si>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</si>
  <si>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</si>
  <si>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</si>
  <si>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</si>
  <si>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</si>
  <si>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</si>
  <si>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</si>
  <si>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</si>
  <si>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</si>
  <si>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</si>
  <si>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</si>
  <si>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</si>
  <si>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</si>
  <si>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</si>
  <si>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</si>
  <si>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</si>
  <si>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</si>
  <si>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</si>
  <si>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</si>
  <si>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</si>
  <si>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</si>
  <si>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</si>
  <si>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</si>
  <si>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</si>
  <si>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</si>
  <si>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</si>
  <si>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</si>
  <si>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</si>
  <si>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</si>
  <si>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</si>
  <si>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</si>
  <si>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</si>
  <si>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</si>
  <si>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</si>
  <si>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</si>
  <si>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</si>
  <si>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</si>
  <si>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</si>
  <si>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</si>
  <si>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</si>
  <si>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</si>
  <si>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</si>
  <si>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</si>
  <si>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</si>
  <si>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</si>
  <si>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</si>
  <si>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</si>
  <si>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</si>
  <si>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</si>
  <si>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</si>
  <si>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</si>
  <si>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</si>
  <si>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</si>
  <si>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</si>
  <si>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</si>
  <si>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</si>
  <si>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</si>
  <si>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</si>
  <si>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</si>
  <si>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</si>
  <si>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</si>
  <si>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</si>
  <si>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</si>
  <si>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</si>
  <si>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</si>
  <si>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</si>
  <si>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</si>
  <si>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</si>
  <si>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</si>
  <si>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</si>
  <si>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</si>
  <si>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</si>
  <si>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</si>
  <si>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</si>
  <si>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</si>
  <si>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</si>
  <si>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</si>
  <si>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</si>
  <si>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</si>
  <si>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</si>
  <si>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</si>
  <si>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</si>
  <si>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</si>
  <si>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</si>
  <si>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</si>
  <si>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</si>
  <si>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</si>
  <si>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</si>
  <si>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</si>
  <si>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</si>
  <si>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</si>
  <si>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</si>
  <si>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</si>
  <si>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</si>
  <si>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</si>
  <si>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</si>
  <si>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</si>
  <si>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</si>
  <si>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</si>
  <si>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</si>
  <si>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</si>
  <si>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</si>
  <si>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</si>
  <si>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</si>
  <si>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</si>
  <si>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</si>
  <si>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</si>
  <si>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</si>
  <si>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</si>
  <si>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</si>
  <si>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</si>
  <si>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</si>
  <si>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</si>
  <si>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</si>
  <si>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</si>
  <si>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</si>
  <si>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</si>
  <si>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</si>
  <si>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</si>
  <si>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</si>
  <si>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</si>
  <si>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</si>
  <si>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</si>
  <si>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</si>
  <si>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</si>
  <si>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</si>
  <si>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</si>
  <si>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</si>
  <si>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</si>
  <si>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</si>
  <si>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</si>
  <si>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</si>
  <si>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</si>
  <si>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</si>
  <si>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</si>
  <si>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</si>
  <si>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</si>
  <si>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</si>
  <si>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</si>
  <si>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</si>
  <si>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</si>
  <si>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</si>
  <si>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</si>
  <si>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</si>
  <si>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</si>
  <si>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</si>
  <si>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</si>
  <si>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</si>
  <si>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</si>
  <si>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</si>
  <si>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</si>
  <si>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</si>
  <si>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</si>
  <si>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</si>
  <si>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</si>
  <si>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</si>
  <si>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</si>
  <si>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</si>
  <si>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</si>
  <si>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</si>
  <si>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</si>
  <si>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</si>
  <si>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</si>
  <si>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</si>
  <si>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</si>
  <si>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</si>
  <si>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</si>
  <si>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</si>
  <si>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</si>
  <si>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</si>
  <si>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</si>
  <si>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</si>
  <si>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</si>
  <si>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</si>
  <si>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</si>
  <si>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</si>
  <si>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</si>
  <si>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</si>
  <si>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</si>
  <si>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</si>
  <si>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</si>
  <si>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</si>
  <si>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</si>
  <si>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</si>
  <si>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</si>
  <si>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</si>
  <si>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</si>
  <si>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</si>
  <si>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</si>
  <si>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</si>
  <si>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</si>
  <si>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</si>
  <si>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</si>
  <si>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</si>
  <si>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</si>
  <si>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</si>
  <si>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</si>
  <si>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</si>
  <si>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</si>
  <si>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</si>
  <si>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</si>
  <si>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</si>
  <si>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</si>
  <si>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</si>
  <si>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</si>
  <si>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</si>
  <si>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</si>
  <si>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</si>
  <si>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</si>
  <si>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</si>
  <si>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</si>
  <si>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</si>
  <si>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</si>
  <si>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</si>
  <si>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</si>
  <si>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</si>
  <si>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</si>
  <si>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</si>
  <si>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</si>
  <si>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</si>
  <si>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</si>
  <si>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</si>
  <si>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</si>
  <si>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</si>
  <si>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</si>
  <si>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</si>
  <si>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</si>
  <si>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</si>
  <si>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</si>
  <si>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</si>
  <si>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</si>
  <si>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</si>
  <si>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</si>
  <si>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</si>
  <si>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</si>
  <si>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</si>
  <si>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</si>
  <si>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</si>
  <si>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</si>
  <si>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</si>
  <si>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</si>
  <si>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</si>
  <si>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</si>
  <si>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</si>
  <si>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</si>
  <si>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</si>
  <si>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</si>
  <si>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</si>
  <si>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</si>
  <si>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</si>
  <si>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</si>
  <si>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</si>
  <si>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</si>
  <si>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</si>
  <si>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</si>
  <si>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</si>
  <si>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</si>
  <si>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</si>
  <si>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</si>
  <si>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</si>
  <si>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</si>
  <si>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</si>
  <si>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</si>
  <si>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</si>
  <si>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</si>
  <si>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</si>
  <si>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</si>
  <si>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</si>
  <si>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</si>
  <si>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</si>
  <si>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</si>
  <si>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</si>
  <si>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</si>
  <si>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</si>
  <si>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</si>
  <si>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</si>
  <si>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</si>
  <si>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</si>
  <si>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</si>
  <si>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</si>
  <si>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</si>
  <si>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</si>
  <si>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</si>
  <si>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</si>
  <si>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</si>
  <si>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</si>
  <si>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</si>
  <si>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</si>
  <si>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</si>
  <si>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</si>
  <si>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</si>
  <si>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</si>
  <si>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</si>
  <si>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</si>
  <si>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</si>
  <si>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</si>
  <si>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</si>
  <si>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</si>
  <si>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</si>
  <si>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</si>
  <si>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</si>
  <si>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</si>
  <si>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</si>
  <si>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</si>
  <si>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</si>
  <si>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</si>
  <si>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</si>
  <si>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</si>
  <si>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</si>
  <si>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</si>
  <si>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</si>
  <si>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</si>
  <si>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</si>
  <si>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</si>
  <si>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</si>
  <si>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</si>
  <si>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</si>
  <si>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</si>
  <si>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</si>
  <si>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</si>
  <si>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</si>
  <si>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</si>
  <si>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</si>
  <si>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</si>
  <si>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</si>
  <si>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</si>
  <si>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</si>
  <si>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</si>
  <si>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</si>
  <si>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</si>
  <si>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</si>
  <si>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</si>
  <si>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</si>
  <si>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</si>
  <si>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</si>
  <si>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</si>
  <si>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</si>
  <si>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</si>
  <si>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</si>
  <si>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</si>
  <si>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</si>
  <si>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</si>
  <si>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</si>
  <si>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</si>
  <si>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</si>
  <si>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</si>
  <si>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</si>
  <si>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</si>
  <si>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</si>
  <si>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</si>
  <si>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</si>
  <si>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</si>
  <si>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</si>
  <si>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</si>
  <si>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</si>
  <si>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</si>
  <si>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</si>
  <si>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</si>
  <si>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</si>
  <si>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</si>
  <si>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</si>
  <si>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</si>
  <si>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</si>
  <si>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</si>
  <si>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</si>
  <si>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</si>
  <si>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</si>
  <si>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</si>
  <si>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</si>
  <si>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</si>
  <si>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</si>
  <si>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</si>
  <si>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</si>
  <si>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</si>
  <si>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</si>
  <si>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</si>
  <si>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</si>
  <si>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</si>
  <si>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</si>
  <si>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</si>
  <si>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</si>
  <si>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</si>
  <si>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</si>
  <si>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</si>
  <si>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</si>
  <si>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</si>
  <si>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</si>
  <si>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</si>
  <si>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</si>
  <si>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</si>
  <si>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</si>
  <si>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</si>
  <si>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</si>
  <si>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</si>
  <si>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</si>
  <si>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</si>
  <si>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</si>
  <si>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</si>
  <si>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</si>
  <si>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</si>
  <si>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</si>
  <si>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</si>
  <si>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</si>
  <si>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</si>
  <si>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</si>
  <si>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</si>
  <si>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</si>
  <si>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</si>
  <si>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</si>
  <si>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</si>
  <si>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</si>
  <si>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</si>
  <si>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</si>
  <si>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</si>
  <si>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</si>
  <si>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</si>
  <si>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</si>
  <si>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</si>
  <si>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</si>
  <si>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</si>
  <si>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</si>
  <si>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</si>
  <si>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</si>
  <si>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</si>
  <si>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</si>
  <si>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</si>
  <si>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</si>
  <si>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</si>
  <si>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</si>
  <si>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</si>
  <si>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</si>
  <si>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</si>
  <si>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</si>
  <si>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</si>
  <si>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</si>
  <si>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</si>
  <si>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</si>
  <si>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</si>
  <si>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</si>
  <si>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</si>
  <si>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</si>
  <si>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</si>
  <si>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</si>
  <si>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</si>
  <si>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</si>
  <si>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</si>
  <si>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</si>
  <si>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</si>
  <si>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</si>
  <si>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</si>
  <si>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</si>
  <si>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</si>
  <si>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</si>
  <si>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</si>
  <si>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</si>
  <si>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</si>
  <si>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</si>
  <si>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</si>
  <si>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</si>
  <si>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</si>
  <si>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</si>
  <si>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</si>
  <si>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</si>
  <si>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</si>
  <si>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</si>
  <si>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</si>
  <si>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</si>
  <si>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</si>
  <si>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</si>
  <si>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</si>
  <si>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</si>
  <si>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</si>
  <si>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</si>
  <si>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</si>
  <si>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</si>
  <si>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</si>
  <si>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</si>
  <si>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</si>
  <si>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</si>
  <si>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</si>
  <si>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</si>
  <si>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</si>
  <si>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</si>
  <si>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</si>
  <si>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</si>
  <si>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</si>
  <si>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</si>
  <si>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</si>
  <si>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</si>
  <si>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</si>
  <si>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</si>
  <si>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</si>
  <si>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</si>
  <si>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</si>
  <si>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</si>
  <si>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</si>
  <si>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</si>
  <si>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</si>
  <si>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</si>
  <si>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</si>
  <si>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</si>
  <si>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</si>
  <si>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</si>
  <si>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</si>
  <si>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</si>
  <si>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</si>
  <si>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</si>
  <si>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</si>
  <si>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</si>
  <si>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</si>
  <si>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</si>
  <si>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</si>
  <si>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</si>
  <si>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</si>
  <si>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</si>
  <si>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</si>
  <si>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</si>
  <si>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</si>
  <si>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</si>
  <si>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</si>
  <si>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</si>
  <si>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</si>
  <si>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</si>
  <si>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</si>
  <si>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</si>
  <si>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</si>
  <si>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</si>
  <si>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</si>
  <si>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</si>
  <si>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</si>
  <si>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</si>
  <si>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</si>
  <si>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</si>
  <si>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</si>
  <si>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</si>
  <si>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</si>
  <si>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</si>
  <si>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</si>
  <si>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</si>
  <si>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</si>
  <si>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</si>
  <si>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</si>
  <si>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</si>
  <si>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</si>
  <si>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</si>
  <si>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</si>
  <si>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</si>
  <si>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</si>
  <si>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</si>
  <si>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</si>
  <si>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</si>
  <si>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</si>
  <si>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</si>
  <si>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</si>
  <si>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</si>
  <si>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</si>
  <si>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</si>
  <si>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</si>
  <si>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</si>
  <si>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</si>
  <si>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</si>
  <si>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</si>
  <si>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</si>
  <si>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</si>
  <si>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</si>
  <si>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</si>
  <si>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</si>
  <si>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</si>
  <si>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</si>
  <si>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</si>
  <si>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</si>
  <si>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</si>
  <si>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</si>
  <si>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</si>
  <si>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</si>
  <si>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</si>
  <si>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</si>
  <si>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</si>
  <si>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</si>
  <si>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</si>
  <si>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</si>
  <si>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</si>
  <si>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</si>
  <si>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</si>
  <si>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</si>
  <si>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</si>
  <si>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</si>
  <si>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</si>
  <si>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</si>
  <si>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</si>
  <si>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</si>
  <si>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</si>
  <si>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</si>
  <si>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</si>
  <si>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</si>
  <si>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</si>
  <si>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</si>
  <si>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</si>
  <si>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</si>
  <si>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</si>
  <si>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</si>
  <si>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</si>
  <si>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</si>
  <si>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</si>
  <si>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</si>
  <si>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</si>
  <si>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</si>
  <si>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</si>
  <si>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</si>
  <si>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</si>
  <si>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</si>
  <si>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</si>
  <si>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</si>
  <si>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</si>
  <si>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</si>
  <si>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</si>
  <si>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</si>
  <si>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</si>
  <si>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</si>
  <si>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</si>
  <si>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</si>
  <si>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</si>
  <si>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</si>
  <si>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</si>
  <si>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</si>
  <si>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</si>
  <si>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</si>
  <si>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</si>
  <si>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</si>
  <si>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</si>
  <si>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</si>
  <si>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</si>
  <si>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</si>
  <si>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</si>
  <si>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</si>
  <si>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</si>
  <si>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</si>
  <si>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</si>
  <si>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</si>
  <si>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</si>
  <si>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</si>
  <si>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</si>
  <si>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</si>
  <si>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</si>
  <si>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</si>
  <si>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</si>
  <si>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</si>
  <si>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</si>
  <si>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</si>
  <si>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</si>
  <si>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</si>
  <si>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</si>
  <si>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</si>
  <si>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</si>
  <si>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</si>
  <si>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</si>
  <si>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</si>
  <si>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</si>
  <si>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</si>
  <si>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</si>
  <si>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</si>
  <si>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</si>
  <si>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</si>
  <si>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</si>
  <si>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</si>
  <si>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</si>
  <si>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</si>
  <si>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</si>
  <si>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</si>
  <si>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</si>
  <si>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</si>
  <si>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</si>
  <si>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</si>
  <si>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</si>
  <si>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</si>
  <si>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</si>
  <si>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</si>
  <si>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</si>
  <si>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</si>
  <si>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</si>
  <si>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</si>
  <si>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</si>
  <si>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</si>
  <si>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</si>
  <si>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</si>
  <si>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</si>
  <si>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</si>
  <si>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</si>
  <si>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</si>
  <si>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</si>
  <si>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</si>
  <si>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</si>
  <si>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</si>
  <si>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</si>
  <si>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</si>
  <si>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</si>
  <si>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</si>
  <si>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</si>
  <si>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</si>
  <si>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</si>
  <si>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</si>
  <si>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</si>
  <si>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</si>
  <si>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</si>
  <si>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</si>
  <si>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</si>
  <si>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</si>
  <si>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</si>
  <si>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</si>
  <si>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</si>
  <si>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</si>
  <si>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</si>
  <si>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</si>
  <si>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</si>
  <si>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</si>
  <si>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</si>
  <si>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</si>
  <si>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</si>
  <si>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</si>
  <si>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</si>
  <si>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</si>
  <si>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</si>
  <si>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</si>
  <si>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</si>
  <si>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</si>
  <si>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</si>
  <si>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</si>
  <si>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</si>
  <si>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</si>
  <si>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</si>
  <si>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</si>
  <si>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</si>
  <si>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</si>
  <si>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</si>
  <si>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</si>
  <si>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</si>
  <si>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</si>
  <si>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</si>
  <si>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</si>
  <si>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</si>
  <si>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</si>
  <si>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</si>
  <si>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</si>
  <si>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</si>
  <si>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</si>
  <si>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</si>
  <si>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</si>
  <si>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</si>
  <si>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</si>
  <si>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</si>
  <si>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</si>
  <si>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</si>
  <si>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</si>
  <si>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</si>
  <si>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</si>
  <si>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</si>
  <si>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</si>
  <si>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</si>
  <si>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</si>
  <si>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</si>
  <si>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</si>
  <si>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</si>
  <si>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</si>
  <si>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</si>
  <si>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</si>
  <si>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</si>
  <si>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</si>
  <si>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</si>
  <si>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</si>
  <si>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</si>
  <si>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</si>
  <si>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</si>
  <si>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</si>
  <si>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</si>
  <si>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</si>
  <si>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</si>
  <si>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</si>
  <si>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</si>
  <si>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</si>
  <si>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</si>
  <si>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</si>
  <si>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</si>
  <si>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</si>
  <si>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</si>
  <si>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</si>
  <si>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</si>
  <si>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</si>
  <si>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</si>
  <si>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</si>
  <si>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</si>
  <si>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</si>
  <si>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</si>
  <si>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</si>
  <si>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</si>
  <si>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</si>
  <si>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</si>
  <si>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</si>
  <si>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</si>
  <si>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</si>
  <si>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</si>
  <si>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</si>
  <si>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</si>
  <si>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</si>
  <si>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</si>
  <si>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</si>
  <si>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</si>
  <si>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</si>
  <si>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</si>
  <si>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</si>
  <si>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</si>
  <si>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</si>
  <si>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</si>
  <si>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</si>
  <si>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</si>
  <si>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</si>
  <si>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</si>
  <si>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</si>
  <si>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</si>
  <si>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</si>
  <si>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</si>
  <si>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</si>
  <si>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</si>
  <si>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</si>
  <si>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</si>
  <si>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</si>
  <si>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</si>
  <si>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</si>
  <si>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</si>
  <si>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</si>
  <si>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</si>
  <si>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</si>
  <si>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</si>
  <si>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</si>
  <si>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</si>
  <si>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</si>
  <si>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</si>
  <si>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</si>
  <si>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</si>
  <si>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</si>
  <si>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</si>
  <si>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</si>
  <si>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</si>
  <si>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</si>
  <si>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</si>
  <si>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</si>
  <si>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</si>
  <si>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</si>
  <si>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</si>
  <si>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</si>
  <si>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</si>
  <si>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</si>
  <si>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</si>
  <si>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</si>
  <si>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</si>
  <si>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</si>
  <si>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</si>
  <si>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</si>
  <si>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</si>
  <si>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</si>
  <si>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</si>
  <si>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</si>
  <si>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</si>
  <si>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</si>
  <si>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</si>
  <si>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</si>
  <si>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</si>
  <si>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</si>
  <si>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</si>
  <si>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</si>
  <si>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</si>
  <si>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</si>
  <si>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</si>
  <si>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</si>
  <si>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</si>
  <si>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</si>
  <si>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</si>
  <si>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</si>
  <si>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</si>
  <si>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</si>
  <si>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</si>
  <si>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</si>
  <si>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</si>
  <si>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</si>
  <si>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</si>
  <si>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</si>
  <si>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</si>
  <si>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</si>
  <si>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</si>
  <si>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</si>
  <si>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</si>
  <si>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</si>
  <si>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</si>
  <si>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</si>
  <si>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</si>
  <si>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</si>
  <si>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</si>
  <si>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</si>
  <si>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</si>
  <si>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</si>
  <si>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</si>
  <si>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</si>
  <si>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</si>
  <si>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</si>
  <si>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</si>
  <si>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</si>
  <si>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</si>
  <si>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</si>
  <si>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</si>
  <si>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</si>
  <si>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</si>
  <si>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</si>
  <si>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</si>
  <si>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</si>
  <si>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</si>
  <si>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</si>
  <si>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</si>
  <si>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</si>
  <si>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</si>
  <si>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</si>
  <si>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</si>
  <si>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</si>
  <si>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</si>
  <si>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</si>
  <si>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</si>
  <si>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</si>
  <si>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</si>
  <si>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</si>
  <si>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</si>
  <si>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</si>
  <si>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</si>
  <si>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</si>
  <si>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</si>
  <si>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</si>
  <si>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</si>
  <si>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</si>
  <si>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</si>
  <si>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</si>
  <si>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</si>
  <si>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</si>
  <si>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</si>
  <si>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</si>
  <si>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</si>
  <si>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</si>
  <si>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</si>
  <si>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</si>
  <si>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</si>
  <si>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</si>
  <si>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</si>
  <si>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</si>
  <si>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</si>
  <si>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</si>
  <si>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</si>
  <si>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</si>
  <si>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</si>
  <si>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</si>
  <si>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</si>
  <si>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</si>
  <si>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</si>
  <si>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</si>
  <si>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</si>
  <si>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</si>
  <si>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</si>
  <si>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</si>
  <si>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</si>
  <si>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</si>
  <si>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</si>
  <si>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</si>
  <si>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</si>
  <si>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</si>
  <si>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</si>
  <si>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</si>
  <si>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</si>
  <si>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</si>
  <si>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</si>
  <si>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</si>
  <si>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</si>
  <si>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</si>
  <si>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</si>
  <si>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</si>
  <si>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</si>
  <si>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</si>
  <si>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</si>
  <si>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</si>
  <si>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</si>
  <si>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</si>
  <si>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</si>
  <si>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</si>
  <si>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</si>
  <si>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</si>
  <si>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</si>
  <si>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</si>
  <si>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</si>
  <si>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</si>
  <si>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</si>
  <si>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</si>
  <si>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</si>
  <si>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</si>
  <si>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</si>
  <si>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</si>
  <si>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</si>
  <si>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</si>
  <si>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</si>
  <si>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</si>
  <si>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</si>
  <si>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</si>
  <si>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</si>
  <si>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</si>
  <si>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</si>
  <si>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</si>
  <si>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</si>
  <si>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</si>
  <si>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</si>
  <si>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</si>
  <si>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</si>
  <si>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</si>
  <si>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</si>
  <si>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</si>
  <si>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</si>
  <si>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</si>
  <si>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</si>
  <si>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</si>
  <si>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</si>
  <si>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</si>
  <si>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</si>
  <si>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</si>
  <si>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</si>
  <si>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</si>
  <si>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</si>
  <si>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</si>
  <si>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</si>
  <si>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</si>
  <si>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</si>
  <si>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</si>
  <si>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</si>
  <si>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</si>
  <si>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</si>
  <si>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</si>
  <si>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</si>
  <si>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</si>
  <si>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</si>
  <si>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</si>
  <si>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</si>
  <si>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</si>
  <si>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</si>
  <si>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</si>
  <si>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</si>
  <si>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</si>
  <si>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</si>
  <si>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</si>
  <si>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</si>
  <si>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</si>
  <si>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</si>
  <si>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</si>
  <si>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</si>
  <si>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</si>
  <si>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</si>
  <si>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</si>
  <si>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</si>
  <si>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</si>
  <si>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</si>
  <si>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</si>
  <si>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</si>
  <si>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</si>
  <si>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</si>
  <si>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</si>
  <si>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</si>
  <si>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</si>
  <si>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</si>
  <si>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</si>
  <si>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</si>
  <si>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</si>
  <si>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</si>
  <si>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</si>
  <si>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</si>
  <si>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</si>
  <si>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</si>
  <si>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</si>
  <si>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</si>
  <si>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</si>
  <si>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</si>
  <si>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</si>
  <si>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</si>
  <si>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</si>
  <si>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</si>
  <si>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</si>
  <si>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</si>
  <si>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</si>
  <si>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</si>
  <si>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</si>
  <si>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</si>
  <si>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</si>
  <si>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</si>
  <si>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</si>
  <si>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</si>
  <si>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</si>
  <si>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</si>
  <si>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</si>
  <si>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</si>
  <si>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</si>
  <si>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</si>
  <si>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</si>
  <si>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</si>
  <si>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</si>
  <si>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</si>
  <si>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</si>
  <si>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</si>
  <si>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</si>
  <si>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</si>
  <si>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</si>
  <si>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</si>
  <si>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</si>
  <si>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</si>
  <si>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</si>
  <si>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</si>
  <si>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</si>
  <si>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</si>
  <si>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</si>
  <si>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</si>
  <si>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</si>
  <si>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</si>
  <si>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</si>
  <si>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</si>
  <si>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</si>
  <si>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</si>
  <si>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</si>
  <si>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</si>
  <si>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</si>
  <si>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</si>
  <si>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</si>
  <si>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</si>
  <si>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</si>
  <si>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</si>
  <si>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</si>
  <si>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</si>
  <si>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</si>
  <si>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</si>
  <si>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</si>
  <si>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</si>
  <si>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</si>
  <si>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</si>
  <si>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</si>
  <si>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</si>
  <si>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</si>
  <si>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</si>
  <si>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</si>
  <si>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</si>
  <si>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</si>
  <si>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</si>
  <si>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</si>
  <si>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</si>
  <si>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</si>
  <si>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</si>
  <si>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</si>
  <si>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</si>
  <si>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</si>
  <si>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</si>
  <si>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</si>
  <si>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</si>
  <si>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</si>
  <si>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</si>
  <si>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</si>
  <si>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</si>
  <si>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</si>
  <si>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</si>
  <si>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</si>
  <si>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</si>
  <si>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</si>
  <si>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</si>
  <si>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</si>
  <si>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</si>
  <si>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</si>
  <si>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</si>
  <si>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</si>
  <si>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</si>
  <si>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</si>
  <si>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</si>
  <si>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</si>
  <si>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</si>
  <si>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</si>
  <si>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</si>
  <si>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</si>
  <si>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</si>
  <si>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</si>
  <si>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</si>
  <si>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</si>
  <si>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</si>
  <si>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</si>
  <si>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</si>
  <si>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</si>
  <si>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</si>
  <si>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</si>
  <si>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</si>
  <si>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</si>
  <si>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</si>
  <si>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</si>
  <si>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</si>
  <si>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</si>
  <si>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</si>
  <si>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</si>
  <si>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</si>
  <si>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</si>
  <si>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</si>
  <si>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</si>
  <si>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</si>
  <si>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</si>
  <si>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</si>
  <si>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</si>
  <si>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</si>
  <si>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</si>
  <si>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</si>
  <si>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</si>
  <si>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</si>
  <si>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</si>
  <si>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</si>
  <si>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</si>
  <si>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</si>
  <si>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</si>
  <si>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</si>
  <si>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</si>
  <si>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</si>
  <si>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</si>
  <si>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</si>
  <si>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</si>
  <si>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</si>
  <si>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</si>
  <si>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</si>
  <si>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</si>
  <si>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</si>
  <si>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</si>
  <si>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</si>
  <si>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</si>
  <si>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</si>
  <si>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</si>
  <si>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</si>
  <si>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</si>
  <si>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</si>
  <si>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</si>
  <si>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</si>
  <si>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</si>
  <si>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</si>
  <si>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</si>
  <si>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</si>
  <si>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</si>
  <si>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</si>
  <si>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</si>
  <si>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</si>
  <si>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</si>
  <si>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</si>
  <si>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</si>
  <si>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</si>
  <si>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</si>
  <si>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</si>
  <si>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</si>
  <si>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</si>
  <si>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</si>
  <si>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</si>
  <si>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</si>
  <si>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</si>
  <si>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</si>
  <si>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</si>
  <si>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</si>
  <si>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</si>
  <si>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</si>
  <si>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</si>
  <si>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</si>
  <si>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</si>
  <si>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</si>
  <si>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</si>
  <si>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</si>
  <si>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</si>
  <si>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</si>
  <si>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</si>
  <si>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</si>
  <si>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</si>
  <si>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</si>
  <si>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</si>
  <si>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</si>
  <si>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</si>
  <si>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</si>
  <si>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</si>
  <si>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</si>
  <si>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</si>
  <si>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</si>
  <si>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</si>
  <si>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</si>
  <si>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</si>
  <si>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</si>
  <si>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</si>
  <si>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</si>
  <si>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</si>
  <si>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</si>
  <si>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</si>
  <si>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</si>
  <si>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</si>
  <si>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</si>
  <si>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</si>
  <si>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</si>
  <si>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</si>
  <si>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</si>
  <si>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</si>
  <si>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</si>
  <si>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</si>
  <si>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</si>
  <si>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</si>
  <si>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</si>
  <si>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</si>
  <si>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</si>
  <si>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</si>
  <si>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</si>
  <si>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</si>
  <si>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</si>
  <si>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</si>
  <si>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</si>
  <si>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</si>
  <si>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</si>
  <si>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</si>
  <si>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</si>
  <si>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</si>
  <si>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</si>
  <si>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</si>
  <si>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</si>
  <si>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</si>
  <si>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</si>
  <si>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</si>
  <si>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</si>
  <si>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</si>
  <si>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</si>
  <si>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</si>
  <si>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</si>
  <si>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</si>
  <si>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</si>
  <si>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</si>
  <si>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</si>
  <si>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</si>
  <si>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</si>
  <si>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</si>
  <si>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</si>
  <si>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</si>
  <si>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</si>
  <si>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</si>
  <si>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</si>
  <si>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</si>
  <si>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</si>
  <si>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</si>
  <si>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</si>
  <si>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</si>
  <si>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</si>
  <si>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</si>
  <si>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</si>
  <si>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</si>
  <si>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</si>
  <si>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</si>
  <si>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</si>
  <si>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</si>
  <si>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</si>
  <si>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</si>
  <si>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</si>
  <si>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</si>
  <si>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</si>
  <si>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</si>
  <si>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</si>
  <si>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</si>
  <si>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</si>
  <si>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</si>
  <si>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</si>
  <si>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</si>
  <si>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</si>
  <si>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</si>
  <si>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</si>
  <si>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</si>
  <si>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</si>
  <si>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</si>
  <si>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</si>
  <si>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</si>
  <si>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</si>
  <si>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</si>
  <si>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</si>
  <si>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</si>
  <si>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</si>
  <si>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</si>
  <si>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</si>
  <si>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</si>
  <si>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</si>
  <si>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</si>
  <si>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</si>
  <si>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</si>
  <si>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</si>
  <si>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</si>
  <si>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</si>
  <si>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</si>
  <si>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</si>
  <si>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</si>
  <si>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</si>
  <si>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</si>
  <si>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</si>
  <si>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</si>
  <si>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</si>
  <si>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</si>
  <si>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</si>
  <si>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</si>
  <si>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</si>
  <si>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</si>
  <si>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</si>
  <si>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</si>
  <si>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</si>
  <si>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</si>
  <si>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</si>
  <si>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</si>
  <si>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</si>
  <si>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</si>
  <si>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</si>
  <si>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</si>
  <si>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</si>
  <si>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</si>
  <si>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</si>
  <si>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</si>
  <si>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</si>
  <si>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</si>
  <si>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</si>
  <si>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</si>
  <si>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</si>
  <si>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</si>
  <si>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</si>
  <si>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</si>
  <si>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</si>
  <si>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</si>
  <si>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</si>
  <si>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</si>
  <si>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</si>
  <si>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</si>
  <si>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</si>
  <si>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</si>
  <si>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</si>
  <si>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</si>
  <si>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</si>
  <si>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</si>
  <si>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</si>
  <si>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</si>
  <si>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</si>
  <si>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</si>
  <si>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</si>
  <si>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</si>
  <si>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</si>
  <si>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</si>
  <si>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</si>
  <si>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</si>
  <si>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</si>
  <si>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</si>
  <si>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</si>
  <si>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</si>
  <si>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</si>
  <si>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</si>
  <si>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</si>
  <si>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</si>
  <si>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</si>
  <si>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</si>
  <si>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</si>
  <si>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</si>
  <si>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</si>
  <si>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</si>
  <si>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</si>
  <si>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</si>
  <si>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</si>
  <si>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</si>
  <si>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</si>
  <si>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</si>
  <si>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</si>
  <si>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</si>
  <si>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</si>
  <si>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</si>
  <si>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</si>
  <si>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</si>
  <si>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</si>
  <si>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</si>
  <si>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</si>
  <si>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</si>
  <si>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</si>
  <si>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</si>
  <si>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</si>
  <si>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</si>
  <si>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</si>
  <si>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</si>
  <si>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</si>
  <si>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</si>
  <si>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</si>
  <si>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</si>
  <si>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</si>
  <si>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</si>
  <si>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</si>
  <si>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</si>
  <si>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</si>
  <si>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</si>
  <si>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</si>
  <si>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</si>
  <si>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</si>
  <si>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</si>
  <si>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</si>
  <si>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</si>
  <si>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</si>
  <si>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</si>
  <si>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</si>
  <si>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</si>
  <si>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</si>
  <si>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</si>
  <si>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</si>
  <si>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</si>
  <si>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</si>
  <si>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</si>
  <si>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</si>
  <si>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</si>
  <si>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</si>
  <si>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</si>
  <si>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</si>
  <si>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</si>
  <si>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</si>
  <si>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</si>
  <si>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</si>
  <si>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</si>
  <si>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</si>
  <si>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</si>
  <si>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</si>
  <si>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</si>
  <si>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</si>
  <si>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</si>
  <si>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</si>
  <si>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</si>
  <si>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</si>
  <si>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</si>
  <si>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</si>
  <si>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</si>
  <si>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</si>
  <si>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</si>
  <si>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</si>
  <si>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</si>
  <si>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</si>
  <si>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</si>
  <si>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</si>
  <si>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</si>
  <si>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</si>
  <si>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</si>
  <si>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</si>
  <si>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</si>
  <si>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</si>
  <si>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</si>
  <si>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</si>
  <si>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</si>
  <si>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</si>
  <si>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</si>
  <si>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</si>
  <si>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</si>
  <si>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</si>
  <si>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</si>
  <si>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</si>
  <si>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</si>
  <si>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</si>
  <si>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</si>
  <si>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</si>
  <si>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</si>
  <si>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</si>
  <si>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</si>
  <si>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</si>
  <si>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</si>
  <si>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</si>
  <si>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</si>
  <si>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</si>
  <si>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</si>
  <si>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</si>
  <si>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</si>
  <si>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</si>
  <si>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</si>
  <si>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</si>
  <si>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</si>
  <si>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</si>
  <si>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</si>
  <si>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</si>
  <si>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</si>
  <si>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</si>
  <si>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</si>
  <si>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</si>
  <si>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</si>
  <si>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</si>
  <si>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</si>
  <si>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</si>
  <si>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</si>
  <si>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</si>
  <si>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</si>
  <si>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</si>
  <si>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</si>
  <si>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</si>
  <si>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</si>
  <si>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</si>
  <si>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</si>
  <si>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</si>
  <si>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</si>
  <si>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</si>
  <si>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</si>
  <si>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</si>
  <si>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</si>
  <si>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</si>
  <si>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</si>
  <si>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</si>
  <si>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</si>
  <si>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</si>
  <si>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</si>
  <si>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</si>
  <si>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</si>
  <si>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</si>
  <si>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</si>
  <si>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</si>
  <si>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</si>
  <si>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</si>
  <si>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</si>
  <si>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</si>
  <si>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</si>
  <si>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</si>
  <si>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</si>
  <si>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</si>
  <si>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</si>
  <si>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</si>
  <si>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</si>
  <si>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</si>
  <si>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</si>
  <si>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</si>
  <si>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</si>
  <si>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</si>
  <si>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</si>
  <si>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</si>
  <si>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</si>
  <si>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</si>
  <si>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</si>
  <si>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</si>
  <si>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</si>
  <si>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</si>
  <si>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</si>
  <si>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</si>
  <si>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</si>
  <si>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</si>
  <si>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</si>
  <si>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</si>
  <si>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</si>
  <si>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</si>
  <si>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</si>
  <si>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</si>
  <si>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</si>
  <si>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</si>
  <si>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</si>
  <si>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</si>
  <si>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</si>
  <si>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</si>
  <si>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</si>
  <si>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</si>
  <si>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</si>
  <si>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</si>
  <si>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</si>
  <si>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</si>
  <si>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</si>
  <si>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</si>
  <si>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</si>
  <si>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</si>
  <si>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</si>
  <si>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</si>
  <si>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</si>
  <si>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</si>
  <si>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</si>
  <si>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</si>
  <si>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</si>
  <si>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</si>
  <si>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</si>
  <si>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</si>
  <si>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</si>
  <si>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</si>
  <si>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</si>
  <si>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</si>
  <si>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</si>
  <si>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</si>
  <si>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</si>
  <si>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</si>
  <si>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</si>
  <si>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</si>
  <si>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</si>
  <si>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</si>
  <si>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</si>
  <si>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</si>
  <si>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</si>
  <si>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</si>
  <si>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</si>
  <si>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</si>
  <si>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</si>
  <si>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</si>
  <si>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</si>
  <si>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</si>
  <si>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</si>
  <si>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</si>
  <si>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</si>
  <si>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</si>
  <si>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</si>
  <si>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</si>
  <si>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</si>
  <si>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</si>
  <si>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</si>
  <si>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</si>
  <si>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</si>
  <si>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</si>
  <si>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</si>
  <si>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</si>
  <si>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</si>
  <si>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</si>
  <si>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</si>
  <si>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</si>
  <si>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</si>
  <si>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</si>
  <si>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</si>
  <si>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</si>
  <si>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</si>
  <si>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</si>
  <si>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</si>
  <si>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</si>
  <si>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</si>
  <si>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</si>
  <si>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</si>
  <si>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</si>
  <si>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</si>
  <si>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</si>
  <si>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</si>
  <si>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</si>
  <si>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</si>
  <si>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</si>
  <si>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</si>
  <si>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</si>
  <si>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</si>
  <si>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</si>
  <si>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</si>
  <si>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</si>
  <si>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</si>
  <si>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</si>
  <si>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</si>
  <si>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</si>
  <si>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</si>
  <si>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</si>
  <si>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</si>
  <si>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</si>
  <si>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</si>
  <si>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</si>
  <si>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</si>
  <si>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</si>
  <si>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</si>
  <si>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</si>
  <si>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</si>
  <si>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</si>
  <si>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</si>
  <si>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</si>
  <si>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</si>
  <si>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</si>
  <si>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</si>
  <si>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</si>
  <si>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</si>
  <si>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</si>
  <si>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</si>
  <si>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</si>
  <si>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</si>
  <si>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</si>
  <si>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</si>
  <si>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</si>
  <si>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</si>
  <si>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</si>
  <si>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</si>
  <si>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</si>
  <si>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</si>
  <si>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</si>
  <si>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</si>
  <si>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</si>
  <si>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</si>
  <si>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</si>
  <si>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</si>
  <si>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</si>
  <si>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</si>
  <si>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</si>
  <si>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</si>
  <si>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</si>
  <si>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</si>
  <si>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</si>
  <si>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</si>
  <si>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</si>
  <si>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</si>
  <si>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</si>
  <si>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</si>
  <si>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</si>
  <si>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</si>
  <si>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</si>
  <si>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</si>
  <si>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</si>
  <si>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</si>
  <si>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</si>
  <si>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</si>
  <si>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</si>
  <si>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</si>
  <si>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</si>
  <si>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</si>
  <si>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</si>
  <si>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</si>
  <si>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</si>
  <si>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</si>
  <si>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</si>
  <si>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</si>
  <si>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</si>
  <si>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</si>
  <si>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</si>
  <si>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</si>
  <si>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</si>
  <si>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</si>
  <si>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</si>
  <si>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</si>
  <si>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</si>
  <si>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</si>
  <si>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</si>
  <si>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</si>
  <si>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</si>
  <si>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</si>
  <si>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</si>
  <si>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</si>
  <si>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</si>
  <si>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</si>
  <si>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</si>
  <si>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</si>
  <si>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</si>
  <si>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</si>
  <si>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</si>
  <si>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</si>
  <si>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</si>
  <si>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</si>
  <si>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</si>
  <si>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</si>
  <si>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</si>
  <si>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</si>
  <si>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</si>
  <si>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</si>
  <si>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</si>
  <si>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</si>
  <si>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</si>
  <si>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</si>
  <si>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</si>
  <si>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</si>
  <si>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</si>
  <si>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</si>
  <si>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</si>
  <si>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</si>
  <si>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</si>
  <si>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</si>
  <si>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</si>
  <si>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</si>
  <si>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</si>
  <si>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</si>
  <si>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</si>
  <si>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</si>
  <si>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</si>
  <si>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</si>
  <si>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</si>
  <si>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</si>
  <si>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</si>
  <si>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</si>
  <si>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</si>
  <si>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</si>
  <si>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</si>
  <si>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</si>
  <si>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</si>
  <si>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</si>
  <si>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</si>
  <si>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</si>
  <si>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</si>
  <si>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</si>
  <si>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</si>
  <si>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</si>
  <si>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</si>
  <si>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</si>
  <si>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</si>
  <si>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</si>
  <si>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</si>
  <si>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</si>
  <si>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</si>
  <si>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</si>
  <si>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</si>
  <si>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</si>
  <si>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</si>
  <si>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</si>
  <si>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</si>
  <si>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</si>
  <si>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</si>
  <si>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</si>
  <si>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</si>
  <si>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</si>
  <si>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</si>
  <si>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</si>
  <si>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</si>
  <si>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</si>
  <si>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</si>
  <si>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</si>
  <si>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</si>
  <si>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</si>
  <si>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</si>
  <si>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</si>
  <si>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</si>
  <si>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</si>
  <si>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</si>
  <si>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</si>
  <si>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</si>
  <si>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</si>
  <si>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</si>
  <si>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</si>
  <si>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</si>
  <si>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</si>
  <si>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</si>
  <si>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</si>
  <si>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</si>
  <si>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</si>
  <si>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</si>
  <si>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</si>
  <si>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</si>
  <si>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</si>
  <si>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</si>
  <si>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</si>
  <si>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</si>
  <si>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</si>
  <si>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</si>
  <si>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</si>
  <si>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</si>
  <si>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</si>
  <si>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</si>
  <si>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</si>
  <si>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</si>
  <si>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</si>
  <si>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</si>
  <si>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</si>
  <si>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</si>
  <si>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</si>
  <si>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</si>
  <si>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</si>
  <si>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</si>
  <si>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</si>
  <si>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</si>
  <si>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</si>
  <si>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</si>
  <si>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</si>
  <si>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</si>
  <si>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</si>
  <si>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</si>
  <si>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</si>
  <si>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</si>
  <si>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</si>
  <si>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</si>
  <si>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</si>
  <si>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</si>
  <si>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</si>
  <si>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</si>
  <si>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</si>
  <si>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</si>
  <si>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</si>
  <si>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</si>
  <si>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</si>
  <si>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</si>
  <si>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</si>
  <si>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</si>
  <si>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</si>
  <si>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</si>
  <si>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</si>
  <si>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</si>
  <si>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</si>
  <si>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</si>
  <si>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</si>
  <si>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</si>
  <si>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</si>
  <si>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</si>
  <si>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</si>
  <si>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</si>
  <si>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</si>
  <si>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</si>
  <si>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</si>
  <si>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</si>
  <si>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</si>
  <si>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</si>
  <si>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</si>
  <si>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</si>
  <si>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</si>
  <si>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</si>
  <si>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</si>
  <si>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</si>
  <si>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</si>
  <si>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</si>
  <si>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</si>
  <si>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</si>
  <si>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</si>
  <si>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</si>
  <si>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</si>
  <si>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</si>
  <si>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</si>
  <si>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</si>
  <si>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</si>
  <si>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</si>
  <si>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</si>
  <si>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</si>
  <si>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</si>
  <si>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</si>
  <si>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</si>
  <si>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</si>
  <si>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</si>
  <si>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</si>
  <si>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</si>
  <si>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</si>
  <si>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</si>
  <si>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</si>
  <si>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</si>
  <si>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</si>
  <si>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</si>
  <si>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</si>
  <si>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</si>
  <si>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</si>
  <si>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</si>
  <si>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</si>
  <si>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</si>
  <si>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</si>
  <si>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</si>
  <si>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</si>
  <si>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</si>
  <si>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</si>
  <si>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</si>
  <si>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</si>
  <si>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</si>
  <si>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</si>
  <si>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</si>
  <si>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</si>
  <si>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</si>
  <si>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</si>
  <si>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</si>
  <si>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</si>
  <si>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</si>
  <si>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</si>
  <si>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</si>
  <si>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</si>
  <si>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</si>
  <si>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</si>
  <si>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</si>
  <si>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</si>
  <si>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</si>
  <si>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</si>
  <si>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</si>
  <si>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</si>
  <si>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</si>
  <si>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</si>
  <si>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</si>
  <si>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</si>
  <si>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</si>
  <si>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</si>
  <si>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</si>
  <si>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</si>
  <si>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</si>
  <si>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</si>
  <si>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</si>
  <si>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</si>
  <si>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</si>
  <si>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</si>
  <si>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</si>
  <si>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</si>
  <si>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</si>
  <si>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</si>
  <si>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</si>
  <si>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</si>
  <si>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</si>
  <si>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</si>
  <si>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</si>
  <si>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</si>
  <si>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</si>
  <si>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</si>
  <si>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</si>
  <si>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</si>
  <si>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</si>
  <si>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</si>
  <si>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</si>
  <si>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</si>
  <si>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</si>
  <si>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</si>
  <si>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</si>
  <si>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</si>
  <si>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</si>
  <si>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</si>
  <si>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</si>
  <si>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</si>
  <si>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</si>
  <si>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</si>
  <si>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</si>
  <si>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</si>
  <si>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</si>
  <si>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</si>
  <si>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</si>
  <si>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</si>
  <si>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</si>
  <si>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</si>
  <si>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</si>
  <si>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</si>
  <si>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</si>
  <si>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</si>
  <si>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</si>
  <si>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</si>
  <si>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</si>
  <si>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</si>
  <si>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</si>
  <si>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</si>
  <si>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</si>
  <si>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</si>
  <si>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</si>
  <si>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</si>
  <si>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</si>
  <si>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</si>
  <si>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</si>
  <si>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</si>
  <si>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</si>
  <si>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</si>
  <si>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</si>
  <si>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</si>
  <si>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</si>
  <si>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</si>
  <si>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</si>
  <si>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</si>
  <si>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</si>
  <si>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</si>
  <si>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</si>
  <si>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</si>
  <si>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</si>
  <si>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</si>
  <si>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</si>
  <si>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</si>
  <si>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</si>
  <si>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</si>
  <si>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</si>
  <si>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</si>
  <si>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</si>
  <si>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</si>
  <si>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</si>
  <si>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</si>
  <si>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</si>
  <si>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</si>
  <si>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</si>
  <si>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</si>
  <si>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</si>
  <si>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</si>
  <si>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</si>
  <si>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</si>
  <si>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</si>
  <si>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</si>
  <si>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</si>
  <si>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</si>
  <si>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</si>
  <si>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</si>
  <si>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</si>
  <si>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</si>
  <si>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</si>
  <si>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</si>
  <si>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</si>
  <si>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</si>
  <si>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</si>
  <si>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</si>
  <si>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</si>
  <si>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</si>
  <si>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</si>
  <si>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</si>
  <si>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</si>
  <si>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</si>
  <si>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</si>
  <si>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</si>
  <si>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</si>
  <si>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</si>
  <si>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</si>
  <si>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</si>
  <si>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</si>
  <si>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</si>
  <si>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</si>
  <si>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</si>
  <si>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</si>
  <si>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</si>
  <si>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</si>
  <si>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</si>
  <si>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</si>
  <si>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</si>
  <si>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</si>
  <si>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</si>
  <si>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</si>
  <si>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</si>
  <si>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</si>
  <si>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</si>
  <si>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</si>
  <si>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</si>
  <si>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</si>
  <si>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</si>
  <si>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</si>
  <si>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</si>
  <si>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</si>
  <si>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</si>
  <si>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</si>
  <si>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</si>
  <si>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</si>
  <si>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</si>
  <si>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</si>
  <si>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</si>
  <si>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</si>
  <si>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</si>
  <si>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</si>
  <si>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</si>
  <si>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</si>
  <si>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</si>
  <si>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</si>
  <si>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</si>
  <si>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</si>
  <si>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</si>
  <si>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</si>
  <si>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</si>
  <si>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</si>
  <si>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</si>
  <si>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</si>
  <si>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</si>
  <si>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</si>
  <si>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</si>
  <si>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</si>
  <si>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</si>
  <si>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</si>
  <si>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</si>
  <si>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</si>
  <si>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</si>
  <si>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</si>
  <si>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</si>
  <si>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</si>
  <si>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</si>
  <si>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</si>
  <si>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</si>
  <si>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</si>
  <si>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</si>
  <si>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</si>
  <si>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</si>
  <si>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</si>
  <si>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</si>
  <si>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</si>
  <si>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</si>
  <si>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</si>
  <si>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</si>
  <si>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</si>
  <si>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</si>
  <si>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</si>
  <si>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</si>
  <si>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</si>
  <si>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</si>
  <si>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</si>
  <si>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</si>
  <si>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</si>
  <si>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</si>
  <si>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</si>
  <si>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</si>
  <si>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</si>
  <si>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</si>
  <si>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</si>
  <si>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</si>
  <si>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</si>
  <si>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</si>
  <si>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</si>
  <si>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</si>
  <si>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</si>
  <si>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</si>
  <si>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</si>
  <si>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</si>
  <si>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</si>
  <si>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</si>
  <si>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</si>
  <si>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</si>
  <si>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</si>
  <si>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</si>
  <si>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</si>
  <si>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</si>
  <si>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</si>
  <si>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</si>
  <si>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</si>
  <si>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</si>
  <si>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</si>
  <si>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</si>
  <si>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</si>
  <si>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</si>
  <si>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</si>
  <si>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</si>
  <si>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</si>
  <si>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</si>
  <si>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</si>
  <si>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</si>
  <si>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</si>
  <si>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</si>
  <si>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</si>
  <si>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</si>
  <si>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</si>
  <si>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</si>
  <si>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</si>
  <si>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</si>
  <si>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</si>
  <si>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</si>
  <si>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</si>
  <si>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</si>
  <si>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</si>
  <si>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</si>
  <si>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</si>
  <si>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</si>
  <si>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</si>
  <si>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</si>
  <si>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</si>
  <si>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</si>
  <si>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</si>
  <si>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</si>
  <si>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</si>
  <si>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</si>
  <si>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</si>
  <si>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</si>
  <si>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</si>
  <si>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</si>
  <si>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</si>
  <si>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</si>
  <si>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</si>
  <si>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</si>
  <si>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</si>
  <si>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</si>
  <si>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</si>
  <si>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</si>
  <si>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</si>
  <si>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</si>
  <si>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</si>
  <si>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</si>
  <si>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</si>
  <si>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</si>
  <si>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</si>
  <si>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</si>
  <si>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</si>
  <si>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</si>
  <si>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</si>
  <si>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</si>
  <si>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</si>
  <si>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</si>
  <si>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</si>
  <si>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</si>
  <si>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</si>
  <si>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</si>
  <si>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</si>
  <si>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</si>
  <si>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</si>
  <si>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</si>
  <si>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</si>
  <si>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</si>
  <si>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</si>
  <si>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</si>
  <si>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</si>
  <si>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</si>
  <si>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</si>
  <si>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</si>
  <si>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</si>
  <si>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</si>
  <si>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</si>
  <si>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</si>
  <si>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</si>
  <si>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</si>
  <si>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</si>
  <si>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</si>
  <si>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</si>
  <si>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</si>
  <si>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</si>
  <si>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</si>
  <si>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</si>
  <si>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</si>
  <si>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</si>
  <si>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</si>
  <si>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</si>
  <si>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</si>
  <si>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</si>
  <si>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</si>
  <si>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</si>
  <si>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</si>
  <si>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</si>
  <si>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</si>
  <si>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</si>
  <si>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</si>
  <si>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</si>
  <si>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</si>
  <si>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</si>
  <si>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</si>
  <si>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</si>
  <si>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</si>
  <si>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</si>
  <si>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</si>
  <si>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</si>
  <si>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</si>
  <si>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</si>
  <si>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</si>
  <si>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</si>
  <si>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</si>
  <si>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</si>
  <si>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</si>
  <si>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</si>
  <si>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</si>
  <si>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</si>
  <si>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</si>
  <si>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</si>
  <si>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</si>
  <si>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</si>
  <si>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</si>
  <si>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</si>
  <si>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</si>
  <si>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</si>
  <si>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</si>
  <si>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</si>
  <si>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</si>
  <si>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</si>
  <si>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</si>
  <si>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</si>
  <si>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</si>
  <si>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</si>
  <si>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</si>
  <si>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</si>
  <si>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</si>
  <si>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</si>
  <si>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</si>
  <si>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</si>
  <si>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</si>
  <si>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</si>
  <si>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</si>
  <si>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</si>
  <si>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</si>
  <si>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</si>
  <si>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</si>
  <si>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</si>
  <si>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</si>
  <si>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</si>
  <si>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</si>
  <si>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</si>
  <si>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</si>
  <si>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</si>
  <si>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</si>
  <si>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</si>
  <si>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</si>
  <si>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</si>
  <si>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</si>
  <si>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</si>
  <si>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</si>
  <si>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</si>
  <si>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</si>
  <si>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</si>
  <si>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</si>
  <si>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</si>
  <si>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</si>
  <si>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</si>
  <si>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</si>
  <si>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</si>
  <si>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</si>
  <si>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</si>
  <si>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</si>
  <si>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</si>
  <si>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</si>
  <si>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</si>
  <si>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</si>
  <si>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</si>
  <si>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</si>
  <si>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</si>
  <si>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</si>
  <si>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</si>
  <si>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</si>
  <si>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</si>
  <si>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</si>
  <si>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</si>
  <si>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</si>
  <si>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</si>
  <si>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</si>
  <si>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</si>
  <si>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</si>
  <si>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</si>
  <si>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</si>
  <si>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</si>
  <si>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</si>
  <si>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</si>
  <si>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</si>
  <si>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</si>
  <si>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</si>
  <si>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</si>
  <si>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</si>
  <si>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</si>
  <si>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</si>
  <si>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</si>
  <si>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</si>
  <si>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</si>
  <si>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</si>
  <si>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</si>
  <si>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</si>
  <si>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</si>
  <si>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</si>
  <si>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</si>
  <si>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</si>
  <si>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</si>
  <si>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</si>
  <si>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</si>
  <si>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</si>
  <si>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</si>
  <si>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</si>
  <si>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</si>
  <si>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</si>
  <si>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</si>
  <si>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</si>
  <si>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</si>
  <si>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</si>
  <si>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</si>
  <si>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</si>
  <si>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</si>
  <si>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</si>
  <si>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</si>
  <si>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</si>
  <si>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</si>
  <si>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</si>
  <si>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</si>
  <si>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</si>
  <si>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</si>
  <si>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</si>
  <si>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</si>
  <si>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</si>
  <si>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</si>
  <si>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</si>
  <si>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</si>
  <si>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</si>
  <si>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</si>
  <si>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</si>
  <si>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</si>
  <si>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</si>
  <si>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</si>
  <si>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</si>
  <si>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</si>
  <si>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</si>
  <si>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</si>
  <si>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</si>
  <si>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</si>
  <si>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</si>
  <si>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</si>
  <si>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</si>
  <si>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</si>
  <si>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</si>
  <si>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</si>
  <si>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</si>
  <si>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</si>
  <si>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</si>
  <si>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</si>
  <si>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</si>
  <si>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</si>
  <si>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</si>
  <si>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</si>
  <si>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</si>
  <si>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</si>
  <si>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</si>
  <si>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</si>
  <si>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</si>
  <si>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</si>
  <si>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</si>
  <si>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</si>
  <si>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</si>
  <si>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</si>
  <si>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</si>
  <si>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</si>
  <si>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</si>
  <si>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</si>
  <si>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</si>
  <si>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</si>
  <si>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</si>
  <si>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</si>
  <si>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</si>
  <si>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</si>
  <si>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</si>
  <si>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</si>
  <si>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</si>
  <si>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</si>
  <si>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</si>
  <si>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</si>
  <si>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</si>
  <si>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</si>
  <si>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</si>
  <si>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</si>
  <si>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</si>
  <si>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</si>
  <si>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</si>
  <si>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</si>
  <si>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</si>
  <si>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</si>
  <si>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</si>
  <si>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</si>
  <si>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</si>
  <si>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</si>
  <si>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</si>
  <si>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</si>
  <si>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</si>
  <si>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</si>
  <si>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</si>
  <si>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</si>
  <si>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</si>
  <si>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</si>
  <si>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</si>
  <si>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</si>
  <si>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</si>
  <si>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</si>
  <si>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</si>
  <si>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</si>
  <si>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</si>
  <si>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</si>
  <si>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</si>
  <si>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</si>
  <si>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</si>
  <si>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</si>
  <si>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</si>
  <si>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</si>
  <si>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</si>
  <si>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</si>
  <si>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</si>
  <si>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</si>
  <si>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</si>
  <si>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</si>
  <si>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</si>
  <si>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</si>
  <si>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</si>
  <si>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</si>
  <si>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</si>
  <si>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</si>
  <si>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</si>
  <si>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</si>
  <si>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</si>
  <si>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</si>
  <si>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</si>
  <si>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</si>
  <si>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</si>
  <si>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</si>
  <si>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</si>
  <si>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</si>
  <si>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</si>
  <si>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</si>
  <si>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</si>
  <si>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</si>
  <si>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</si>
  <si>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</si>
  <si>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</si>
  <si>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</si>
  <si>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</si>
  <si>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</si>
  <si>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</si>
  <si>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</si>
  <si>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</si>
  <si>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</si>
  <si>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</si>
  <si>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</si>
  <si>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</si>
  <si>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</si>
  <si>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</si>
  <si>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</si>
  <si>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</si>
  <si>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</si>
  <si>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</si>
  <si>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</si>
  <si>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</si>
  <si>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</si>
  <si>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</si>
  <si>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</si>
  <si>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</si>
  <si>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</si>
  <si>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</si>
  <si>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</si>
  <si>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</si>
  <si>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</si>
  <si>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</si>
  <si>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</si>
  <si>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</si>
  <si>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</si>
  <si>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</si>
  <si>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</si>
  <si>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</si>
  <si>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</si>
  <si>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</si>
  <si>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</si>
  <si>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</si>
  <si>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</si>
  <si>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</si>
  <si>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</si>
  <si>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</si>
  <si>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</si>
  <si>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</si>
  <si>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</si>
  <si>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</si>
  <si>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</si>
  <si>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</si>
  <si>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</si>
  <si>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</si>
  <si>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</si>
  <si>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</si>
  <si>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</si>
  <si>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</si>
  <si>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</si>
  <si>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</si>
  <si>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</si>
  <si>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</si>
  <si>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</si>
  <si>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</si>
  <si>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</si>
  <si>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</si>
  <si>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</si>
  <si>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</si>
  <si>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</si>
  <si>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</si>
  <si>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</si>
  <si>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</si>
  <si>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</si>
  <si>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</si>
  <si>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</si>
  <si>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</si>
  <si>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</si>
  <si>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</si>
  <si>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</si>
  <si>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</si>
  <si>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</si>
  <si>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</si>
  <si>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</si>
  <si>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</si>
  <si>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</si>
  <si>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</si>
  <si>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</si>
  <si>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</si>
  <si>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</si>
  <si>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</si>
  <si>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</si>
  <si>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</si>
  <si>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</si>
  <si>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</si>
  <si>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</si>
  <si>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</si>
  <si>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</si>
  <si>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</si>
  <si>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</si>
  <si>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</si>
  <si>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</si>
  <si>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</si>
  <si>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</si>
  <si>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</si>
  <si>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</si>
  <si>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</si>
  <si>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</si>
  <si>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</si>
  <si>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</si>
  <si>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</si>
  <si>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</si>
  <si>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</si>
  <si>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</si>
  <si>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</si>
  <si>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</si>
  <si>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</si>
  <si>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</si>
  <si>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</si>
  <si>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</si>
  <si>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</si>
  <si>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</si>
  <si>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</si>
  <si>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</si>
  <si>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</si>
  <si>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</si>
  <si>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</si>
  <si>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</si>
  <si>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</si>
  <si>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</si>
  <si>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</si>
  <si>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</si>
  <si>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</si>
  <si>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</si>
  <si>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</si>
  <si>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</si>
  <si>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</si>
  <si>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</si>
  <si>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</si>
  <si>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</si>
  <si>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</si>
  <si>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</si>
  <si>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</si>
  <si>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</si>
  <si>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</si>
  <si>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</si>
  <si>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</si>
  <si>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</si>
  <si>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</si>
  <si>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</si>
  <si>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</si>
  <si>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</si>
  <si>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</si>
  <si>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</si>
  <si>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</si>
  <si>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</si>
  <si>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</si>
  <si>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</si>
  <si>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</si>
  <si>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</si>
  <si>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</si>
  <si>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</si>
  <si>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</si>
  <si>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</si>
  <si>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</si>
  <si>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</si>
  <si>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</si>
  <si>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</si>
  <si>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</si>
  <si>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</si>
  <si>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</si>
  <si>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</si>
  <si>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</si>
  <si>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</si>
  <si>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</si>
  <si>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</si>
  <si>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</si>
  <si>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</si>
  <si>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</si>
  <si>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</si>
  <si>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</si>
  <si>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</si>
  <si>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</si>
  <si>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</si>
  <si>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</si>
  <si>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</si>
  <si>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</si>
  <si>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</si>
  <si>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</si>
  <si>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</si>
  <si>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</si>
  <si>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</si>
  <si>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</si>
  <si>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</si>
  <si>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</si>
  <si>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</si>
  <si>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</si>
  <si>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</si>
  <si>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</si>
  <si>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</si>
  <si>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</si>
  <si>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</si>
  <si>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</si>
  <si>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</si>
  <si>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</si>
  <si>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</si>
  <si>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</si>
  <si>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</si>
  <si>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</si>
  <si>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</si>
  <si>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</si>
  <si>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</si>
  <si>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</si>
  <si>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</si>
  <si>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</si>
  <si>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</si>
  <si>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</si>
  <si>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</si>
  <si>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</si>
  <si>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</si>
  <si>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</si>
  <si>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</si>
  <si>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</si>
  <si>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</si>
  <si>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</si>
  <si>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</si>
  <si>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</si>
  <si>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</si>
  <si>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</si>
  <si>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</si>
  <si>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</si>
  <si>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</si>
  <si>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</si>
  <si>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</si>
  <si>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</si>
  <si>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</si>
  <si>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</si>
  <si>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</si>
  <si>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</si>
  <si>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</si>
  <si>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</si>
  <si>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</si>
  <si>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</si>
  <si>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</si>
  <si>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</si>
  <si>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</si>
  <si>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</si>
  <si>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</si>
  <si>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</si>
  <si>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</si>
  <si>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</si>
  <si>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</si>
  <si>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</si>
  <si>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</si>
  <si>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</si>
  <si>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</si>
  <si>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</si>
  <si>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</si>
  <si>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</si>
  <si>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</si>
  <si>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</si>
  <si>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</si>
  <si>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</si>
  <si>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</si>
  <si>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</si>
  <si>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</si>
  <si>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</si>
  <si>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</si>
  <si>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</si>
  <si>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</si>
  <si>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</si>
  <si>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</si>
  <si>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</si>
  <si>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</si>
  <si>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</si>
  <si>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</si>
  <si>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</si>
  <si>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</si>
  <si>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</si>
  <si>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</si>
  <si>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</si>
  <si>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</si>
  <si>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</si>
  <si>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</si>
  <si>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</si>
  <si>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</si>
  <si>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</si>
  <si>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</si>
  <si>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</si>
  <si>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</si>
  <si>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</si>
  <si>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</si>
  <si>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</si>
  <si>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</si>
  <si>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</si>
  <si>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</si>
  <si>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</si>
  <si>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</si>
  <si>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</si>
  <si>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</si>
  <si>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</si>
  <si>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</si>
  <si>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</si>
  <si>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</si>
  <si>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</si>
  <si>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</si>
  <si>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</si>
  <si>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</si>
  <si>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</si>
  <si>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</si>
  <si>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</si>
  <si>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</si>
  <si>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</si>
  <si>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</si>
  <si>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</si>
  <si>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</si>
  <si>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</si>
  <si>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</si>
  <si>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</si>
  <si>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</si>
  <si>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</si>
  <si>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</si>
  <si>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</si>
  <si>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</si>
  <si>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</si>
  <si>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</si>
  <si>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</si>
  <si>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</si>
  <si>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</si>
  <si>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</si>
  <si>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</si>
  <si>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</si>
  <si>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</si>
  <si>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</si>
  <si>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</si>
  <si>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</si>
  <si>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</si>
  <si>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</si>
  <si>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</si>
  <si>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</si>
  <si>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</si>
  <si>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</si>
  <si>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</si>
  <si>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</si>
  <si>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</si>
  <si>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</si>
  <si>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</si>
  <si>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</si>
  <si>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</si>
  <si>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</si>
  <si>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</si>
  <si>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</si>
  <si>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</si>
  <si>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</si>
  <si>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</si>
  <si>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</si>
  <si>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</si>
  <si>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</si>
  <si>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</si>
  <si>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</si>
  <si>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</si>
  <si>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</si>
  <si>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</si>
  <si>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</si>
  <si>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</si>
  <si>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</si>
  <si>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</si>
  <si>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</si>
  <si>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</si>
  <si>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</si>
  <si>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</si>
  <si>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</si>
  <si>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</si>
  <si>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</si>
  <si>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</si>
  <si>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</si>
  <si>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</si>
  <si>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</si>
  <si>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</si>
  <si>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</si>
  <si>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</si>
  <si>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</si>
  <si>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</si>
  <si>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</si>
  <si>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</si>
  <si>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</si>
  <si>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</si>
  <si>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</si>
  <si>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</si>
  <si>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</si>
  <si>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</si>
  <si>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</si>
  <si>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</si>
  <si>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</si>
  <si>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</si>
  <si>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</si>
  <si>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</si>
  <si>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</si>
  <si>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</si>
  <si>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</si>
  <si>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</si>
  <si>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</si>
  <si>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</si>
  <si>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</si>
  <si>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</si>
  <si>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</si>
  <si>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</si>
  <si>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</si>
  <si>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</si>
  <si>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</si>
  <si>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</si>
  <si>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</si>
  <si>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</si>
  <si>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</si>
  <si>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</si>
  <si>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</si>
  <si>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</si>
  <si>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</si>
  <si>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</si>
  <si>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</si>
  <si>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</si>
  <si>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</si>
  <si>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</si>
  <si>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</si>
  <si>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</si>
  <si>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</si>
  <si>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</si>
  <si>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</si>
  <si>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</si>
  <si>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</si>
  <si>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</si>
  <si>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</si>
  <si>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</si>
  <si>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</si>
  <si>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</si>
  <si>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</si>
  <si>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</si>
  <si>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</si>
  <si>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</si>
  <si>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</si>
  <si>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</si>
  <si>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</si>
  <si>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</si>
  <si>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</si>
  <si>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</si>
  <si>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</si>
  <si>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</si>
  <si>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</si>
  <si>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</si>
  <si>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</si>
  <si>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</si>
  <si>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</si>
  <si>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</si>
  <si>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</si>
  <si>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</si>
  <si>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</si>
  <si>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</si>
  <si>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</si>
  <si>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</si>
  <si>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</si>
  <si>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</si>
  <si>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</si>
  <si>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</si>
  <si>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</si>
  <si>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</si>
  <si>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</si>
  <si>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</si>
  <si>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</si>
  <si>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</si>
  <si>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</si>
  <si>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</si>
  <si>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</si>
  <si>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</si>
  <si>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</si>
  <si>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</si>
  <si>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</si>
  <si>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</si>
  <si>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</si>
  <si>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</si>
  <si>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</si>
  <si>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</si>
  <si>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</si>
  <si>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</si>
  <si>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</si>
  <si>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</si>
  <si>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</si>
  <si>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</si>
  <si>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</si>
  <si>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</si>
  <si>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</si>
  <si>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</si>
  <si>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</si>
  <si>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</si>
  <si>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</si>
  <si>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</si>
  <si>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</si>
  <si>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</si>
  <si>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</si>
  <si>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</si>
  <si>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</si>
  <si>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</si>
  <si>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</si>
  <si>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</si>
  <si>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</si>
  <si>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</si>
  <si>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</si>
  <si>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</si>
  <si>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</si>
  <si>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</si>
  <si>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</si>
  <si>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</si>
  <si>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</si>
  <si>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</si>
  <si>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</si>
  <si>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</si>
  <si>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</si>
  <si>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</si>
  <si>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</si>
  <si>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</si>
  <si>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</si>
  <si>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</si>
  <si>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</si>
  <si>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</si>
  <si>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</si>
  <si>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</si>
  <si>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</si>
  <si>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</si>
  <si>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</si>
  <si>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</si>
  <si>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</si>
  <si>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</si>
  <si>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</si>
  <si>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</si>
  <si>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</si>
  <si>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</si>
  <si>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</si>
  <si>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</si>
  <si>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</si>
  <si>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</si>
  <si>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</si>
  <si>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</si>
  <si>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</si>
  <si>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</si>
  <si>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</si>
  <si>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</si>
  <si>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</si>
  <si>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</si>
  <si>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</si>
  <si>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</si>
  <si>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</si>
  <si>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</si>
  <si>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</si>
  <si>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</si>
  <si>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</si>
  <si>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</si>
  <si>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</si>
  <si>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</si>
  <si>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</si>
  <si>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</si>
  <si>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</si>
  <si>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</si>
  <si>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</si>
  <si>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</si>
  <si>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</si>
  <si>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</si>
  <si>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</si>
  <si>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</si>
  <si>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</si>
  <si>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</si>
  <si>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</si>
  <si>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</si>
  <si>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</si>
  <si>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</si>
  <si>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</si>
  <si>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</si>
  <si>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</si>
  <si>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</si>
  <si>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</si>
  <si>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</si>
  <si>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</si>
  <si>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</si>
  <si>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</si>
  <si>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</si>
  <si>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</si>
  <si>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</si>
  <si>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</si>
  <si>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</si>
  <si>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</si>
  <si>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</si>
  <si>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</si>
  <si>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</si>
  <si>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</si>
  <si>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</si>
  <si>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</si>
  <si>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</si>
  <si>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</si>
  <si>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</si>
  <si>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</si>
  <si>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</si>
  <si>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</si>
  <si>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</si>
  <si>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</si>
  <si>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</si>
  <si>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</si>
  <si>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</si>
  <si>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</si>
  <si>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</si>
  <si>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</si>
  <si>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</si>
  <si>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</si>
  <si>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</si>
  <si>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</si>
  <si>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</si>
  <si>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</si>
  <si>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</si>
  <si>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</si>
  <si>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</si>
  <si>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</si>
  <si>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</si>
  <si>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</si>
  <si>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</si>
  <si>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</si>
  <si>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</si>
  <si>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</si>
  <si>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</si>
  <si>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</si>
  <si>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</si>
  <si>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</si>
  <si>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</si>
  <si>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</si>
  <si>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</si>
  <si>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</si>
  <si>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</si>
  <si>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</si>
  <si>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</si>
  <si>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</si>
  <si>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</si>
  <si>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</si>
  <si>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</si>
  <si>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</si>
  <si>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</si>
  <si>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</si>
  <si>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</si>
  <si>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</si>
  <si>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</si>
  <si>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</si>
  <si>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</si>
  <si>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</si>
  <si>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</si>
  <si>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</si>
  <si>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</si>
  <si>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</si>
  <si>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</si>
  <si>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</si>
  <si>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</si>
  <si>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</si>
  <si>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</si>
  <si>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</si>
  <si>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</si>
  <si>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</si>
  <si>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</si>
  <si>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</si>
  <si>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</si>
  <si>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</si>
  <si>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</si>
  <si>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</si>
  <si>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</si>
  <si>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</si>
  <si>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</si>
  <si>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</si>
  <si>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</si>
  <si>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</si>
  <si>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</si>
  <si>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</si>
  <si>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</si>
  <si>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</si>
  <si>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</si>
  <si>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</si>
  <si>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</si>
  <si>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</si>
  <si>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</si>
  <si>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</si>
  <si>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</si>
  <si>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</si>
  <si>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</si>
  <si>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</si>
  <si>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</si>
  <si>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</si>
  <si>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</si>
  <si>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</si>
  <si>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</si>
  <si>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</si>
  <si>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</si>
  <si>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</si>
  <si>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</si>
  <si>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</si>
  <si>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</si>
  <si>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</si>
  <si>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</si>
  <si>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</si>
  <si>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</si>
  <si>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</si>
  <si>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</si>
  <si>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</si>
  <si>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</si>
  <si>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</si>
  <si>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</si>
  <si>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</si>
  <si>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</si>
  <si>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</si>
  <si>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</si>
  <si>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</si>
  <si>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</si>
  <si>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</si>
  <si>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</si>
  <si>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</si>
  <si>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</si>
  <si>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</si>
  <si>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</si>
  <si>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</si>
  <si>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</si>
  <si>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</si>
  <si>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</si>
  <si>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</si>
  <si>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</si>
  <si>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</si>
  <si>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</si>
  <si>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</si>
  <si>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</si>
  <si>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</si>
  <si>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</si>
  <si>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</si>
  <si>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</si>
  <si>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</si>
  <si>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</si>
  <si>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</si>
  <si>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</si>
  <si>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</si>
  <si>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</si>
  <si>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</si>
  <si>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</si>
  <si>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</si>
  <si>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</si>
  <si>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</si>
  <si>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</si>
  <si>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</si>
  <si>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</si>
  <si>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</si>
  <si>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</si>
  <si>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</si>
  <si>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</si>
  <si>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</si>
  <si>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</si>
  <si>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</si>
  <si>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</si>
  <si>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</si>
  <si>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</si>
  <si>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</si>
  <si>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</si>
  <si>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</si>
  <si>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</si>
  <si>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</si>
  <si>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</si>
  <si>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</si>
  <si>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</si>
  <si>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</si>
  <si>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</si>
  <si>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</si>
  <si>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</si>
  <si>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</si>
  <si>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</si>
  <si>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</si>
  <si>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</si>
  <si>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</si>
  <si>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</si>
  <si>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</si>
  <si>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</si>
  <si>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</si>
  <si>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</si>
  <si>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</si>
  <si>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</si>
  <si>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</si>
  <si>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</si>
  <si>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</si>
  <si>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</si>
  <si>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</si>
  <si>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</si>
  <si>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</si>
  <si>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</si>
  <si>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</si>
  <si>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</si>
  <si>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</si>
  <si>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</si>
  <si>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</si>
  <si>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</si>
  <si>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</si>
  <si>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</si>
  <si>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</si>
  <si>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</si>
  <si>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</si>
  <si>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</si>
  <si>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</si>
  <si>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</si>
  <si>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</si>
  <si>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</si>
  <si>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</si>
  <si>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</si>
  <si>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</si>
  <si>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</si>
  <si>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</si>
  <si>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</si>
  <si>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</si>
  <si>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</si>
  <si>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</si>
  <si>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</si>
  <si>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</si>
  <si>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</si>
  <si>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</si>
  <si>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</si>
  <si>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</si>
  <si>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</si>
  <si>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</si>
  <si>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</si>
  <si>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</si>
  <si>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</si>
  <si>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</si>
  <si>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</si>
  <si>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</si>
  <si>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</si>
  <si>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</si>
  <si>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</si>
  <si>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</si>
  <si>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</si>
  <si>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</si>
  <si>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</si>
  <si>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</si>
  <si>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</si>
  <si>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</si>
  <si>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</si>
  <si>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</si>
  <si>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</si>
  <si>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</si>
  <si>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</si>
  <si>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</si>
  <si>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</si>
  <si>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</si>
  <si>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</si>
  <si>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</si>
  <si>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</si>
  <si>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</si>
  <si>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</si>
  <si>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</si>
  <si>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</si>
  <si>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</si>
  <si>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</si>
  <si>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</si>
  <si>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</si>
  <si>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</si>
  <si>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</si>
  <si>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</si>
  <si>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</si>
  <si>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</si>
  <si>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</si>
  <si>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</si>
  <si>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</si>
  <si>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</si>
  <si>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</si>
  <si>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</si>
  <si>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</si>
  <si>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</si>
  <si>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</si>
  <si>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</si>
  <si>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</si>
  <si>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</si>
  <si>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</si>
  <si>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</si>
  <si>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</si>
  <si>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</si>
  <si>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</si>
  <si>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</si>
  <si>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</si>
  <si>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</si>
  <si>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</si>
  <si>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</si>
  <si>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</si>
  <si>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</si>
  <si>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</si>
  <si>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</si>
  <si>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</si>
  <si>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</si>
  <si>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</si>
  <si>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</si>
  <si>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</si>
  <si>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</si>
  <si>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</si>
  <si>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</si>
  <si>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</si>
  <si>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</si>
  <si>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</si>
  <si>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</si>
  <si>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</si>
  <si>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</si>
  <si>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</si>
  <si>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</si>
  <si>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</si>
  <si>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</si>
  <si>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</si>
  <si>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</si>
  <si>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</si>
  <si>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</si>
  <si>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</si>
  <si>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</si>
  <si>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</si>
  <si>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</si>
  <si>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</si>
  <si>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</si>
  <si>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</si>
  <si>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</si>
  <si>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</si>
  <si>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</si>
  <si>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</si>
  <si>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</si>
  <si>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</si>
  <si>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</si>
  <si>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</si>
  <si>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</si>
  <si>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</si>
  <si>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</si>
  <si>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</si>
  <si>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</si>
  <si>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</si>
  <si>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</si>
  <si>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</si>
  <si>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</si>
  <si>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</si>
  <si>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</si>
  <si>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</si>
  <si>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</si>
  <si>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</si>
  <si>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</si>
  <si>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</si>
  <si>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</si>
  <si>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</si>
  <si>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</si>
  <si>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</si>
  <si>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</si>
  <si>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</si>
  <si>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</si>
  <si>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</si>
  <si>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</si>
  <si>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</si>
  <si>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</si>
  <si>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</si>
  <si>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</si>
  <si>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</si>
  <si>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</si>
  <si>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</si>
  <si>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</si>
  <si>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</si>
  <si>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</si>
  <si>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</si>
  <si>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</si>
  <si>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</si>
  <si>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</si>
  <si>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</si>
  <si>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</si>
  <si>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</si>
  <si>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</si>
  <si>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</si>
  <si>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</si>
  <si>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</si>
  <si>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</si>
  <si>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</si>
  <si>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</si>
  <si>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</si>
  <si>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</si>
  <si>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</si>
  <si>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</si>
  <si>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</si>
  <si>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</si>
  <si>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</si>
  <si>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</si>
  <si>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</si>
  <si>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</si>
  <si>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</si>
  <si>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</si>
  <si>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</si>
  <si>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</si>
  <si>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</si>
  <si>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</si>
  <si>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</si>
  <si>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</si>
  <si>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</si>
  <si>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</si>
  <si>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</si>
  <si>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</si>
  <si>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</si>
  <si>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</si>
  <si>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</si>
  <si>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</si>
  <si>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</si>
  <si>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</si>
  <si>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</si>
  <si>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</si>
  <si>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</si>
  <si>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</si>
  <si>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</si>
  <si>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</si>
  <si>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</si>
  <si>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</si>
  <si>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</si>
  <si>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</si>
  <si>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</si>
  <si>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</si>
  <si>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</si>
  <si>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</si>
  <si>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</si>
  <si>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</si>
  <si>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</si>
  <si>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</si>
  <si>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</si>
  <si>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</si>
  <si>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</si>
  <si>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</si>
  <si>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</si>
  <si>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</si>
  <si>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</si>
  <si>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</si>
  <si>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</si>
  <si>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</si>
  <si>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</si>
  <si>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</si>
  <si>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</si>
  <si>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</si>
  <si>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</si>
  <si>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</si>
  <si>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</si>
  <si>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</si>
  <si>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</si>
  <si>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</si>
  <si>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</si>
  <si>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</si>
  <si>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</si>
  <si>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</si>
  <si>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</si>
  <si>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</si>
  <si>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</si>
  <si>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</si>
  <si>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</si>
  <si>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</si>
  <si>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</si>
  <si>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</si>
  <si>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</si>
  <si>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</si>
  <si>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</si>
  <si>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</si>
  <si>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</si>
  <si>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</si>
  <si>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</si>
  <si>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</si>
  <si>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</si>
  <si>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</si>
  <si>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</si>
  <si>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</si>
  <si>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</si>
  <si>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</si>
  <si>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</si>
  <si>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</si>
  <si>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</si>
  <si>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</si>
  <si>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</si>
  <si>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</si>
  <si>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</si>
  <si>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</si>
  <si>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</si>
  <si>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</si>
  <si>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</si>
  <si>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</si>
  <si>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</si>
  <si>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</si>
  <si>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</si>
  <si>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</si>
  <si>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</si>
  <si>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</si>
  <si>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</si>
  <si>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</si>
  <si>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</si>
  <si>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</si>
  <si>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</si>
  <si>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</si>
  <si>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</si>
  <si>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</si>
  <si>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</si>
  <si>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</si>
  <si>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</si>
  <si>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</si>
  <si>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</si>
  <si>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</si>
  <si>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</si>
  <si>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</si>
  <si>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</si>
  <si>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</si>
  <si>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</si>
  <si>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</si>
  <si>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</si>
  <si>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</si>
  <si>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</si>
  <si>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</si>
  <si>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</si>
  <si>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</si>
  <si>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</si>
  <si>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</si>
  <si>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</si>
  <si>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</si>
  <si>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</si>
  <si>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</si>
  <si>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</si>
  <si>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</si>
  <si>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</si>
  <si>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</si>
  <si>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</si>
  <si>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</si>
  <si>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</si>
  <si>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</si>
  <si>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</si>
  <si>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</si>
  <si>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</si>
  <si>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</si>
  <si>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</si>
  <si>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</si>
  <si>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</si>
  <si>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</si>
  <si>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</si>
  <si>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</si>
  <si>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</si>
  <si>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</si>
  <si>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</si>
  <si>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</si>
  <si>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</si>
  <si>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</si>
  <si>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</si>
  <si>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</si>
  <si>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</si>
  <si>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</si>
  <si>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</si>
  <si>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</si>
  <si>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</si>
  <si>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</si>
  <si>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</si>
  <si>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</si>
  <si>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</si>
  <si>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</si>
  <si>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</si>
  <si>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</si>
  <si>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</si>
  <si>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</si>
  <si>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</si>
  <si>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</si>
  <si>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</si>
  <si>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</si>
  <si>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</si>
  <si>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</si>
  <si>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</si>
  <si>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</si>
  <si>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</si>
  <si>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</si>
  <si>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</si>
  <si>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</si>
  <si>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</si>
  <si>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</si>
  <si>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</si>
  <si>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</si>
  <si>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</si>
  <si>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</si>
  <si>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</si>
  <si>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</si>
  <si>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</si>
  <si>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</si>
  <si>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</si>
  <si>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</si>
  <si>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</si>
  <si>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</si>
  <si>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</si>
  <si>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</si>
  <si>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</si>
  <si>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</si>
  <si>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</si>
  <si>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</si>
  <si>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</si>
  <si>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</si>
  <si>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</si>
  <si>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</si>
  <si>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</si>
  <si>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</si>
  <si>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</si>
  <si>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</si>
  <si>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</si>
  <si>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</si>
  <si>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</si>
  <si>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</si>
  <si>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</si>
  <si>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</si>
  <si>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</si>
  <si>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</si>
  <si>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</si>
  <si>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</si>
  <si>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</si>
  <si>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</si>
  <si>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</si>
  <si>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</si>
  <si>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</si>
  <si>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</si>
  <si>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</si>
  <si>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</si>
  <si>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</si>
  <si>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</si>
  <si>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</si>
  <si>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</si>
  <si>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</si>
  <si>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</si>
  <si>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</si>
  <si>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</si>
  <si>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</si>
  <si>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</si>
  <si>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</si>
  <si>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</si>
  <si>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</si>
  <si>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</si>
  <si>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</si>
  <si>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</si>
  <si>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</si>
  <si>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</si>
  <si>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</si>
  <si>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</si>
  <si>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</si>
  <si>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</si>
  <si>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</si>
  <si>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</si>
  <si>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</si>
  <si>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</si>
  <si>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</si>
  <si>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</si>
  <si>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</si>
  <si>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</si>
  <si>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</si>
  <si>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</si>
  <si>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</si>
  <si>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</si>
  <si>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</si>
  <si>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</si>
  <si>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</si>
  <si>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</si>
  <si>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</si>
  <si>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</si>
  <si>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</si>
  <si>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</si>
  <si>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</si>
  <si>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</si>
  <si>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</si>
  <si>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</si>
  <si>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</si>
  <si>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</si>
  <si>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</si>
  <si>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</si>
  <si>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</si>
  <si>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</si>
  <si>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</si>
  <si>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</si>
  <si>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</si>
  <si>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</si>
  <si>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</si>
  <si>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</si>
  <si>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</si>
  <si>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</si>
  <si>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</si>
  <si>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</si>
  <si>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</si>
  <si>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</si>
  <si>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</si>
  <si>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</si>
  <si>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</si>
  <si>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</si>
  <si>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</si>
  <si>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</si>
  <si>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</si>
  <si>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</si>
  <si>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</si>
  <si>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</si>
  <si>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</si>
  <si>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</si>
  <si>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</si>
  <si>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</si>
  <si>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</si>
  <si>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</si>
  <si>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</si>
  <si>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</si>
  <si>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</si>
  <si>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</si>
  <si>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</si>
  <si>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</si>
  <si>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</si>
  <si>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</si>
  <si>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</si>
  <si>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</si>
  <si>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</si>
  <si>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</si>
  <si>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</si>
  <si>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</si>
  <si>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</si>
  <si>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</si>
  <si>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</si>
  <si>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</si>
  <si>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</si>
  <si>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</si>
  <si>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</si>
  <si>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</si>
  <si>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</si>
  <si>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</si>
  <si>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</si>
  <si>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</si>
  <si>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</si>
  <si>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</si>
  <si>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</si>
  <si>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</si>
  <si>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</si>
  <si>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</si>
  <si>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</si>
  <si>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</si>
  <si>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</si>
  <si>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</si>
  <si>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</si>
  <si>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</si>
  <si>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</si>
  <si>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</si>
  <si>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</si>
  <si>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</si>
  <si>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</si>
  <si>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</si>
  <si>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</si>
  <si>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</si>
  <si>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</si>
  <si>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</si>
  <si>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</si>
  <si>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</si>
  <si>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</si>
  <si>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</si>
  <si>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</si>
  <si>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</si>
  <si>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</si>
  <si>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</si>
  <si>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</si>
  <si>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</si>
  <si>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</si>
  <si>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</si>
  <si>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</si>
  <si>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</si>
  <si>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</si>
  <si>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</si>
  <si>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</si>
  <si>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</si>
  <si>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</si>
  <si>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</si>
  <si>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</si>
  <si>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</si>
  <si>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</si>
  <si>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</si>
  <si>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</si>
  <si>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</si>
  <si>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</si>
  <si>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</si>
  <si>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</si>
  <si>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</si>
  <si>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</si>
  <si>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</si>
  <si>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</si>
  <si>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</si>
  <si>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</si>
  <si>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</si>
  <si>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</si>
  <si>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</si>
  <si>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</si>
  <si>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</si>
  <si>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</si>
  <si>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</si>
  <si>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</si>
  <si>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</si>
  <si>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</si>
  <si>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</si>
  <si>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</si>
  <si>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</si>
  <si>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</si>
  <si>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</si>
  <si>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</si>
  <si>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</si>
  <si>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</si>
  <si>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</si>
  <si>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</si>
  <si>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</si>
  <si>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</si>
  <si>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</si>
  <si>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</si>
  <si>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</si>
  <si>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</si>
  <si>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</si>
  <si>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</si>
  <si>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</si>
  <si>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</si>
  <si>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</si>
  <si>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</si>
  <si>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</si>
  <si>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</si>
  <si>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</si>
  <si>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</si>
  <si>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</si>
  <si>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</si>
  <si>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</si>
  <si>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</si>
  <si>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</si>
  <si>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</si>
  <si>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</si>
  <si>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</si>
  <si>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</si>
  <si>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</si>
  <si>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</si>
  <si>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</si>
  <si>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</si>
  <si>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</si>
  <si>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</si>
  <si>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</si>
  <si>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</si>
  <si>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</si>
  <si>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</si>
  <si>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</si>
  <si>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</si>
  <si>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</si>
  <si>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</si>
  <si>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</si>
  <si>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</si>
  <si>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</si>
  <si>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</si>
  <si>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</si>
  <si>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</si>
  <si>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</si>
  <si>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</si>
  <si>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</si>
  <si>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</si>
  <si>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</si>
  <si>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</si>
  <si>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</si>
  <si>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</si>
  <si>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</si>
  <si>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</si>
  <si>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</si>
  <si>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</si>
  <si>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</si>
  <si>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</si>
  <si>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</si>
  <si>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</si>
  <si>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</si>
  <si>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</si>
  <si>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</si>
  <si>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</si>
  <si>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</si>
  <si>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</si>
  <si>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</si>
  <si>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</si>
  <si>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</si>
  <si>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</si>
  <si>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</si>
  <si>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</si>
  <si>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</si>
  <si>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</si>
  <si>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</si>
  <si>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</si>
  <si>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</si>
  <si>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</si>
  <si>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</si>
  <si>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</si>
  <si>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</si>
  <si>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</si>
  <si>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</si>
  <si>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</si>
  <si>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</si>
  <si>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</si>
  <si>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</si>
  <si>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</si>
  <si>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</si>
  <si>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</si>
  <si>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</si>
  <si>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</si>
  <si>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</si>
  <si>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</si>
  <si>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</si>
  <si>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</si>
  <si>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</si>
  <si>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</si>
  <si>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</si>
  <si>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</si>
  <si>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</si>
  <si>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</si>
  <si>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</si>
  <si>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</si>
  <si>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</si>
  <si>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</si>
  <si>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</si>
  <si>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</si>
  <si>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</si>
  <si>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</si>
  <si>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</si>
  <si>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</si>
  <si>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</si>
  <si>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</si>
  <si>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</si>
  <si>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</si>
  <si>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</si>
  <si>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</si>
  <si>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</si>
  <si>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</si>
  <si>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</si>
  <si>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</si>
  <si>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</si>
  <si>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</si>
  <si>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</si>
  <si>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</si>
  <si>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</si>
  <si>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</si>
  <si>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</si>
  <si>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</si>
  <si>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</si>
  <si>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</si>
  <si>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</si>
  <si>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</si>
  <si>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</si>
  <si>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</si>
  <si>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</si>
  <si>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</si>
  <si>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</si>
  <si>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</si>
  <si>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</si>
  <si>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</si>
  <si>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</si>
  <si>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</si>
  <si>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</si>
  <si>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</si>
  <si>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</si>
  <si>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</si>
  <si>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</si>
  <si>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</si>
  <si>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</si>
  <si>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</si>
  <si>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</si>
  <si>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</si>
  <si>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</si>
  <si>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</si>
  <si>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</si>
  <si>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</si>
  <si>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</si>
  <si>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</si>
  <si>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</si>
  <si>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</si>
  <si>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</si>
  <si>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</si>
  <si>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</si>
  <si>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</si>
  <si>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</si>
  <si>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</si>
  <si>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</si>
  <si>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</si>
  <si>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</si>
  <si>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</si>
  <si>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</si>
  <si>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</si>
  <si>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</si>
  <si>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</si>
  <si>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</si>
  <si>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</si>
  <si>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</si>
  <si>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</si>
  <si>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</si>
  <si>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</si>
  <si>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</si>
  <si>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</si>
  <si>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</si>
  <si>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</si>
  <si>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</si>
  <si>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</si>
  <si>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</si>
  <si>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</si>
  <si>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</si>
  <si>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</si>
  <si>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</si>
  <si>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</si>
  <si>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</si>
  <si>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</si>
  <si>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</si>
  <si>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</si>
  <si>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</si>
  <si>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</si>
  <si>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</si>
  <si>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</si>
  <si>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</si>
  <si>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</si>
  <si>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</si>
  <si>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</si>
  <si>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</si>
  <si>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</si>
  <si>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</si>
  <si>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</si>
  <si>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</si>
  <si>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</si>
  <si>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</si>
  <si>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</si>
  <si>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</si>
  <si>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</si>
  <si>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</si>
  <si>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</si>
  <si>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</si>
  <si>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</si>
  <si>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</si>
  <si>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</si>
  <si>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</si>
  <si>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</si>
  <si>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</si>
  <si>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</si>
  <si>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</si>
  <si>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</si>
  <si>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</si>
  <si>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</si>
  <si>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</si>
  <si>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</si>
  <si>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</si>
  <si>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</si>
  <si>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</si>
  <si>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</si>
  <si>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</si>
  <si>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</si>
  <si>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</si>
  <si>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</si>
  <si>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</si>
  <si>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</si>
  <si>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</si>
  <si>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</si>
  <si>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</si>
  <si>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</si>
  <si>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</si>
  <si>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</si>
  <si>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</si>
  <si>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</si>
  <si>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</si>
  <si>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</si>
  <si>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</si>
  <si>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</si>
  <si>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</si>
  <si>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</si>
  <si>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</si>
  <si>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</si>
  <si>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</si>
  <si>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</si>
  <si>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</si>
  <si>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</si>
  <si>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</si>
  <si>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</si>
  <si>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</si>
  <si>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</si>
  <si>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</si>
  <si>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</si>
  <si>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</si>
  <si>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</si>
  <si>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</si>
  <si>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</si>
  <si>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</si>
  <si>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</si>
  <si>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</si>
  <si>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</si>
  <si>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</si>
  <si>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</si>
  <si>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</si>
  <si>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</si>
  <si>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</si>
  <si>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</si>
  <si>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</si>
  <si>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</si>
  <si>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</si>
  <si>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</si>
  <si>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</si>
  <si>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</si>
  <si>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</si>
  <si>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</si>
  <si>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</si>
  <si>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</si>
  <si>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</si>
  <si>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</si>
  <si>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</si>
  <si>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</si>
  <si>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</si>
  <si>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</si>
  <si>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</si>
  <si>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</si>
  <si>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</si>
  <si>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</si>
  <si>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</si>
  <si>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</si>
  <si>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</si>
  <si>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</si>
  <si>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</si>
  <si>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</si>
  <si>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</si>
  <si>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</si>
  <si>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</si>
  <si>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</si>
  <si>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</si>
  <si>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</si>
  <si>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</si>
  <si>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</si>
  <si>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</si>
  <si>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</si>
  <si>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</si>
  <si>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</si>
  <si>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</si>
  <si>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</si>
  <si>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</si>
  <si>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</si>
  <si>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</si>
  <si>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</si>
  <si>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</si>
  <si>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</si>
  <si>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</si>
  <si>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</si>
  <si>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</si>
  <si>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</si>
  <si>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</si>
  <si>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</si>
  <si>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</si>
  <si>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</si>
  <si>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</si>
  <si>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</si>
  <si>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</si>
  <si>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</si>
  <si>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</si>
  <si>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</si>
  <si>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</si>
  <si>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</si>
  <si>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</si>
  <si>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</si>
  <si>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</si>
  <si>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</si>
  <si>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</si>
  <si>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</si>
  <si>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</si>
  <si>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</si>
  <si>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</si>
  <si>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</si>
  <si>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</si>
  <si>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</si>
  <si>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</si>
  <si>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</si>
  <si>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</si>
  <si>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</si>
  <si>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</si>
  <si>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</si>
  <si>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</si>
  <si>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</si>
  <si>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</si>
  <si>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</si>
  <si>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</si>
  <si>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</si>
  <si>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</si>
  <si>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</si>
  <si>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</si>
  <si>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</si>
  <si>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</si>
  <si>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</si>
  <si>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</si>
  <si>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</si>
  <si>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</si>
  <si>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</si>
  <si>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</si>
  <si>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</si>
  <si>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</si>
  <si>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</si>
  <si>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</si>
  <si>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</si>
  <si>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</si>
  <si>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</si>
  <si>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</si>
  <si>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</si>
  <si>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</si>
  <si>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</si>
  <si>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</si>
  <si>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</si>
  <si>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</si>
  <si>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</si>
  <si>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</si>
  <si>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</si>
  <si>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</si>
  <si>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</si>
  <si>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</si>
  <si>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</si>
  <si>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</si>
  <si>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</si>
  <si>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</si>
  <si>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</si>
  <si>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</si>
  <si>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</si>
  <si>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</si>
  <si>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</si>
  <si>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</si>
  <si>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</si>
  <si>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</si>
  <si>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</si>
  <si>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</si>
  <si>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</si>
  <si>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</si>
  <si>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</si>
  <si>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</si>
  <si>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</si>
  <si>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</si>
  <si>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</si>
  <si>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</si>
  <si>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</si>
  <si>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</si>
  <si>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</si>
  <si>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</si>
  <si>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</si>
  <si>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</si>
  <si>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</si>
  <si>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</si>
  <si>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</si>
  <si>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</si>
  <si>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</si>
  <si>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</si>
  <si>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</si>
  <si>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</si>
  <si>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</si>
  <si>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</si>
  <si>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</si>
  <si>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</si>
  <si>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</si>
  <si>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</si>
  <si>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</si>
  <si>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</si>
  <si>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</si>
  <si>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</si>
  <si>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</si>
  <si>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</si>
  <si>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</si>
  <si>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</si>
  <si>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</si>
  <si>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</si>
  <si>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</si>
  <si>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</si>
  <si>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</si>
  <si>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</si>
  <si>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</si>
  <si>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</si>
  <si>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</si>
  <si>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</si>
  <si>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</si>
  <si>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</si>
  <si>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</si>
  <si>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</si>
  <si>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</si>
  <si>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</si>
  <si>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</si>
  <si>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</si>
  <si>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</si>
  <si>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</si>
  <si>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</si>
  <si>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</si>
  <si>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</si>
  <si>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</si>
  <si>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</si>
  <si>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</si>
  <si>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</si>
  <si>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</si>
  <si>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</si>
  <si>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</si>
  <si>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</si>
  <si>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</si>
  <si>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</si>
  <si>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</si>
  <si>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</si>
  <si>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</si>
  <si>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</si>
  <si>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</si>
  <si>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</si>
  <si>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</si>
  <si>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</si>
  <si>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</si>
  <si>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</si>
  <si>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</si>
  <si>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</si>
  <si>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</si>
  <si>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</si>
  <si>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</si>
  <si>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</si>
  <si>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</si>
  <si>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</si>
  <si>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</si>
  <si>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</si>
  <si>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</si>
  <si>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</si>
  <si>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</si>
  <si>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</si>
  <si>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</si>
  <si>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</si>
  <si>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</si>
  <si>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</si>
  <si>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</si>
  <si>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</si>
  <si>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</si>
  <si>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</si>
  <si>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</si>
  <si>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</si>
  <si>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</si>
  <si>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</si>
  <si>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</si>
  <si>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</si>
  <si>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</si>
  <si>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</si>
  <si>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</si>
  <si>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</si>
  <si>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</si>
  <si>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</si>
  <si>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</si>
  <si>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</si>
  <si>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</si>
  <si>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</si>
  <si>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</si>
  <si>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</si>
  <si>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</si>
  <si>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</si>
  <si>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</si>
  <si>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</si>
  <si>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</si>
  <si>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</si>
  <si>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</si>
  <si>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</si>
  <si>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</si>
  <si>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</si>
  <si>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</si>
  <si>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</si>
  <si>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</si>
  <si>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</si>
  <si>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</si>
  <si>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</si>
  <si>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</si>
  <si>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</si>
  <si>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</si>
  <si>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</si>
  <si>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</si>
  <si>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</si>
  <si>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</si>
  <si>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</si>
  <si>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</si>
  <si>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</si>
  <si>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</si>
  <si>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</si>
  <si>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</si>
  <si>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</si>
  <si>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</si>
  <si>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</si>
  <si>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</si>
  <si>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</si>
  <si>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</si>
  <si>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</si>
  <si>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</si>
  <si>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</si>
  <si>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</si>
  <si>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</si>
  <si>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</si>
  <si>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</si>
  <si>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</si>
  <si>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</si>
  <si>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</si>
  <si>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</si>
  <si>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</si>
  <si>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</si>
  <si>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</si>
  <si>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</si>
  <si>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</si>
  <si>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</si>
  <si>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</si>
  <si>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</si>
  <si>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</si>
  <si>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</si>
  <si>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</si>
  <si>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</si>
  <si>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</si>
  <si>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</si>
  <si>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</si>
  <si>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</si>
  <si>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</si>
  <si>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</si>
  <si>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</si>
  <si>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</si>
  <si>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</si>
  <si>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</si>
  <si>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</si>
  <si>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</si>
  <si>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</si>
  <si>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</si>
  <si>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</si>
  <si>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</si>
  <si>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</si>
  <si>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</si>
  <si>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</si>
  <si>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</si>
  <si>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</si>
  <si>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</si>
  <si>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</si>
  <si>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</si>
  <si>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</si>
  <si>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</si>
  <si>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</si>
  <si>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</si>
  <si>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</si>
  <si>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</si>
  <si>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</si>
  <si>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</si>
  <si>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</si>
  <si>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</si>
  <si>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</si>
  <si>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</si>
  <si>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</si>
  <si>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</si>
  <si>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</si>
  <si>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</si>
  <si>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</si>
  <si>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</si>
  <si>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</si>
  <si>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</si>
  <si>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</si>
  <si>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</si>
  <si>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</si>
  <si>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</si>
  <si>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</si>
  <si>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</si>
  <si>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</si>
  <si>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</si>
  <si>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</si>
  <si>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</si>
  <si>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</si>
  <si>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</si>
  <si>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</si>
  <si>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</si>
  <si>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</si>
  <si>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</si>
  <si>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</si>
  <si>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</si>
  <si>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</si>
  <si>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</si>
  <si>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</si>
  <si>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</si>
  <si>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</si>
  <si>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</si>
  <si>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</si>
  <si>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</si>
  <si>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</si>
  <si>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</si>
  <si>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</si>
  <si>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</si>
  <si>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</si>
  <si>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</si>
  <si>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</si>
  <si>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</si>
  <si>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</si>
  <si>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</si>
  <si>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</si>
  <si>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</si>
  <si>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</si>
  <si>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</si>
  <si>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</si>
  <si>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</si>
  <si>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</si>
  <si>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</si>
  <si>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</si>
  <si>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</si>
  <si>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</si>
  <si>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</si>
  <si>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</si>
  <si>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</si>
  <si>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</si>
  <si>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</si>
  <si>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</si>
  <si>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</si>
  <si>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</si>
  <si>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</si>
  <si>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</si>
  <si>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</si>
  <si>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</si>
  <si>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</si>
  <si>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</si>
  <si>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</si>
  <si>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</si>
  <si>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</si>
  <si>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</si>
  <si>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</si>
  <si>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</si>
  <si>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</si>
  <si>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</si>
  <si>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</si>
  <si>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</si>
  <si>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</si>
  <si>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</si>
  <si>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</si>
  <si>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</si>
  <si>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</si>
  <si>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</si>
  <si>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</si>
  <si>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</si>
  <si>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</si>
  <si>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</si>
  <si>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</si>
  <si>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</si>
  <si>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</si>
  <si>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</si>
  <si>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</si>
  <si>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</si>
  <si>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</si>
  <si>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</si>
  <si>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</si>
  <si>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</si>
  <si>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</si>
  <si>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</si>
  <si>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</si>
  <si>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</si>
  <si>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</si>
  <si>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</si>
  <si>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</si>
  <si>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</si>
  <si>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</si>
  <si>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</si>
  <si>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</si>
  <si>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</si>
  <si>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</si>
  <si>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</si>
  <si>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</si>
  <si>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</si>
  <si>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</si>
  <si>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</si>
  <si>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</si>
  <si>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</si>
  <si>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</si>
  <si>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</si>
  <si>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</si>
  <si>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</si>
  <si>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</si>
  <si>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</si>
  <si>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</si>
  <si>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</si>
  <si>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</si>
  <si>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</si>
  <si>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</si>
  <si>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</si>
  <si>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</si>
  <si>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</si>
  <si>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</si>
  <si>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</si>
  <si>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</si>
  <si>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</si>
  <si>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</si>
  <si>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</si>
  <si>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</si>
  <si>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</si>
  <si>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</si>
  <si>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</si>
  <si>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</si>
  <si>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</si>
  <si>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</si>
  <si>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</si>
  <si>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</si>
  <si>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</si>
  <si>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</si>
  <si>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</si>
  <si>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</si>
  <si>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</si>
  <si>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</si>
  <si>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</si>
  <si>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</si>
  <si>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</si>
  <si>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</si>
  <si>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</si>
  <si>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</si>
  <si>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</si>
  <si>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</si>
  <si>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</si>
  <si>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</si>
  <si>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</si>
  <si>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</si>
  <si>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</si>
  <si>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</si>
  <si>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</si>
  <si>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</si>
  <si>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</si>
  <si>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</si>
  <si>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</si>
  <si>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</si>
  <si>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</si>
  <si>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</si>
  <si>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</si>
  <si>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</si>
  <si>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</si>
  <si>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</si>
  <si>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</si>
  <si>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</si>
  <si>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</si>
  <si>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</si>
  <si>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</si>
  <si>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</si>
  <si>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</si>
  <si>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</si>
  <si>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</si>
  <si>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</si>
  <si>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</si>
  <si>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</si>
  <si>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</si>
  <si>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</si>
  <si>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</si>
  <si>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</si>
  <si>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</si>
  <si>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</si>
  <si>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</si>
  <si>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</si>
  <si>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</si>
  <si>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</si>
  <si>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</si>
  <si>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</si>
  <si>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</si>
  <si>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</si>
  <si>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</si>
  <si>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</si>
  <si>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</si>
  <si>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</si>
  <si>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</si>
  <si>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</si>
  <si>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</si>
  <si>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</si>
  <si>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</si>
  <si>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</si>
  <si>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</si>
  <si>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</si>
  <si>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</si>
  <si>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</si>
  <si>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</si>
  <si>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</si>
  <si>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</si>
  <si>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</si>
  <si>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</si>
  <si>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</si>
  <si>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</si>
  <si>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</si>
  <si>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</si>
  <si>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</si>
  <si>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</si>
  <si>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</si>
  <si>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</si>
  <si>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</si>
  <si>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</si>
  <si>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</si>
  <si>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</si>
  <si>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</si>
  <si>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</si>
  <si>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</si>
  <si>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</si>
  <si>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</si>
  <si>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</si>
  <si>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</si>
  <si>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</si>
  <si>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</si>
  <si>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</si>
  <si>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</si>
  <si>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</si>
  <si>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</si>
  <si>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</si>
  <si>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</si>
  <si>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</si>
  <si>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</si>
  <si>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</si>
  <si>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</si>
  <si>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</si>
  <si>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</si>
  <si>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</si>
  <si>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</si>
  <si>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</si>
  <si>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</si>
  <si>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</si>
  <si>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</si>
  <si>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</si>
  <si>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</si>
  <si>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</si>
  <si>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</si>
  <si>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</si>
  <si>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</si>
  <si>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</si>
  <si>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</si>
  <si>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</si>
  <si>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</si>
  <si>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</si>
  <si>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</si>
  <si>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</si>
  <si>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</si>
  <si>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</si>
  <si>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</si>
  <si>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</si>
  <si>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</si>
  <si>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</si>
  <si>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</si>
  <si>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</si>
  <si>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</si>
  <si>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</si>
  <si>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</si>
  <si>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</si>
  <si>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</si>
  <si>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</si>
  <si>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</si>
  <si>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</si>
  <si>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</si>
  <si>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</si>
  <si>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</si>
  <si>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</si>
  <si>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</si>
  <si>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</si>
  <si>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</si>
  <si>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</si>
  <si>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</si>
  <si>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</si>
  <si>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</si>
  <si>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</si>
  <si>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</si>
  <si>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</si>
  <si>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</si>
  <si>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</si>
  <si>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</si>
  <si>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</si>
  <si>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</si>
  <si>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</si>
  <si>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</si>
  <si>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</si>
  <si>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</si>
  <si>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</si>
  <si>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</si>
  <si>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</si>
  <si>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</si>
  <si>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</si>
  <si>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</si>
  <si>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</si>
  <si>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</si>
  <si>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</si>
  <si>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</si>
  <si>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</si>
  <si>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</si>
  <si>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</si>
  <si>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</si>
  <si>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</si>
  <si>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</si>
  <si>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</si>
  <si>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</si>
  <si>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</si>
  <si>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</si>
  <si>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</si>
  <si>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</si>
  <si>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</si>
  <si>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</si>
  <si>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</si>
  <si>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</si>
  <si>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</si>
  <si>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</si>
  <si>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</si>
  <si>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</si>
  <si>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</si>
  <si>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</si>
  <si>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</si>
  <si>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</si>
  <si>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</si>
  <si>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</si>
  <si>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</si>
  <si>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</si>
  <si>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</si>
  <si>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</si>
  <si>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</si>
  <si>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</si>
  <si>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</si>
  <si>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</si>
  <si>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</si>
  <si>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</si>
  <si>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</si>
  <si>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</si>
  <si>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</si>
  <si>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</si>
  <si>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</si>
  <si>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</si>
  <si>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</si>
  <si>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</si>
  <si>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</si>
  <si>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</si>
  <si>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</si>
  <si>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</si>
  <si>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</si>
  <si>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</si>
  <si>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</si>
  <si>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</si>
  <si>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</si>
  <si>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</si>
  <si>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</si>
  <si>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</si>
  <si>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</si>
  <si>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</si>
  <si>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</si>
  <si>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</si>
  <si>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</si>
  <si>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</si>
  <si>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</si>
  <si>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</si>
  <si>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</si>
  <si>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</si>
  <si>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</si>
  <si>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</si>
  <si>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</si>
  <si>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</si>
  <si>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</si>
  <si>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</si>
  <si>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</si>
  <si>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</si>
  <si>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</si>
  <si>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</si>
  <si>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</si>
  <si>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</si>
  <si>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</si>
  <si>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</si>
  <si>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</si>
  <si>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</si>
  <si>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</si>
  <si>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</si>
  <si>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</si>
  <si>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</si>
  <si>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</si>
  <si>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</si>
  <si>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</si>
  <si>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</si>
  <si>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</si>
  <si>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</si>
  <si>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</si>
  <si>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</si>
  <si>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</si>
  <si>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</si>
  <si>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</si>
  <si>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</si>
  <si>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</si>
  <si>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</si>
  <si>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</si>
  <si>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</si>
  <si>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</si>
  <si>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</si>
  <si>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</si>
  <si>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</si>
  <si>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</si>
  <si>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</si>
  <si>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</si>
  <si>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</si>
  <si>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</si>
  <si>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</si>
  <si>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</si>
  <si>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</si>
  <si>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</si>
  <si>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</si>
  <si>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</si>
  <si>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</si>
  <si>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</si>
  <si>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</si>
  <si>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</si>
  <si>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</si>
  <si>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</si>
  <si>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</si>
  <si>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</si>
  <si>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</si>
  <si>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</si>
  <si>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</si>
  <si>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</si>
  <si>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</si>
  <si>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</si>
  <si>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</si>
  <si>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</si>
  <si>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</si>
  <si>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</si>
  <si>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</si>
  <si>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</si>
  <si>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</si>
  <si>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</si>
  <si>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</si>
  <si>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</si>
  <si>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</si>
  <si>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</si>
  <si>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</si>
  <si>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</si>
  <si>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</si>
  <si>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</si>
  <si>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</si>
  <si>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</si>
  <si>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</si>
  <si>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</si>
  <si>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</si>
  <si>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</si>
  <si>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</si>
  <si>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</si>
  <si>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</si>
  <si>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</si>
  <si>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</si>
  <si>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</si>
  <si>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</si>
  <si>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</si>
  <si>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</si>
  <si>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</si>
  <si>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</si>
  <si>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</si>
  <si>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</si>
  <si>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</si>
  <si>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</si>
  <si>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</si>
  <si>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</si>
  <si>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</si>
  <si>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</si>
  <si>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</si>
  <si>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</si>
  <si>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</si>
  <si>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</si>
  <si>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</si>
  <si>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</si>
  <si>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</si>
  <si>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</si>
  <si>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</si>
  <si>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</si>
  <si>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</si>
  <si>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</si>
  <si>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</si>
  <si>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</si>
  <si>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</si>
  <si>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</si>
  <si>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</si>
  <si>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</si>
  <si>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</si>
  <si>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</si>
  <si>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</si>
  <si>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</si>
  <si>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</si>
  <si>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</si>
  <si>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</si>
  <si>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</si>
  <si>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</si>
  <si>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</si>
  <si>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</si>
  <si>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</si>
  <si>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</si>
  <si>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</si>
  <si>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</si>
  <si>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</si>
  <si>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</si>
  <si>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</si>
  <si>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</si>
  <si>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</si>
  <si>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</si>
  <si>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</si>
  <si>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</si>
  <si>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</si>
  <si>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</si>
  <si>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</si>
  <si>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</si>
  <si>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</si>
  <si>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</si>
  <si>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</si>
  <si>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</si>
  <si>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</si>
  <si>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</si>
  <si>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</si>
  <si>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</si>
  <si>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</si>
  <si>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</si>
  <si>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</si>
  <si>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</si>
  <si>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</si>
  <si>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</si>
  <si>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</si>
  <si>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</si>
  <si>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</si>
  <si>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</si>
  <si>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</si>
  <si>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</si>
  <si>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</si>
  <si>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</si>
  <si>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</si>
  <si>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</si>
  <si>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</si>
  <si>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</si>
  <si>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</si>
  <si>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</si>
  <si>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</si>
  <si>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</si>
  <si>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</si>
  <si>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</si>
  <si>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</si>
  <si>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</si>
  <si>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</si>
  <si>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</si>
  <si>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</si>
  <si>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</si>
  <si>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</si>
  <si>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</si>
  <si>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</si>
  <si>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</si>
  <si>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</si>
  <si>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</si>
  <si>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</si>
  <si>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</si>
  <si>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</si>
  <si>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</si>
  <si>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</si>
  <si>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</si>
  <si>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</si>
  <si>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</si>
  <si>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</si>
  <si>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</si>
  <si>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</si>
  <si>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</si>
  <si>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</si>
  <si>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</si>
  <si>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</si>
  <si>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</si>
  <si>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</si>
  <si>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</si>
  <si>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</si>
  <si>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</si>
  <si>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</si>
  <si>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</si>
  <si>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</si>
  <si>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</si>
  <si>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</si>
  <si>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</si>
  <si>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</si>
  <si>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</si>
  <si>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</si>
  <si>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</si>
  <si>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</si>
  <si>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</si>
  <si>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</si>
  <si>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</si>
  <si>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</si>
  <si>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</si>
  <si>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</si>
  <si>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</si>
  <si>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</si>
  <si>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</si>
  <si>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</si>
  <si>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</si>
  <si>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</si>
  <si>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</si>
  <si>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</si>
  <si>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</si>
  <si>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</si>
  <si>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</si>
  <si>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</si>
  <si>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</si>
  <si>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</si>
  <si>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</si>
  <si>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</si>
  <si>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</si>
  <si>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</si>
  <si>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</si>
  <si>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</si>
  <si>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</si>
  <si>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</si>
  <si>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</si>
  <si>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</si>
  <si>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</si>
  <si>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</si>
  <si>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</si>
  <si>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</si>
  <si>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</si>
  <si>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</si>
  <si>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</si>
  <si>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</si>
  <si>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</si>
  <si>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</si>
  <si>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</si>
  <si>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</si>
  <si>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</si>
  <si>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</si>
  <si>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</si>
  <si>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</si>
  <si>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</si>
  <si>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</si>
  <si>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</si>
  <si>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</si>
  <si>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</si>
  <si>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</si>
  <si>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</si>
  <si>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</si>
  <si>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</si>
  <si>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</si>
  <si>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</si>
  <si>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</si>
  <si>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</si>
  <si>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</si>
  <si>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</si>
  <si>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</si>
  <si>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</si>
  <si>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</si>
  <si>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</si>
  <si>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</si>
  <si>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</si>
  <si>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</si>
  <si>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</si>
  <si>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</si>
  <si>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</si>
  <si>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</si>
  <si>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</si>
  <si>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</si>
  <si>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</si>
  <si>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</si>
  <si>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</si>
  <si>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</si>
  <si>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</si>
  <si>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</si>
  <si>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</si>
  <si>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</si>
  <si>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</si>
  <si>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</si>
  <si>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</si>
  <si>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</si>
  <si>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</si>
  <si>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</si>
  <si>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</si>
  <si>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</si>
  <si>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</si>
  <si>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</si>
  <si>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</si>
  <si>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</si>
  <si>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</si>
  <si>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</si>
  <si>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</si>
  <si>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</si>
  <si>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</si>
  <si>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</si>
  <si>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</si>
  <si>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</si>
  <si>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</si>
  <si>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</si>
  <si>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</si>
  <si>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</si>
  <si>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</si>
  <si>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</si>
  <si>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</si>
  <si>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</si>
  <si>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</si>
  <si>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</si>
  <si>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</si>
  <si>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</si>
  <si>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</si>
  <si>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</si>
  <si>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</si>
  <si>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</si>
  <si>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</si>
  <si>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</si>
  <si>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</si>
  <si>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</si>
  <si>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</si>
  <si>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</si>
  <si>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</si>
  <si>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</si>
  <si>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</si>
  <si>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</si>
  <si>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</si>
  <si>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</si>
  <si>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</si>
  <si>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</si>
  <si>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</si>
  <si>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</si>
  <si>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</si>
  <si>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</si>
  <si>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</si>
  <si>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</si>
  <si>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</si>
  <si>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</si>
  <si>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</si>
  <si>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</si>
  <si>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</si>
  <si>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</si>
  <si>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</si>
  <si>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</si>
  <si>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</si>
  <si>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</si>
  <si>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</si>
  <si>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</si>
  <si>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</si>
  <si>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</si>
  <si>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</si>
  <si>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</si>
  <si>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</si>
  <si>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</si>
  <si>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</si>
  <si>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</si>
  <si>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</si>
  <si>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</si>
  <si>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</si>
  <si>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</si>
  <si>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</si>
  <si>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</si>
  <si>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</si>
  <si>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</si>
  <si>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</si>
  <si>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</si>
  <si>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</si>
  <si>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</si>
  <si>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</si>
  <si>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</si>
  <si>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</si>
  <si>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</si>
  <si>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</si>
  <si>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</si>
  <si>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</si>
  <si>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</si>
  <si>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</si>
  <si>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</si>
  <si>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</si>
  <si>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</si>
  <si>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</si>
  <si>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</si>
  <si>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</si>
  <si>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</si>
  <si>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</si>
  <si>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</si>
  <si>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</si>
  <si>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</si>
  <si>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</si>
  <si>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</si>
  <si>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</si>
  <si>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</si>
  <si>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</si>
  <si>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</si>
  <si>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</si>
  <si>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</si>
  <si>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</si>
  <si>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</si>
  <si>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</si>
  <si>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</si>
  <si>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</si>
  <si>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</si>
  <si>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</si>
  <si>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</si>
  <si>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</si>
  <si>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</si>
  <si>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</si>
  <si>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</si>
  <si>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</si>
  <si>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</si>
  <si>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</si>
  <si>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</si>
  <si>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</si>
  <si>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</si>
  <si>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</si>
  <si>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</si>
  <si>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</si>
  <si>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</si>
  <si>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</si>
  <si>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</si>
  <si>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</si>
  <si>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</si>
  <si>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</si>
  <si>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</si>
  <si>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</si>
  <si>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</si>
  <si>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</si>
  <si>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</si>
  <si>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</si>
  <si>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</si>
  <si>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</si>
  <si>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</si>
  <si>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</si>
  <si>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</si>
  <si>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</si>
  <si>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</si>
  <si>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</si>
  <si>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</si>
  <si>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</si>
  <si>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</si>
  <si>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</si>
  <si>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</si>
  <si>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</si>
  <si>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</si>
  <si>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</si>
  <si>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</si>
  <si>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</si>
  <si>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</si>
  <si>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</si>
  <si>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</si>
  <si>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</si>
  <si>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</si>
  <si>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</si>
  <si>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</si>
  <si>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</si>
  <si>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</si>
  <si>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</si>
  <si>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</si>
  <si>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</si>
  <si>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</si>
  <si>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</si>
  <si>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</si>
  <si>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</si>
  <si>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</si>
  <si>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</si>
  <si>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</si>
  <si>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</si>
  <si>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</si>
  <si>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</si>
  <si>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</si>
  <si>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</si>
  <si>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</si>
  <si>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</si>
  <si>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</si>
  <si>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</si>
  <si>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</si>
  <si>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</si>
  <si>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</si>
  <si>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</si>
  <si>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</si>
  <si>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</si>
  <si>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</si>
  <si>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</si>
  <si>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</si>
  <si>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</si>
  <si>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</si>
  <si>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</si>
  <si>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</si>
  <si>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</si>
  <si>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</si>
  <si>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</si>
  <si>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</si>
  <si>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</si>
  <si>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</si>
  <si>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</si>
  <si>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</si>
  <si>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</si>
  <si>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</si>
  <si>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</si>
  <si>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</si>
  <si>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</si>
  <si>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</si>
  <si>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</si>
  <si>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</si>
  <si>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</si>
  <si>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</si>
  <si>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</si>
  <si>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</si>
  <si>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</si>
  <si>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</si>
  <si>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</si>
  <si>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</si>
  <si>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</si>
  <si>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</si>
  <si>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</si>
  <si>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</si>
  <si>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</si>
  <si>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</si>
  <si>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</si>
  <si>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</si>
  <si>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</si>
  <si>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</si>
  <si>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</si>
  <si>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</si>
  <si>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</si>
  <si>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</si>
  <si>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</si>
  <si>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</si>
  <si>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</si>
  <si>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</si>
  <si>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</si>
  <si>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</si>
  <si>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</si>
  <si>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</si>
  <si>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</si>
  <si>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</si>
  <si>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</si>
  <si>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</si>
  <si>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</si>
  <si>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</si>
  <si>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</si>
  <si>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</si>
  <si>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</si>
  <si>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</si>
  <si>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</si>
  <si>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</si>
  <si>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</si>
  <si>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</si>
  <si>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</si>
  <si>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</si>
  <si>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</si>
  <si>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</si>
  <si>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</si>
  <si>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</si>
  <si>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</si>
  <si>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</si>
  <si>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</si>
  <si>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</si>
  <si>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</si>
  <si>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</si>
  <si>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</si>
  <si>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</si>
  <si>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</si>
  <si>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</si>
  <si>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</si>
  <si>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</si>
  <si>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</si>
  <si>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</si>
  <si>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</si>
  <si>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</si>
  <si>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</si>
  <si>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</si>
  <si>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</si>
  <si>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</si>
  <si>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</si>
  <si>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</si>
  <si>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</si>
  <si>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</si>
  <si>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</si>
  <si>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</si>
  <si>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</si>
  <si>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</si>
  <si>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</si>
  <si>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</si>
  <si>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</si>
  <si>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</si>
  <si>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</si>
  <si>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</si>
  <si>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</si>
  <si>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</si>
  <si>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</si>
  <si>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</si>
  <si>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</si>
  <si>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</si>
  <si>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</si>
  <si>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</si>
  <si>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</si>
  <si>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</si>
  <si>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</si>
  <si>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</si>
  <si>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</si>
  <si>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</si>
  <si>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</si>
  <si>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</si>
  <si>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</si>
  <si>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</si>
  <si>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</si>
  <si>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</si>
  <si>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</si>
  <si>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</si>
  <si>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</si>
  <si>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</si>
  <si>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</si>
  <si>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</si>
  <si>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</si>
  <si>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</si>
  <si>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</si>
  <si>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</si>
  <si>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</si>
  <si>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</si>
  <si>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</si>
  <si>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</si>
  <si>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</si>
  <si>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</si>
  <si>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</si>
  <si>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</si>
  <si>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</si>
  <si>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</si>
  <si>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</si>
  <si>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</si>
  <si>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</si>
  <si>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</si>
  <si>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</si>
  <si>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</si>
  <si>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</si>
  <si>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</si>
  <si>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</si>
  <si>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</si>
  <si>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</si>
  <si>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</si>
  <si>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</si>
  <si>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</si>
  <si>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</si>
  <si>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</si>
  <si>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</si>
  <si>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</si>
  <si>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</si>
  <si>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</si>
  <si>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</si>
  <si>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</si>
  <si>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</si>
  <si>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</si>
  <si>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</si>
  <si>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</si>
  <si>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</si>
  <si>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</si>
  <si>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</si>
  <si>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</si>
  <si>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</si>
  <si>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</si>
  <si>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</si>
  <si>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</si>
  <si>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</si>
  <si>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</si>
  <si>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</si>
  <si>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</si>
  <si>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</si>
  <si>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</si>
  <si>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</si>
  <si>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</si>
  <si>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</si>
  <si>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</si>
  <si>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</si>
  <si>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</si>
  <si>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</si>
  <si>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</si>
  <si>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</si>
  <si>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</si>
  <si>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</si>
  <si>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</si>
  <si>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</si>
  <si>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</si>
  <si>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</si>
  <si>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</si>
  <si>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</si>
  <si>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</si>
  <si>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</si>
  <si>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</si>
  <si>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</si>
  <si>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</si>
  <si>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</si>
  <si>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</si>
  <si>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</si>
  <si>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</si>
  <si>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</si>
  <si>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</si>
  <si>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</si>
  <si>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</si>
  <si>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</si>
  <si>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</si>
  <si>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</si>
  <si>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</si>
  <si>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</si>
  <si>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</si>
  <si>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</si>
  <si>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</si>
  <si>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</si>
  <si>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</si>
  <si>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</si>
  <si>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</si>
  <si>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</si>
  <si>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</si>
  <si>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</si>
  <si>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</si>
  <si>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</si>
  <si>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</si>
  <si>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</si>
  <si>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</si>
  <si>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</si>
  <si>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</si>
  <si>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</si>
  <si>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</si>
  <si>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</si>
  <si>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</si>
  <si>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</si>
  <si>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</si>
  <si>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</si>
  <si>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</si>
  <si>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</si>
  <si>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</si>
  <si>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</si>
  <si>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</si>
  <si>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</si>
  <si>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</si>
  <si>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</si>
  <si>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</si>
  <si>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</si>
  <si>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</si>
  <si>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</si>
  <si>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</si>
  <si>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</si>
  <si>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</si>
  <si>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</si>
  <si>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</si>
  <si>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</si>
  <si>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</si>
  <si>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</si>
  <si>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</si>
  <si>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</si>
  <si>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</si>
  <si>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</si>
  <si>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</si>
  <si>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</si>
  <si>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</si>
  <si>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</si>
  <si>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</si>
  <si>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</si>
  <si>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</si>
  <si>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</si>
  <si>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</si>
  <si>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</si>
  <si>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</si>
  <si>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</si>
  <si>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</si>
  <si>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</si>
  <si>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</si>
  <si>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</si>
  <si>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</si>
  <si>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</si>
  <si>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</si>
  <si>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</si>
  <si>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</si>
  <si>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</si>
  <si>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</si>
  <si>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</si>
  <si>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</si>
  <si>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</si>
  <si>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</si>
  <si>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</si>
  <si>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</si>
  <si>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</si>
  <si>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</si>
  <si>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</si>
  <si>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</si>
  <si>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</si>
  <si>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</si>
  <si>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</si>
  <si>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</si>
  <si>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</si>
  <si>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</si>
  <si>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</si>
  <si>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</si>
  <si>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</si>
  <si>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</si>
  <si>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</si>
  <si>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</si>
  <si>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</si>
  <si>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</si>
  <si>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</si>
  <si>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</si>
  <si>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</si>
  <si>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</si>
  <si>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</si>
  <si>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</si>
  <si>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</si>
  <si>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</si>
  <si>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</si>
  <si>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</si>
  <si>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</si>
  <si>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</si>
  <si>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</si>
  <si>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</si>
  <si>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</si>
  <si>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</si>
  <si>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</si>
  <si>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</si>
  <si>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</si>
  <si>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</si>
  <si>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</si>
  <si>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</si>
  <si>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</si>
  <si>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</si>
  <si>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</si>
  <si>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</si>
  <si>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</si>
  <si>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</si>
  <si>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</si>
  <si>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</si>
  <si>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</si>
  <si>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</si>
  <si>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</si>
  <si>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</si>
  <si>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</si>
  <si>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</si>
  <si>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</si>
  <si>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</si>
  <si>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</si>
  <si>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</si>
  <si>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</si>
  <si>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</si>
  <si>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</si>
  <si>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</si>
  <si>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</si>
  <si>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</si>
  <si>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</si>
  <si>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</si>
  <si>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</si>
  <si>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</si>
  <si>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</si>
  <si>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</si>
  <si>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</si>
  <si>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</si>
  <si>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</si>
  <si>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</si>
  <si>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</si>
  <si>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</si>
  <si>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</si>
  <si>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</si>
  <si>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</si>
  <si>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</si>
  <si>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</si>
  <si>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</si>
  <si>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</si>
  <si>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</si>
  <si>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</si>
  <si>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</si>
  <si>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</si>
  <si>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</si>
  <si>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</si>
  <si>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</si>
  <si>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</si>
  <si>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</si>
  <si>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</si>
  <si>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</si>
  <si>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</si>
  <si>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</si>
  <si>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</si>
  <si>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</si>
  <si>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</si>
  <si>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</si>
  <si>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</si>
  <si>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</si>
  <si>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</si>
  <si>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</si>
  <si>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</si>
  <si>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</si>
  <si>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</si>
  <si>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</si>
  <si>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</si>
  <si>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</si>
  <si>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</si>
  <si>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</si>
  <si>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</si>
  <si>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</si>
  <si>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</si>
  <si>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</si>
  <si>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</si>
  <si>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</si>
  <si>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</si>
  <si>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</si>
  <si>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</si>
  <si>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</si>
  <si>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</si>
  <si>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</si>
  <si>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</si>
  <si>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</si>
  <si>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</si>
  <si>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</si>
  <si>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</si>
  <si>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</si>
  <si>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</si>
  <si>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</si>
  <si>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</si>
  <si>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</si>
  <si>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</si>
  <si>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</si>
  <si>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</si>
  <si>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</si>
  <si>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</si>
  <si>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</si>
  <si>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</si>
  <si>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</si>
  <si>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</si>
  <si>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</si>
  <si>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</si>
  <si>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</si>
  <si>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</si>
  <si>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</si>
  <si>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</si>
  <si>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</si>
  <si>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</si>
  <si>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</si>
  <si>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</si>
  <si>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</si>
  <si>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</si>
  <si>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</si>
  <si>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</si>
  <si>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</si>
  <si>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</si>
  <si>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</si>
  <si>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</si>
  <si>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</si>
  <si>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</si>
  <si>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</si>
  <si>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</si>
  <si>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</si>
  <si>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</si>
  <si>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</si>
  <si>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</si>
  <si>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</si>
  <si>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</si>
  <si>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</si>
  <si>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</si>
  <si>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</si>
  <si>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</si>
  <si>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</si>
  <si>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</si>
  <si>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</si>
  <si>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</si>
  <si>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</si>
  <si>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</si>
  <si>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</si>
  <si>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</si>
  <si>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</si>
  <si>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</si>
  <si>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</si>
  <si>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</si>
  <si>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</si>
  <si>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</si>
  <si>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</si>
  <si>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</si>
  <si>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</si>
  <si>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</si>
  <si>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</si>
  <si>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</si>
  <si>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</si>
  <si>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</si>
  <si>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</si>
  <si>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</si>
  <si>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</si>
  <si>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</si>
  <si>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</si>
  <si>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</si>
  <si>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</si>
  <si>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</si>
  <si>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</si>
  <si>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</si>
  <si>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</si>
  <si>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</si>
  <si>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</si>
  <si>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</si>
  <si>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</si>
  <si>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</si>
  <si>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</si>
  <si>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</si>
  <si>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</si>
  <si>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</si>
  <si>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</si>
  <si>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</si>
  <si>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</si>
  <si>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</si>
  <si>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</si>
  <si>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</si>
  <si>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</si>
  <si>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</si>
  <si>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</si>
  <si>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</si>
  <si>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</si>
  <si>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</si>
  <si>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</si>
  <si>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</si>
  <si>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</si>
  <si>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</si>
  <si>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</si>
  <si>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</si>
  <si>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</si>
  <si>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</si>
  <si>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</si>
  <si>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</si>
  <si>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</si>
  <si>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</si>
  <si>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</si>
  <si>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</si>
  <si>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</si>
  <si>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</si>
  <si>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</si>
  <si>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</si>
  <si>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</si>
  <si>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</si>
  <si>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</si>
  <si>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</si>
  <si>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</si>
  <si>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</si>
  <si>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</si>
  <si>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</si>
  <si>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</si>
  <si>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</si>
  <si>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</si>
  <si>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</si>
  <si>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</si>
  <si>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</si>
  <si>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</si>
  <si>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</si>
  <si>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</si>
  <si>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</si>
  <si>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</si>
  <si>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</si>
  <si>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</si>
  <si>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</si>
  <si>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</si>
  <si>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</si>
  <si>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</si>
  <si>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</si>
  <si>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</si>
  <si>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</si>
  <si>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</si>
  <si>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</si>
  <si>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</si>
  <si>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</si>
  <si>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</si>
  <si>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</si>
  <si>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</si>
  <si>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</si>
  <si>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</si>
  <si>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</si>
  <si>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</si>
  <si>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</si>
  <si>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</si>
  <si>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</si>
  <si>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</si>
  <si>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</si>
  <si>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</si>
  <si>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</si>
  <si>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</si>
  <si>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</si>
  <si>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</si>
  <si>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</si>
  <si>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</si>
  <si>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</si>
  <si>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</si>
  <si>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</si>
  <si>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</si>
  <si>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</si>
  <si>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</si>
  <si>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</si>
  <si>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</si>
  <si>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</si>
  <si>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</si>
  <si>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</si>
  <si>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</si>
  <si>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</si>
  <si>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</si>
  <si>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</si>
  <si>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</si>
  <si>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</si>
  <si>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</si>
  <si>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</si>
  <si>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</si>
  <si>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</si>
  <si>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</si>
  <si>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</si>
  <si>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</si>
  <si>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</si>
  <si>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</si>
  <si>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</si>
  <si>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</si>
  <si>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</si>
  <si>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</si>
  <si>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</si>
  <si>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</si>
  <si>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</si>
  <si>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</si>
  <si>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</si>
  <si>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</si>
  <si>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</si>
  <si>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</si>
  <si>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</si>
  <si>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</si>
  <si>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</si>
  <si>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</si>
  <si>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</si>
  <si>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</si>
  <si>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</si>
  <si>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</si>
  <si>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</si>
  <si>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</si>
  <si>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</si>
  <si>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</si>
  <si>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</si>
  <si>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</si>
  <si>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</si>
  <si>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</si>
  <si>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</si>
  <si>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</si>
  <si>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</si>
  <si>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</si>
  <si>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</si>
  <si>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</si>
  <si>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</si>
  <si>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</si>
  <si>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</si>
  <si>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</si>
  <si>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</si>
  <si>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</si>
  <si>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</si>
  <si>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</si>
  <si>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</si>
  <si>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</si>
  <si>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</si>
  <si>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</si>
  <si>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</si>
  <si>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</si>
  <si>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</si>
  <si>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</si>
  <si>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</si>
  <si>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</si>
  <si>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</si>
  <si>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</si>
  <si>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</si>
  <si>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</si>
  <si>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</si>
  <si>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</si>
  <si>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</si>
  <si>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</si>
  <si>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</si>
  <si>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</si>
  <si>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</si>
  <si>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</si>
  <si>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</si>
  <si>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</si>
  <si>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</si>
  <si>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</si>
  <si>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</si>
  <si>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</si>
  <si>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</si>
  <si>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</si>
  <si>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</si>
  <si>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</si>
  <si>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</si>
  <si>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</si>
  <si>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</si>
  <si>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</si>
  <si>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</si>
  <si>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</si>
  <si>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</si>
  <si>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</si>
  <si>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</si>
  <si>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</si>
  <si>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</si>
  <si>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</si>
  <si>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</si>
  <si>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</si>
  <si>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</si>
  <si>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</si>
  <si>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</si>
  <si>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</si>
  <si>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</si>
  <si>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</si>
  <si>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</si>
  <si>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</si>
  <si>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</si>
  <si>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</si>
  <si>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</si>
  <si>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</si>
  <si>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</si>
  <si>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</si>
  <si>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</si>
  <si>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</si>
  <si>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</si>
  <si>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</si>
  <si>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</si>
  <si>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</si>
  <si>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</si>
  <si>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</si>
  <si>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</si>
  <si>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</si>
  <si>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</si>
  <si>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</si>
  <si>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</si>
  <si>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</si>
  <si>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</si>
  <si>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</si>
  <si>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</si>
  <si>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</si>
  <si>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</si>
  <si>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</si>
  <si>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</si>
  <si>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</si>
  <si>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</si>
  <si>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</si>
  <si>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</si>
  <si>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</si>
  <si>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</si>
  <si>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</si>
  <si>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</si>
  <si>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</si>
  <si>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</si>
  <si>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</si>
  <si>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</si>
  <si>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</si>
  <si>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</si>
  <si>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</si>
  <si>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</si>
  <si>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</si>
  <si>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</si>
  <si>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</si>
  <si>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</si>
  <si>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</si>
  <si>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</si>
  <si>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</si>
  <si>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</si>
  <si>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</si>
  <si>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</si>
  <si>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</si>
  <si>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</si>
  <si>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</si>
  <si>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</si>
  <si>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</si>
  <si>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</si>
  <si>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</si>
  <si>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</si>
  <si>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</si>
  <si>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</si>
  <si>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</si>
  <si>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</si>
  <si>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</si>
  <si>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</si>
  <si>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</si>
  <si>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</si>
  <si>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</si>
  <si>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</si>
  <si>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</si>
  <si>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</si>
  <si>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</si>
  <si>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</si>
  <si>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</si>
  <si>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</si>
  <si>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</si>
  <si>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</si>
  <si>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</si>
  <si>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</si>
  <si>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</si>
  <si>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</si>
  <si>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</si>
  <si>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</si>
  <si>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</si>
  <si>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</si>
  <si>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</si>
  <si>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</si>
  <si>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</si>
  <si>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</si>
  <si>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</si>
  <si>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</si>
  <si>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</si>
  <si>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</si>
  <si>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</si>
  <si>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</si>
  <si>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</si>
  <si>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</si>
  <si>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</si>
  <si>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</si>
  <si>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</si>
  <si>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</si>
  <si>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</si>
  <si>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</si>
  <si>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</si>
  <si>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</si>
  <si>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</si>
  <si>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</si>
  <si>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</si>
  <si>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</si>
  <si>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</si>
  <si>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</si>
  <si>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</si>
  <si>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</si>
  <si>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</si>
  <si>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</si>
  <si>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</si>
  <si>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</si>
  <si>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</si>
  <si>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</si>
  <si>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</si>
  <si>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</si>
  <si>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</si>
  <si>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</si>
  <si>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</si>
  <si>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</si>
  <si>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</si>
  <si>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</si>
  <si>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</si>
  <si>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</si>
  <si>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</si>
  <si>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</si>
  <si>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</si>
  <si>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</si>
  <si>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</si>
  <si>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</si>
  <si>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</si>
  <si>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</si>
  <si>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</si>
  <si>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</si>
  <si>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</si>
  <si>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</si>
  <si>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</si>
  <si>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</si>
  <si>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</si>
  <si>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</si>
  <si>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</si>
  <si>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</si>
  <si>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</si>
  <si>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</si>
  <si>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</si>
  <si>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</si>
  <si>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</si>
  <si>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</si>
  <si>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</si>
  <si>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</si>
  <si>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</si>
  <si>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</si>
  <si>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</si>
  <si>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</si>
  <si>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</si>
  <si>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</si>
  <si>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</si>
  <si>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</si>
  <si>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</si>
  <si>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</si>
  <si>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</si>
  <si>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</si>
  <si>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</si>
  <si>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</si>
  <si>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</si>
  <si>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</si>
  <si>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</si>
  <si>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</si>
  <si>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</si>
  <si>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</si>
  <si>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</si>
  <si>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</si>
  <si>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</si>
  <si>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</si>
  <si>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</si>
  <si>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</si>
  <si>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</si>
  <si>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</si>
  <si>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</si>
  <si>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</si>
  <si>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</si>
  <si>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</si>
  <si>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</si>
  <si>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</si>
  <si>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</si>
  <si>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</si>
  <si>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</si>
  <si>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</si>
  <si>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</si>
  <si>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</si>
  <si>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</si>
  <si>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</si>
  <si>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</si>
  <si>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</si>
  <si>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</si>
  <si>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</si>
  <si>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</si>
  <si>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</si>
  <si>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</si>
  <si>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</si>
  <si>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</si>
  <si>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</si>
  <si>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</si>
  <si>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</si>
  <si>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</si>
  <si>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</si>
  <si>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</si>
  <si>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</si>
  <si>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</si>
  <si>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</si>
  <si>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</si>
  <si>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</si>
  <si>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</si>
  <si>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</si>
  <si>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</si>
  <si>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</si>
  <si>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</si>
  <si>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</si>
  <si>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</si>
  <si>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</si>
  <si>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</si>
  <si>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</si>
  <si>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</si>
  <si>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</si>
  <si>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</si>
  <si>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</si>
  <si>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</si>
  <si>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</si>
  <si>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</si>
  <si>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</si>
  <si>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</si>
  <si>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</si>
  <si>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</si>
  <si>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</si>
  <si>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</si>
  <si>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</si>
  <si>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</si>
  <si>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</si>
  <si>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</si>
  <si>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</si>
  <si>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</si>
  <si>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</si>
  <si>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</si>
  <si>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</si>
  <si>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</si>
  <si>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</si>
  <si>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</si>
  <si>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</si>
  <si>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</si>
  <si>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</si>
  <si>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</si>
  <si>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</si>
  <si>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</si>
  <si>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</si>
  <si>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</si>
  <si>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</si>
  <si>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</si>
  <si>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</si>
  <si>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</si>
  <si>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</si>
  <si>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</si>
  <si>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</si>
  <si>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</si>
  <si>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</si>
  <si>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</si>
  <si>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</si>
  <si>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</si>
  <si>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</si>
  <si>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</si>
  <si>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</si>
  <si>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</si>
  <si>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</si>
  <si>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</si>
  <si>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</si>
  <si>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</si>
  <si>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</si>
  <si>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</si>
  <si>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</si>
  <si>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</si>
  <si>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</si>
  <si>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</si>
  <si>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</si>
  <si>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</si>
  <si>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</si>
  <si>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</si>
  <si>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</si>
  <si>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</si>
  <si>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</si>
  <si>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</si>
  <si>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</si>
  <si>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</si>
  <si>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</si>
  <si>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</si>
  <si>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</si>
  <si>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</si>
  <si>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</si>
  <si>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</si>
  <si>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</si>
  <si>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</si>
  <si>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</si>
  <si>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</si>
  <si>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</si>
  <si>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</si>
  <si>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</si>
  <si>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</si>
  <si>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</si>
  <si>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</si>
  <si>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</si>
  <si>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</si>
  <si>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</si>
  <si>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</si>
  <si>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</si>
  <si>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</si>
  <si>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</si>
  <si>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</si>
  <si>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</si>
  <si>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</si>
  <si>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</si>
  <si>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</si>
  <si>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</si>
  <si>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</si>
  <si>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</si>
  <si>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</si>
  <si>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</si>
  <si>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</si>
  <si>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</si>
  <si>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</si>
  <si>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</si>
  <si>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</si>
  <si>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</si>
  <si>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</si>
  <si>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</si>
  <si>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</si>
  <si>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</si>
  <si>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</si>
  <si>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</si>
  <si>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</si>
  <si>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</si>
  <si>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</si>
  <si>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</si>
  <si>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</si>
  <si>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</si>
  <si>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</si>
  <si>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</si>
  <si>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</si>
  <si>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</si>
  <si>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</si>
  <si>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</si>
  <si>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</si>
  <si>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</si>
  <si>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</si>
  <si>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</si>
  <si>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</si>
  <si>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</si>
  <si>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</si>
  <si>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</si>
  <si>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</si>
  <si>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</si>
  <si>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</si>
  <si>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</si>
  <si>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</si>
  <si>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</si>
  <si>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</si>
  <si>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</si>
  <si>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</si>
  <si>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</si>
  <si>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</si>
  <si>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</si>
  <si>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</si>
  <si>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</si>
  <si>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</si>
  <si>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</si>
  <si>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</si>
  <si>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</si>
  <si>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</si>
  <si>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</si>
  <si>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</si>
  <si>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</si>
  <si>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</si>
  <si>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</si>
  <si>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</si>
  <si>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</si>
  <si>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</si>
  <si>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</si>
  <si>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</si>
  <si>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</si>
  <si>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</si>
  <si>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</si>
  <si>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</si>
  <si>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</si>
  <si>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</si>
  <si>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</si>
  <si>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</si>
  <si>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</si>
  <si>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</si>
  <si>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</si>
  <si>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</si>
  <si>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</si>
  <si>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</si>
  <si>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</si>
  <si>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</si>
  <si>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</si>
  <si>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</si>
  <si>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</si>
  <si>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</si>
  <si>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</si>
  <si>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</si>
  <si>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</si>
  <si>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</si>
  <si>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</si>
  <si>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</si>
  <si>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</si>
  <si>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</si>
  <si>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</si>
  <si>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</si>
  <si>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</si>
  <si>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</si>
  <si>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</si>
  <si>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</si>
  <si>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</si>
  <si>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</si>
  <si>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</si>
  <si>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</si>
  <si>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</si>
  <si>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</si>
  <si>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</si>
  <si>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</si>
  <si>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</si>
  <si>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</si>
  <si>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</si>
  <si>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</si>
  <si>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</si>
  <si>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</si>
  <si>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</si>
  <si>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</si>
  <si>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</si>
  <si>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</si>
  <si>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</si>
  <si>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</si>
  <si>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</si>
  <si>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</si>
  <si>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</si>
  <si>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</si>
  <si>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</si>
  <si>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</si>
  <si>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</si>
  <si>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</si>
  <si>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</si>
  <si>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</si>
  <si>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</si>
  <si>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</si>
  <si>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</si>
  <si>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</si>
  <si>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</si>
  <si>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</si>
  <si>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</si>
  <si>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</si>
  <si>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</si>
  <si>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</si>
  <si>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</si>
  <si>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</si>
  <si>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</si>
  <si>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</si>
  <si>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</si>
  <si>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</si>
  <si>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</si>
  <si>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</si>
  <si>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</si>
  <si>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</si>
  <si>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</si>
  <si>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</si>
  <si>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</si>
  <si>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</si>
  <si>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</si>
  <si>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</si>
  <si>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</si>
  <si>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</si>
  <si>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</si>
  <si>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</si>
  <si>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</si>
  <si>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</si>
  <si>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</si>
  <si>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</si>
  <si>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</si>
  <si>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</si>
  <si>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</si>
  <si>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</si>
  <si>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</si>
  <si>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</si>
  <si>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</si>
  <si>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Deat Road to Canada</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</si>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</sst>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0</c:v>
                </c:pt>
                <c:pt idx="9">
                  <c:v>36</c:v>
                </c:pt>
                <c:pt idx="10">
                  <c:v>0</c:v>
                </c:pt>
                <c:pt idx="11">
                  <c:v>0</c:v>
                </c:pt>
                <c:pt idx="12">
                  <c:v>15</c:v>
                </c:pt>
                <c:pt idx="13">
                  <c:v>2</c:v>
                </c:pt>
                <c:pt idx="14">
                  <c:v>2</c:v>
                </c:pt>
                <c:pt idx="15">
                  <c:v>26</c:v>
                </c:pt>
                <c:pt idx="16">
                  <c:v>22</c:v>
                </c:pt>
                <c:pt idx="17">
                  <c:v>14</c:v>
                </c:pt>
                <c:pt idx="18">
                  <c:v>24</c:v>
                </c:pt>
                <c:pt idx="19">
                  <c:v>4</c:v>
                </c:pt>
                <c:pt idx="20">
                  <c:v>12</c:v>
                </c:pt>
                <c:pt idx="21">
                  <c:v>2</c:v>
                </c:pt>
                <c:pt idx="22">
                  <c:v>4</c:v>
                </c:pt>
                <c:pt idx="23">
                  <c:v>2</c:v>
                </c:pt>
                <c:pt idx="24">
                  <c:v>12</c:v>
                </c:pt>
                <c:pt idx="25">
                  <c:v>5</c:v>
                </c:pt>
                <c:pt idx="26">
                  <c:v>0</c:v>
                </c:pt>
                <c:pt idx="27">
                  <c:v>8</c:v>
                </c:pt>
                <c:pt idx="28">
                  <c:v>22</c:v>
                </c:pt>
                <c:pt idx="29">
                  <c:v>4</c:v>
                </c:pt>
                <c:pt idx="30">
                  <c:v>45</c:v>
                </c:pt>
                <c:pt idx="31">
                  <c:v>9</c:v>
                </c:pt>
                <c:pt idx="32">
                  <c:v>20</c:v>
                </c:pt>
                <c:pt idx="33">
                  <c:v>82</c:v>
                </c:pt>
                <c:pt idx="34">
                  <c:v>45</c:v>
                </c:pt>
                <c:pt idx="35">
                  <c:v>37</c:v>
                </c:pt>
                <c:pt idx="36">
                  <c:v>17</c:v>
                </c:pt>
                <c:pt idx="37">
                  <c:v>78</c:v>
                </c:pt>
                <c:pt idx="38">
                  <c:v>36</c:v>
                </c:pt>
                <c:pt idx="39">
                  <c:v>167</c:v>
                </c:pt>
                <c:pt idx="40">
                  <c:v>77</c:v>
                </c:pt>
                <c:pt idx="41">
                  <c:v>97</c:v>
                </c:pt>
                <c:pt idx="42">
                  <c:v>63</c:v>
                </c:pt>
                <c:pt idx="43">
                  <c:v>176</c:v>
                </c:pt>
                <c:pt idx="44">
                  <c:v>67</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66</c:v>
                </c:pt>
                <c:pt idx="1">
                  <c:v>333</c:v>
                </c:pt>
                <c:pt idx="2">
                  <c:v>213</c:v>
                </c:pt>
                <c:pt idx="3">
                  <c:v>122</c:v>
                </c:pt>
                <c:pt idx="4">
                  <c:v>59</c:v>
                </c:pt>
                <c:pt idx="5">
                  <c:v>32</c:v>
                </c:pt>
                <c:pt idx="6">
                  <c:v>33</c:v>
                </c:pt>
                <c:pt idx="7">
                  <c:v>20</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40</c:v>
                </c:pt>
                <c:pt idx="1">
                  <c:v>200</c:v>
                </c:pt>
                <c:pt idx="2">
                  <c:v>120</c:v>
                </c:pt>
                <c:pt idx="3">
                  <c:v>87</c:v>
                </c:pt>
                <c:pt idx="4">
                  <c:v>34</c:v>
                </c:pt>
                <c:pt idx="5">
                  <c:v>20</c:v>
                </c:pt>
                <c:pt idx="6">
                  <c:v>25</c:v>
                </c:pt>
                <c:pt idx="7">
                  <c:v>20</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Torneko's Great Adventure: Mystery Dungeon</c:v>
                </c:pt>
                <c:pt idx="12">
                  <c:v>Rogue</c:v>
                </c:pt>
                <c:pt idx="13">
                  <c:v>Diablo</c:v>
                </c:pt>
                <c:pt idx="14">
                  <c:v>Darkest Dungeon</c:v>
                </c:pt>
              </c:strCache>
            </c:strRef>
          </c:cat>
          <c:val>
            <c:numRef>
              <c:f>'Map Analysis'!$P$5:$P$19</c:f>
              <c:numCache>
                <c:formatCode>General</c:formatCode>
                <c:ptCount val="15"/>
                <c:pt idx="0">
                  <c:v>156</c:v>
                </c:pt>
                <c:pt idx="1">
                  <c:v>95</c:v>
                </c:pt>
                <c:pt idx="2">
                  <c:v>77</c:v>
                </c:pt>
                <c:pt idx="3">
                  <c:v>62</c:v>
                </c:pt>
                <c:pt idx="4">
                  <c:v>59</c:v>
                </c:pt>
                <c:pt idx="5">
                  <c:v>43</c:v>
                </c:pt>
                <c:pt idx="6">
                  <c:v>42</c:v>
                </c:pt>
                <c:pt idx="7">
                  <c:v>35</c:v>
                </c:pt>
                <c:pt idx="8">
                  <c:v>33</c:v>
                </c:pt>
                <c:pt idx="9">
                  <c:v>31</c:v>
                </c:pt>
                <c:pt idx="10">
                  <c:v>30</c:v>
                </c:pt>
                <c:pt idx="11">
                  <c:v>27</c:v>
                </c:pt>
                <c:pt idx="12">
                  <c:v>27</c:v>
                </c:pt>
                <c:pt idx="13">
                  <c:v>27</c:v>
                </c:pt>
                <c:pt idx="14">
                  <c:v>27</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Torneko's Great Adventure: Mystery Dungeon</c:v>
                </c:pt>
                <c:pt idx="12">
                  <c:v>Rogue</c:v>
                </c:pt>
                <c:pt idx="13">
                  <c:v>Diablo</c:v>
                </c:pt>
                <c:pt idx="14">
                  <c:v>Darkest Dungeon</c:v>
                </c:pt>
              </c:strCache>
            </c:strRef>
          </c:cat>
          <c:val>
            <c:numRef>
              <c:f>'Map Analysis'!$T$5:$T$19</c:f>
              <c:numCache>
                <c:formatCode>General</c:formatCode>
                <c:ptCount val="15"/>
                <c:pt idx="0">
                  <c:v>156</c:v>
                </c:pt>
                <c:pt idx="1">
                  <c:v>95</c:v>
                </c:pt>
                <c:pt idx="2">
                  <c:v>77</c:v>
                </c:pt>
                <c:pt idx="3">
                  <c:v>62</c:v>
                </c:pt>
                <c:pt idx="4">
                  <c:v>59</c:v>
                </c:pt>
                <c:pt idx="5">
                  <c:v>43</c:v>
                </c:pt>
                <c:pt idx="6">
                  <c:v>42</c:v>
                </c:pt>
                <c:pt idx="7">
                  <c:v>35</c:v>
                </c:pt>
                <c:pt idx="8">
                  <c:v>33</c:v>
                </c:pt>
                <c:pt idx="9">
                  <c:v>31</c:v>
                </c:pt>
                <c:pt idx="10">
                  <c:v>30</c:v>
                </c:pt>
                <c:pt idx="11">
                  <c:v>27</c:v>
                </c:pt>
                <c:pt idx="12">
                  <c:v>27</c:v>
                </c:pt>
                <c:pt idx="13">
                  <c:v>27</c:v>
                </c:pt>
                <c:pt idx="14">
                  <c:v>27</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100</c:v>
                </c:pt>
                <c:pt idx="2">
                  <c:v>177</c:v>
                </c:pt>
                <c:pt idx="3">
                  <c:v>170</c:v>
                </c:pt>
                <c:pt idx="4">
                  <c:v>154</c:v>
                </c:pt>
                <c:pt idx="5">
                  <c:v>140</c:v>
                </c:pt>
                <c:pt idx="6">
                  <c:v>109</c:v>
                </c:pt>
                <c:pt idx="7">
                  <c:v>95</c:v>
                </c:pt>
                <c:pt idx="8">
                  <c:v>77</c:v>
                </c:pt>
                <c:pt idx="9">
                  <c:v>70</c:v>
                </c:pt>
                <c:pt idx="10">
                  <c:v>34</c:v>
                </c:pt>
                <c:pt idx="11">
                  <c:v>157</c:v>
                </c:pt>
                <c:pt idx="12">
                  <c:v>101</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425" totalsRowShown="0">
  <autoFilter ref="A1:E142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769" Type="http://schemas.openxmlformats.org/officeDocument/2006/relationships/hyperlink" Target="https://toogytime.wordpress.com/2014/12/16/toogy-talk-crawl-an-interview-with-barney-cumming-of-powerhoof/"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bbs.ruliweb.com/news/read/152932"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ZM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847" Type="http://schemas.openxmlformats.org/officeDocument/2006/relationships/hyperlink" Target="https://www.gamegrin.com/articles/developer-interview-neon-abyss-2-veewo-games/"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www.ign.com/articles/city-of-balls-was-the-original-title-and-somehow-ball-x-pit-got-even-weirder-from-there"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858" Type="http://schemas.openxmlformats.org/officeDocument/2006/relationships/hyperlink" Target="https://www.engadget.com/2013-08-15-wasteland-kings-is-vlambeers-next-big-little-game.html"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771" Type="http://schemas.openxmlformats.org/officeDocument/2006/relationships/hyperlink" Target="https://www.pentadact.com/2015-09-25-natural-numbers-in-game-design/" TargetMode="External"/><Relationship Id="rId869" Type="http://schemas.openxmlformats.org/officeDocument/2006/relationships/hyperlink" Target="https://www.gamedeveloper.com/game-platforms/playing-catch-up-i-castle-of-the-winds-i-rick-saada"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www.theastronauts.com/2022/10/redesigning-one-witchfire-featur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93" Type="http://schemas.openxmlformats.org/officeDocument/2006/relationships/hyperlink" Target="https://steamcommunity.com/games/1123770/announcements/detail/1697231221626410268" TargetMode="External"/><Relationship Id="rId807" Type="http://schemas.openxmlformats.org/officeDocument/2006/relationships/hyperlink" Target="https://steamcommunity.com/games/262790/announcements/detail/1694779751808309596"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60" Type="http://schemas.openxmlformats.org/officeDocument/2006/relationships/hyperlink" Target="https://web.archive.org/web/20250319160658/https:/www.whatsitlike.com.au/interview-with-tiago-zaidan-vampire-hun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pokecommunity.com/threads/pok%C3%A9mon-survivor-burst-multi-languages.543514/"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871" Type="http://schemas.openxmlformats.org/officeDocument/2006/relationships/hyperlink" Target="https://newsletter.gamediscover.co/p/how-sulfur-sold-50k-real-fast-and"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x.com/CodeRed_dev/status/1925987988565074114?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829" Type="http://schemas.openxmlformats.org/officeDocument/2006/relationships/hyperlink" Target="https://steamcommunity.com/games/2088570/announcements/detail/6770639657665738311"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DestroyMyGame/comments/119wet3/looking_for_feedback_on_this_vs_inspired/"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tes/comments/1t6eumj/we_spent_2_years_making_a_coop_action_roguelit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store.epicgames.com/news/pengpong-s-hockey-pinball-chaos-was-the-result-of-a-game-jam?lang=vi"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store.steampowered.com/app/2796640/The_Magus_Circle/"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x.com/Mickanio/status/1555411757409001472"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www.inven.co.kr/webzine/news/?news=194987"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831" Type="http://schemas.openxmlformats.org/officeDocument/2006/relationships/hyperlink" Target="https://steamcommunity.com/app/3228590/discussions/0/591779267908673222/"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842" Type="http://schemas.openxmlformats.org/officeDocument/2006/relationships/hyperlink" Target="https://www.gamedeveloper.com/design/road-to-the-igf-spry-fox-s-and-wild-shadow-studios-i-realm-of-the-mad-god-i-"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853" Type="http://schemas.openxmlformats.org/officeDocument/2006/relationships/hyperlink" Target="https://itch.io/t/9805/immortal-redneck-the-definitive-redneck-fps-roguelite"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eamcommunity.com/games/2342950/announcements/detail/3801662447199262264"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864" Type="http://schemas.openxmlformats.org/officeDocument/2006/relationships/hyperlink" Target="https://spacemyfriend.itch.io/cavity-busters"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scousegamer88.com/2021/03/31/astral-ascent-hibernian-workshop-interview/" TargetMode="External"/><Relationship Id="rId802" Type="http://schemas.openxmlformats.org/officeDocument/2006/relationships/hyperlink" Target="https://steamcommunity.com/games/2068280/announcements/detail/5301322539098227375"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813" Type="http://schemas.openxmlformats.org/officeDocument/2006/relationships/hyperlink" Target="https://steamcommunity.com/games/2067920/announcements/detail/3908626109457877555"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824" Type="http://schemas.openxmlformats.org/officeDocument/2006/relationships/hyperlink" Target="https://store.steampowered.com/app/2060750/Star_Survivor/"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68" Type="http://schemas.openxmlformats.org/officeDocument/2006/relationships/hyperlink" Target="https://cheerfulghost.com/jdodson/posts/1590/interview-with-death-road-to-canada-s-kepa-auwae"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835" Type="http://schemas.openxmlformats.org/officeDocument/2006/relationships/hyperlink" Target="https://www.gamespark.jp/article/2025/12/23/160936.html"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basin.com/index.php/PernAngband" TargetMode="External"/><Relationship Id="rId779" Type="http://schemas.openxmlformats.org/officeDocument/2006/relationships/hyperlink" Target="https://www.gamesradar.com/modern-roguelikes-are-in-great-shape-but-where-does-the-genre-go-next/"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846" Type="http://schemas.openxmlformats.org/officeDocument/2006/relationships/hyperlink" Target="https://www.theyoungfolks.com/video-games/154551/interview-joris-dormans-details-the-gameplay-and-story-of-unexplored-2/"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x.com/Handmancers/status/2038942935211798568?s=20"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552" Type="http://schemas.openxmlformats.org/officeDocument/2006/relationships/hyperlink" Target="https://youtu.be/cX-tottt9i0"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www.akuparagames.com/2026/06/09/meeting-mankibo-the-team-behind-montabi/" TargetMode="External"/><Relationship Id="rId857" Type="http://schemas.openxmlformats.org/officeDocument/2006/relationships/hyperlink" Target="https://www.engadget.com/2013-08-15-wasteland-kings-is-vlambeers-next-big-little-game.html"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youtu.be/VGMszILvj78" TargetMode="External"/><Relationship Id="rId717" Type="http://schemas.openxmlformats.org/officeDocument/2006/relationships/hyperlink" Target="https://youtu.be/pkhzUQ39ts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www.zincland.com/powder/?pagename=about" TargetMode="External"/><Relationship Id="rId563" Type="http://schemas.openxmlformats.org/officeDocument/2006/relationships/hyperlink" Target="https://dumbandfat.com/coincrypt/" TargetMode="External"/><Relationship Id="rId770" Type="http://schemas.openxmlformats.org/officeDocument/2006/relationships/hyperlink" Target="https://toogytime.wordpress.com/2014/12/16/toogy-talk-crawl-an-interview-with-barney-cumming-of-powerhoof/"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868" Type="http://schemas.openxmlformats.org/officeDocument/2006/relationships/hyperlink" Target="https://www.gamedeveloper.com/game-platforms/playing-catch-up-i-castle-of-the-winds-i-rick-saada" TargetMode="External"/><Relationship Id="rId630" Type="http://schemas.openxmlformats.org/officeDocument/2006/relationships/hyperlink" Target="https://podcasts.apple.com/us/podcast/slay-the-spire-with-anthony-giovannetti/id1435365252?i=1000447140877" TargetMode="External"/><Relationship Id="rId728" Type="http://schemas.openxmlformats.org/officeDocument/2006/relationships/hyperlink" Target="https://80.lv/articles/making-hack-and-slash-action-rpg-voin-as-solo-developer"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ragonslayer" TargetMode="External"/><Relationship Id="rId574" Type="http://schemas.openxmlformats.org/officeDocument/2006/relationships/hyperlink" Target="https://en.wikipedia.org/wiki/Rogue_Legacy"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434" Type="http://schemas.openxmlformats.org/officeDocument/2006/relationships/hyperlink" Target="https://rogueliker.com/vellum-inspirations/" TargetMode="External"/><Relationship Id="rId641" Type="http://schemas.openxmlformats.org/officeDocument/2006/relationships/hyperlink" Target="https://roguebasin.com/index.php/ZMAngband" TargetMode="External"/><Relationship Id="rId739" Type="http://schemas.openxmlformats.org/officeDocument/2006/relationships/hyperlink" Target="https://x.com/NaiiveStudio/status/1986888642565193932?s=20"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www.gamespress.com/Die-For-The-Lich-is-coming-to-Early-Access-on-November-10th-202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youtube.com/watch?v=xsmbVWflwpw" TargetMode="External"/><Relationship Id="rId585" Type="http://schemas.openxmlformats.org/officeDocument/2006/relationships/hyperlink" Target="https://www.reddit.com/r/IndieGaming/comments/1iooyqr/roguelike_autobattler_cute_creatures_what_do_you/" TargetMode="External"/><Relationship Id="rId792" Type="http://schemas.openxmlformats.org/officeDocument/2006/relationships/hyperlink" Target="https://steamcommunity.com/games/1619520/announcements/detail/3692434297316940519" TargetMode="External"/><Relationship Id="rId806" Type="http://schemas.openxmlformats.org/officeDocument/2006/relationships/hyperlink" Target="https://steamcommunity.com/games/2105840/announcements/detail/52648874295689395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512" Type="http://schemas.openxmlformats.org/officeDocument/2006/relationships/hyperlink" Target="https://iratus.org/faq"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96" Type="http://schemas.openxmlformats.org/officeDocument/2006/relationships/hyperlink" Target="https://roguebasin.com/index.php/Labyrinth_of_Legendary_Loot"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www.reddit.com/r/IndieGaming/comments/1pji5gu/dunjungle_the_monkey_action_roguelite_is_out_on/" TargetMode="External"/><Relationship Id="rId663" Type="http://schemas.openxmlformats.org/officeDocument/2006/relationships/hyperlink" Target="https://www.youtube.com/watch?v=dfLSGkKC2ug" TargetMode="External"/><Relationship Id="rId870" Type="http://schemas.openxmlformats.org/officeDocument/2006/relationships/hyperlink" Target="https://newsletter.gamediscover.co/p/how-sulfur-sold-50k-real-fast-and"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steamcommunity.com/app/4283360/discussions/0/842879193508271024/" TargetMode="External"/><Relationship Id="rId828" Type="http://schemas.openxmlformats.org/officeDocument/2006/relationships/hyperlink" Target="https://steamcommunity.com/games/1105670/announcements/detail/2996568545566483264"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www.reddit.com/r/iosgaming/comments/1hjehh9/lost_for_swords_a_dungeon_crawler_focusing_on/" TargetMode="External"/><Relationship Id="rId674" Type="http://schemas.openxmlformats.org/officeDocument/2006/relationships/hyperlink" Target="https://store.epicgames.com/news/terratech-legion-interview-russ-clark-car-building-freedom-bullet-heaven?lang=hi"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frozendepths.net/roguelike/info.php" TargetMode="External"/><Relationship Id="rId534" Type="http://schemas.openxmlformats.org/officeDocument/2006/relationships/hyperlink" Target="https://www.reddit.com/r/deckbuildingroguelike/comments/1qszp8o/runeveil_sts_meets_balatro_is_on_steam/" TargetMode="External"/><Relationship Id="rId741" Type="http://schemas.openxmlformats.org/officeDocument/2006/relationships/hyperlink" Target="https://www.reddit.com/r/roguelikes/comments/13qgts/new_roguelike_legend_of_dungeon_inspired_by_my/" TargetMode="External"/><Relationship Id="rId839" Type="http://schemas.openxmlformats.org/officeDocument/2006/relationships/hyperlink" Target="https://www.gamedeveloper.com/business/paper-heroes-colm-larkin-and-guild-of-dungeoneering" TargetMode="External"/><Relationship Id="rId173" Type="http://schemas.openxmlformats.org/officeDocument/2006/relationships/hyperlink" Target="https://www.youtube.com/watch?v=txv0XsRrFwo" TargetMode="External"/><Relationship Id="rId380" Type="http://schemas.openxmlformats.org/officeDocument/2006/relationships/hyperlink" Target="https://www.roguebasin.com/index.php/Sword_of_the_Stars:_The_Pit" TargetMode="External"/><Relationship Id="rId601" Type="http://schemas.openxmlformats.org/officeDocument/2006/relationships/hyperlink" Target="https://youtu.be/DY-KwfFTU9g"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www.reddit.com/r/indiegames/comments/1gg9w9m/the_new_luck_be_a_landlordstyle_game_dog_and/" TargetMode="External"/><Relationship Id="rId545" Type="http://schemas.openxmlformats.org/officeDocument/2006/relationships/hyperlink" Target="https://store.steampowered.com/app/3333700/The_Royal_Writ/" TargetMode="External"/><Relationship Id="rId752" Type="http://schemas.openxmlformats.org/officeDocument/2006/relationships/hyperlink" Target="https://www.reddit.com/r/IndieGaming/comments/1h0xiwq/been_working_on_pebble_knights_a_mix_of_survival/"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96" Type="http://schemas.openxmlformats.org/officeDocument/2006/relationships/hyperlink" Target="https://rogueliker.com/guntouchables-interview/%20and%20also%20talked%20about%20nuclear%20throne%20in%20the%20discord"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youtube.com/watch?v=L0Yg-sCCPEo" TargetMode="External"/><Relationship Id="rId763" Type="http://schemas.openxmlformats.org/officeDocument/2006/relationships/hyperlink" Target="https://youtu.be/_Ner8cAfsBg"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830" Type="http://schemas.openxmlformats.org/officeDocument/2006/relationships/hyperlink" Target="https://steamcommunity.com/games/2066020/announcements/detail/538872373928001896" TargetMode="External"/><Relationship Id="rId872" Type="http://schemas.openxmlformats.org/officeDocument/2006/relationships/table" Target="../tables/table2.xm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774" Type="http://schemas.openxmlformats.org/officeDocument/2006/relationships/hyperlink" Target="https://steamcommunity.com/games/2835570/announcements/detail/4181107834755509907"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tonemadison.com/articles/whisker-squadron-survivor-takes-aim-at-its-pain-points/" TargetMode="External"/><Relationship Id="rId841" Type="http://schemas.openxmlformats.org/officeDocument/2006/relationships/hyperlink" Target="https://www.gamedeveloper.com/design/road-to-the-igf-spry-fox-s-and-wild-shadow-studios-i-realm-of-the-mad-god-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games.gg/news/wanderburg-trailers-drive-150k-steam-wishlist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785" Type="http://schemas.openxmlformats.org/officeDocument/2006/relationships/hyperlink" Target="https://www.gamesradar.com/modern-roguelikes-are-in-great-shape-but-where-does-the-genre-go-next/"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692890/announcements/detail/4599817768902300278" TargetMode="External"/><Relationship Id="rId852" Type="http://schemas.openxmlformats.org/officeDocument/2006/relationships/hyperlink" Target="https://www.gamedeveloper.com/design/-play-86-interview-with-adom-creator-dr-thomas-biskup"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reddit.com/r/Games/comments/1v0h3jp/pass_the_fear_playmud_studio_gungeonlike_with/"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1637320/announcements/detail/4673137508062083951"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valleesdeletrange.wordpress.com/2026/03/09/sol-cesto-le-bandit-manchot-et-ses-deux-tetes-entretien-avec-chariospirale-et-docgeraud/"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reddit.com/r/indiegames/comments/1sc54y5/batomon_showdown_a_casual_autobattler_inspired_by/"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832" Type="http://schemas.openxmlformats.org/officeDocument/2006/relationships/hyperlink" Target="https://www.gamespark.jp/article/2025/07/24/155340.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cliqist.com/2015/01/30/children-morta-interview/"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801" Type="http://schemas.openxmlformats.org/officeDocument/2006/relationships/hyperlink" Target="https://steamcommunity.com/games/1914580/announcements/detail/3096792662638547858"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www.reddit.com/r/playmygame/comments/sqb852/our_spellcasting_roguelike_abandoned_archive_now/" TargetMode="External"/><Relationship Id="rId843" Type="http://schemas.openxmlformats.org/officeDocument/2006/relationships/hyperlink" Target="https://rpgcodex.net/content.php?id=8133"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nintendoeverything.com/interview-sparklite-dev-on-zelda-inspirations-art-style-possible-post-launch-additions-mor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1494560/announcements/detail/418785816065536060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reviewfix.com/2018/03/review-fix-exclusive-inside-immortal-redneck/"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798" Type="http://schemas.openxmlformats.org/officeDocument/2006/relationships/hyperlink" Target="https://steamcommunity.com/games/2342950/announcements/detail/524208404882784298"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rpgsite.net/interview/20000-brian-bucklew-caves-of-qud-interview-expansions-switch-port-unity-controller-support-coffee"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767" Type="http://schemas.openxmlformats.org/officeDocument/2006/relationships/hyperlink" Target="https://rogueliker.com/footgun-underground-interview/"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834" Type="http://schemas.openxmlformats.org/officeDocument/2006/relationships/hyperlink" Target="https://www.gamecast-blog.com/archives/66001023.html"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oguebasin.com/index.php/Cthangband" TargetMode="External"/><Relationship Id="rId736" Type="http://schemas.openxmlformats.org/officeDocument/2006/relationships/hyperlink" Target="https://youtu.be/O8FIzwdfuzs"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803" Type="http://schemas.openxmlformats.org/officeDocument/2006/relationships/hyperlink" Target="https://steamcommunity.com/games/2068280/announcements/detail/5301322539098227375" TargetMode="External"/><Relationship Id="rId845" Type="http://schemas.openxmlformats.org/officeDocument/2006/relationships/hyperlink" Target="https://www.theyoungfolks.com/video-games/154551/interview-joris-dormans-details-the-gameplay-and-story-of-unexplored-2/"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store.steampowered.com/app/943140/Sparklit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789" Type="http://schemas.openxmlformats.org/officeDocument/2006/relationships/hyperlink" Target="https://steamcommunity.com/games/3066570/announcements/detail/43567545612811853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814" Type="http://schemas.openxmlformats.org/officeDocument/2006/relationships/hyperlink" Target="https://steamcommunity.com/games/2067920/announcements/detail/3908626109457877555"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reddit.com/r/roguelikedev/comments/1tbz50j/hello_made_a_3d_asciisprite_roguelike_called/"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825" Type="http://schemas.openxmlformats.org/officeDocument/2006/relationships/hyperlink" Target="https://store.steampowered.com/app/2060750/Star_Survivor/"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x.com/DrivingRogue/status/2084622846303625448?s=20"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805" Type="http://schemas.openxmlformats.org/officeDocument/2006/relationships/hyperlink" Target="https://steamcommunity.com/games/2105840/announcements/detail/526488742956893954"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ore.steampowered.com/app/3494210/Choo_Choo_Survivor_2/"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827" Type="http://schemas.openxmlformats.org/officeDocument/2006/relationships/hyperlink" Target="https://steamcommunity.com/games/1227280/announcements/detail/4522268823003961902"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96wldd/swarm_grinder_last_bite_games_a_roguelite_gam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youtu.be/O8FIzwdfuzs" TargetMode="External"/><Relationship Id="rId838" Type="http://schemas.openxmlformats.org/officeDocument/2006/relationships/hyperlink" Target="https://www.gamespark.jp/article/2026/05/10/166209.html"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bsky.app/profile/vfqd.itch.io/post/3mjfbk36e6k22"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IndieGaming/comments/1h0xiwq/been_working_on_pebble_knights_a_mix_of_survival/" TargetMode="External"/><Relationship Id="rId849" Type="http://schemas.openxmlformats.org/officeDocument/2006/relationships/hyperlink" Target="https://www.gamespark.jp/article/2023/02/15/127110.html"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773" Type="http://schemas.openxmlformats.org/officeDocument/2006/relationships/hyperlink" Target="https://steamcommunity.com/games/3123120/announcements/detail/502834694432228039"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840" Type="http://schemas.openxmlformats.org/officeDocument/2006/relationships/hyperlink" Target="https://www.gamedeveloper.com/business/paper-heroes-colm-larkin-and-guild-of-dungeoneerin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www.gamesradar.com/modern-roguelikes-are-in-great-shape-but-where-does-the-genre-go-next/"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851" Type="http://schemas.openxmlformats.org/officeDocument/2006/relationships/hyperlink" Target="https://www.gamedeveloper.com/design/-play-86-interview-with-adom-creator-dr-thomas-biskup"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795" Type="http://schemas.openxmlformats.org/officeDocument/2006/relationships/hyperlink" Target="https://www.nintendolife.com/news/2021/02/feature_curse_of_the_dead_gods_devs_on_early_access_switch_challenges_and_hades_comparisons" TargetMode="External"/><Relationship Id="rId809" Type="http://schemas.openxmlformats.org/officeDocument/2006/relationships/hyperlink" Target="https://store.steampowered.com/app/2088840/Picayune_Dreams/"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862" Type="http://schemas.openxmlformats.org/officeDocument/2006/relationships/hyperlink" Target="https://valleesdeletrange.wordpress.com/2026/03/09/sol-cesto-le-bandit-manchot-et-ses-deux-tetes-entretien-avec-chariospirale-et-docgeraud/"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80.lv/articles/making-hack-and-slash-action-rpg-voin-as-solo-developer" TargetMode="External"/><Relationship Id="rId800" Type="http://schemas.openxmlformats.org/officeDocument/2006/relationships/hyperlink" Target="https://store.steampowered.com/app/2420510/HoloCure__Save_the_Fan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811" Type="http://schemas.openxmlformats.org/officeDocument/2006/relationships/hyperlink" Target="https://steamcommunity.com/games/1494560/announcements/detail/4187858160655360600"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store.steampowered.com/app/3484940/Curse_of_Pirate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766" Type="http://schemas.openxmlformats.org/officeDocument/2006/relationships/hyperlink" Target="https://rogueliker.com/footgun-underground-interview/"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833" Type="http://schemas.openxmlformats.org/officeDocument/2006/relationships/hyperlink" Target="https://v.daum.net/v/pIwu8NNfMg?f=p"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777" Type="http://schemas.openxmlformats.org/officeDocument/2006/relationships/hyperlink" Target="https://cliqist.com/2015/01/30/children-morta-interview/" TargetMode="External"/><Relationship Id="rId637" Type="http://schemas.openxmlformats.org/officeDocument/2006/relationships/hyperlink" Target="https://www.reddit.com/r/nintendo/comments/691a58/we_are_team_tumbleseed_and_we_launched_tumbleseed/" TargetMode="External"/><Relationship Id="rId844" Type="http://schemas.openxmlformats.org/officeDocument/2006/relationships/hyperlink" Target="https://reviewfix.com/2018/08/review-fix-exclusive-inside-caves-of-qu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788" Type="http://schemas.openxmlformats.org/officeDocument/2006/relationships/hyperlink" Target="https://steamcommunity.com/games/3066570/announcements/detail/4356754561281185320"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855" Type="http://schemas.openxmlformats.org/officeDocument/2006/relationships/hyperlink" Target="https://reviewfix.com/2018/03/review-fix-exclusive-inside-immortal-redneck/"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799" Type="http://schemas.openxmlformats.org/officeDocument/2006/relationships/hyperlink" Target="https://store.steampowered.com/app/2420510/HoloCure__Save_the_Fan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866" Type="http://schemas.openxmlformats.org/officeDocument/2006/relationships/hyperlink" Target="https://www.quartertothree.com/fp/2013/07/30/ten-things-you-should-know-about-sunless-se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737" Type="http://schemas.openxmlformats.org/officeDocument/2006/relationships/hyperlink" Target="https://www.youtube.com/shorts/VHSBsCiZ148"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790" Type="http://schemas.openxmlformats.org/officeDocument/2006/relationships/hyperlink" Target="https://steamcommunity.com/games/3923750/announcements/detail/503962497384974869" TargetMode="External"/><Relationship Id="rId804" Type="http://schemas.openxmlformats.org/officeDocument/2006/relationships/hyperlink" Target="https://steamcommunity.com/games/2105840/announcements/detail/670626757615813587"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facebook.com/groups/132728896890594/posts/255161568833522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815" Type="http://schemas.openxmlformats.org/officeDocument/2006/relationships/hyperlink" Target="https://store.steampowered.com/app/1271280/Rift_Wizard/" TargetMode="External"/><Relationship Id="rId247" Type="http://schemas.openxmlformats.org/officeDocument/2006/relationships/hyperlink" Target="https://forums.tigsource.com/index.php?topic=41609.0"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Games/comments/2e7eti/hello_rgames_we_are_the_creators_of_the_roguelike/" TargetMode="External"/><Relationship Id="rId661" Type="http://schemas.openxmlformats.org/officeDocument/2006/relationships/hyperlink" Target="https://youtu.be/VGMszILvj78"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Klukva_Games/status/1750485532868522090"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732090/announcements/detail/3328736922033412095"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532" Type="http://schemas.openxmlformats.org/officeDocument/2006/relationships/hyperlink" Target="https://www.reddit.com/r/godot/comments/1lo0rfm/14_months_of_work_on_my_1st_game_demo_is_now/"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dtf.ru/gamedev/141739-otzyvy-i-obshenie-na-meropriyatiyah-uchat-luchshe-lyubyh-kursov-beseda-s-avtorom-rogalika-despots-game"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arcanium-rise-of-akhan.xsollasitebuilder.com/" TargetMode="External"/><Relationship Id="rId683" Type="http://schemas.openxmlformats.org/officeDocument/2006/relationships/hyperlink" Target="https://rogueliker.com/vellum-inspirations/"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www.reddit.com/r/indiegames/comments/1b21ga6/we_are_developing_a_strategy_deckbuilding_game/" TargetMode="External"/><Relationship Id="rId543" Type="http://schemas.openxmlformats.org/officeDocument/2006/relationships/hyperlink" Target="https://www.reddit.com/r/slaythespire/comments/173zdvp/i_am_a_solo_developer_working_on_the_last_flame_a/"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Games/comments/10uappd/the_ouroboros_king_oriol_cosp_chess_based/" TargetMode="External"/><Relationship Id="rId750" Type="http://schemas.openxmlformats.org/officeDocument/2006/relationships/hyperlink" Target="https://www.reddit.com/r/Games/comments/17dw9zh/trash_of_the_titans_tabagain_its_into_the_breach/" TargetMode="External"/><Relationship Id="rId848" Type="http://schemas.openxmlformats.org/officeDocument/2006/relationships/hyperlink" Target="https://www.gamegrin.com/articles/developer-interview-neon-abyss-2-veewo-games/"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94" Type="http://schemas.openxmlformats.org/officeDocument/2006/relationships/hyperlink" Target="https://store.steampowered.com/app/4195110/Ultrapool/" TargetMode="External"/><Relationship Id="rId708" Type="http://schemas.openxmlformats.org/officeDocument/2006/relationships/hyperlink" Target="https://steamcommunity.com/app/1721110/discussions/0/600775708393865281/" TargetMode="External"/><Relationship Id="rId347" Type="http://schemas.openxmlformats.org/officeDocument/2006/relationships/hyperlink" Target="https://steamcommunity.com/app/1016730/discussions/0/181429690796176204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reddit.com/r/Games/comments/r4a4sv/words_can_kill_typing_monkey_slay_the_spire/" TargetMode="External"/><Relationship Id="rId761" Type="http://schemas.openxmlformats.org/officeDocument/2006/relationships/hyperlink" Target="https://youtu.be/_Ner8cAfsBg" TargetMode="External"/><Relationship Id="rId859" Type="http://schemas.openxmlformats.org/officeDocument/2006/relationships/hyperlink" Target="https://web.archive.org/web/20250319160658/https:/www.whatsitlike.com.au/interview-with-tiago-zaidan-vampire-hunters/"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reddit.com/r/IndieDev/comments/1ow9lo4/my_first_game_on_steam_is_finally_out_shard_squad/"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72" Type="http://schemas.openxmlformats.org/officeDocument/2006/relationships/hyperlink" Target="https://steamcommunity.com/games/1000010/announcements/detail/1712958942358263915"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darkrpgs.home.blog/2019/03/08/interview-with-miro-haverinen-the-creator-of-the-dark-rpg-fear-hunger/" TargetMode="External"/><Relationship Id="rId576" Type="http://schemas.openxmlformats.org/officeDocument/2006/relationships/hyperlink" Target="https://store.steampowered.com/app/1078200/Spirits_Abyss/"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reddit.com/r/pcgaming/comments/1f9y4d8/weve_been_making_our_totally_normal_coop_shooter/" TargetMode="External"/><Relationship Id="rId643" Type="http://schemas.openxmlformats.org/officeDocument/2006/relationships/hyperlink" Target="https://store.steampowered.com/news/app/3618850/view/527612739964633653?l=english" TargetMode="External"/><Relationship Id="rId850" Type="http://schemas.openxmlformats.org/officeDocument/2006/relationships/hyperlink" Target="https://www.gamespark.jp/article/2023/02/15/127110.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store.steampowered.com/app/3548520/DOG_WITCH/"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www.youtube.com/watch?v=5xuW5r3ww6Y" TargetMode="External"/><Relationship Id="rId808" Type="http://schemas.openxmlformats.org/officeDocument/2006/relationships/hyperlink" Target="https://steamcommunity.com/games/262790/announcements/detail/1694779751808309596"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eamcommunity.com/games/1123770/announcements/detail/1697231221626410268" TargetMode="External"/><Relationship Id="rId654" Type="http://schemas.openxmlformats.org/officeDocument/2006/relationships/hyperlink" Target="https://www.youtube.com/watch?v=txv0XsRrFwo" TargetMode="External"/><Relationship Id="rId861" Type="http://schemas.openxmlformats.org/officeDocument/2006/relationships/hyperlink" Target="https://nichegamer.com/patch-quest-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abSelected="1" topLeftCell="A371" zoomScaleNormal="100" workbookViewId="0">
      <selection activeCell="I383" sqref="I38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8360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7918</v>
      </c>
      <c r="B18">
        <v>2025</v>
      </c>
      <c r="C18" t="s">
        <v>176</v>
      </c>
      <c r="D18" t="b">
        <f>TRUE()</f>
        <v>1</v>
      </c>
      <c r="E18" t="b">
        <f>COUNTIF(connections!A:A, A18) &gt; 0</f>
        <v>0</v>
      </c>
      <c r="G18" t="s">
        <v>7919</v>
      </c>
      <c r="H18" t="s">
        <v>187</v>
      </c>
      <c r="I18" t="s">
        <v>7925</v>
      </c>
      <c r="J18" s="10" t="s">
        <v>7920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8124</v>
      </c>
      <c r="B27">
        <v>2024</v>
      </c>
      <c r="C27" t="s">
        <v>222</v>
      </c>
      <c r="D27" t="b">
        <f>TRUE()</f>
        <v>1</v>
      </c>
      <c r="E27" t="b">
        <f>COUNTIF(connections!A:A, A27) &gt; 0</f>
        <v>0</v>
      </c>
      <c r="G27" t="s">
        <v>8125</v>
      </c>
      <c r="J27" s="10" t="s">
        <v>8126</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8333</v>
      </c>
      <c r="J38" s="10" t="s">
        <v>8334</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8150</v>
      </c>
      <c r="J53" s="10" t="s">
        <v>8151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7956</v>
      </c>
      <c r="B65">
        <v>2026</v>
      </c>
      <c r="C65" t="s">
        <v>222</v>
      </c>
      <c r="D65" t="b">
        <f>TRUE()</f>
        <v>1</v>
      </c>
      <c r="E65" t="b">
        <f>COUNTIF(connections!A:A, A65) &gt; 0</f>
        <v>0</v>
      </c>
      <c r="G65" t="s">
        <v>7957</v>
      </c>
      <c r="H65" t="s">
        <v>187</v>
      </c>
      <c r="I65" t="s">
        <v>8149</v>
      </c>
      <c r="J65" s="10" t="s">
        <v>7958</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7834</v>
      </c>
      <c r="B101">
        <v>2019</v>
      </c>
      <c r="C101" t="s">
        <v>179</v>
      </c>
      <c r="D101" t="b">
        <f>TRUE()</f>
        <v>1</v>
      </c>
      <c r="E101" t="b">
        <f>COUNTIF(connections!A:A, A101) &gt; 0</f>
        <v>0</v>
      </c>
      <c r="G101" t="s">
        <v>7835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7480</v>
      </c>
    </row>
    <row r="111" spans="1:10" ht="15" customHeight="1" x14ac:dyDescent="0.25">
      <c r="A111" t="s">
        <v>536</v>
      </c>
      <c r="B111">
        <v>2013</v>
      </c>
      <c r="C111" t="s">
        <v>179</v>
      </c>
      <c r="D111" t="b">
        <f>TRUE()</f>
        <v>1</v>
      </c>
      <c r="E111" t="b">
        <f>COUNTIF(connections!A:A, A111) &gt; 0</f>
        <v>1</v>
      </c>
      <c r="F111" t="s">
        <v>458</v>
      </c>
      <c r="G111" t="s">
        <v>537</v>
      </c>
      <c r="H111" t="s">
        <v>187</v>
      </c>
      <c r="I111" t="s">
        <v>7481</v>
      </c>
    </row>
    <row r="112" spans="1:10" ht="15" customHeight="1" x14ac:dyDescent="0.25">
      <c r="A112" t="s">
        <v>538</v>
      </c>
      <c r="B112">
        <v>2025</v>
      </c>
      <c r="C112" t="s">
        <v>179</v>
      </c>
      <c r="D112" t="b">
        <f>TRUE()</f>
        <v>1</v>
      </c>
      <c r="E112" t="b">
        <f>COUNTIF(connections!A:A, A112) &gt; 0</f>
        <v>0</v>
      </c>
      <c r="F112" t="s">
        <v>458</v>
      </c>
      <c r="G112" t="s">
        <v>539</v>
      </c>
      <c r="H112" t="s">
        <v>187</v>
      </c>
      <c r="I112" t="s">
        <v>7482</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8357</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8335</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8140</v>
      </c>
      <c r="J132" s="10" t="s">
        <v>8141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7655</v>
      </c>
      <c r="B141">
        <v>2026</v>
      </c>
      <c r="C141" t="s">
        <v>222</v>
      </c>
      <c r="D141" t="b">
        <f>TRUE()</f>
        <v>1</v>
      </c>
      <c r="E141" t="b">
        <f>COUNTIF(connections!A:A, A141) &gt; 0</f>
        <v>0</v>
      </c>
      <c r="G141" t="s">
        <v>7654</v>
      </c>
      <c r="J141" s="10" t="s">
        <v>7653</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7838</v>
      </c>
      <c r="B168">
        <v>2026</v>
      </c>
      <c r="C168" t="s">
        <v>176</v>
      </c>
      <c r="D168" t="b">
        <f>TRUE()</f>
        <v>1</v>
      </c>
      <c r="E168" t="b">
        <f>COUNTIF(connections!A:A, A168) &gt; 0</f>
        <v>0</v>
      </c>
      <c r="G168" t="s">
        <v>7839</v>
      </c>
      <c r="J168" s="10" t="s">
        <v>7840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7959</v>
      </c>
      <c r="B192">
        <v>2026</v>
      </c>
      <c r="C192" t="s">
        <v>176</v>
      </c>
      <c r="D192" t="b">
        <f>TRUE()</f>
        <v>1</v>
      </c>
      <c r="E192" t="b">
        <f>COUNTIF(connections!A:A, A192) &gt; 0</f>
        <v>0</v>
      </c>
      <c r="F192" t="s">
        <v>617</v>
      </c>
      <c r="G192" t="s">
        <v>7960</v>
      </c>
      <c r="J192" s="10" t="s">
        <v>7961</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8407</v>
      </c>
      <c r="B203">
        <v>2018</v>
      </c>
      <c r="C203" t="s">
        <v>222</v>
      </c>
      <c r="D203" t="b">
        <v>1</v>
      </c>
      <c r="E203" t="b">
        <f>COUNTIF(connections!A:A, A203) &gt; 0</f>
        <v>1</v>
      </c>
      <c r="G203" t="s">
        <v>8409</v>
      </c>
      <c r="J203" s="10" t="s">
        <v>8408</v>
      </c>
    </row>
    <row r="204" spans="1:10" ht="15" customHeight="1" x14ac:dyDescent="0.25">
      <c r="A204" t="s">
        <v>8406</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8324</v>
      </c>
      <c r="B214">
        <v>2026</v>
      </c>
      <c r="C214" t="s">
        <v>182</v>
      </c>
      <c r="D214" t="b">
        <f>TRUE()</f>
        <v>1</v>
      </c>
      <c r="E214" t="b">
        <f>COUNTIF(connections!A:A, A214) &gt; 0</f>
        <v>0</v>
      </c>
      <c r="F214" t="s">
        <v>315</v>
      </c>
      <c r="G214" t="s">
        <v>8325</v>
      </c>
      <c r="J214" s="10" t="s">
        <v>8326</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7853</v>
      </c>
      <c r="B235">
        <v>2026</v>
      </c>
      <c r="C235" t="s">
        <v>179</v>
      </c>
      <c r="D235" t="b">
        <f>TRUE()</f>
        <v>1</v>
      </c>
      <c r="E235" t="b">
        <f>COUNTIF(connections!A:A, A235) &gt; 0</f>
        <v>0</v>
      </c>
      <c r="G235" t="s">
        <v>7867</v>
      </c>
      <c r="J235" s="10" t="s">
        <v>7854</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7995</v>
      </c>
      <c r="B242">
        <v>2026</v>
      </c>
      <c r="C242" t="s">
        <v>176</v>
      </c>
      <c r="D242" t="b">
        <f>TRUE()</f>
        <v>1</v>
      </c>
      <c r="E242" t="b">
        <f>COUNTIF(connections!A:A, A242) &gt; 0</f>
        <v>0</v>
      </c>
      <c r="G242" t="s">
        <v>7996</v>
      </c>
      <c r="J242" s="10" t="s">
        <v>7997</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7878</v>
      </c>
      <c r="J254" s="10" t="s">
        <v>7879</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8336</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8337</v>
      </c>
      <c r="J287" s="10" t="s">
        <v>8338</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f>FALSE()</f>
        <v>0</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7711</v>
      </c>
      <c r="B340">
        <v>2025</v>
      </c>
      <c r="C340" t="s">
        <v>176</v>
      </c>
      <c r="D340" t="b">
        <f>TRUE()</f>
        <v>1</v>
      </c>
      <c r="E340" t="b">
        <f>COUNTIF(connections!A:A, A340) &gt; 0</f>
        <v>0</v>
      </c>
      <c r="G340" t="s">
        <v>7712</v>
      </c>
      <c r="H340" t="s">
        <v>187</v>
      </c>
      <c r="I340" t="s">
        <v>7715</v>
      </c>
      <c r="J340" s="10" t="s">
        <v>7713</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8146</v>
      </c>
      <c r="J348" s="10" t="s">
        <v>8147</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7864</v>
      </c>
      <c r="B350">
        <v>2026</v>
      </c>
      <c r="C350" t="s">
        <v>182</v>
      </c>
      <c r="D350" t="b">
        <f>TRUE()</f>
        <v>1</v>
      </c>
      <c r="E350" t="b">
        <f>COUNTIF(connections!A:A, A350) &gt; 0</f>
        <v>0</v>
      </c>
      <c r="G350" t="s">
        <v>7865</v>
      </c>
      <c r="J350" s="10" t="s">
        <v>7866</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f>FALSE()</f>
        <v>0</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f>FALSE()</f>
        <v>0</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8432</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7999</v>
      </c>
      <c r="B389">
        <v>2026</v>
      </c>
      <c r="C389" t="s">
        <v>182</v>
      </c>
      <c r="D389" t="b">
        <f>TRUE()</f>
        <v>1</v>
      </c>
      <c r="E389" t="b">
        <f>COUNTIF(connections!A:A, A389) &gt; 0</f>
        <v>0</v>
      </c>
      <c r="G389" t="s">
        <v>8000</v>
      </c>
      <c r="J389" s="10" t="s">
        <v>8001</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7990</v>
      </c>
      <c r="B405">
        <v>2026</v>
      </c>
      <c r="C405" t="s">
        <v>176</v>
      </c>
      <c r="D405" t="b">
        <f>TRUE()</f>
        <v>1</v>
      </c>
      <c r="E405" t="b">
        <f>COUNTIF(connections!A:A, A405) &gt; 0</f>
        <v>0</v>
      </c>
      <c r="G405" t="s">
        <v>7991</v>
      </c>
      <c r="J405" s="10" t="s">
        <v>7992</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8112</v>
      </c>
      <c r="B417">
        <v>2013</v>
      </c>
      <c r="C417" t="s">
        <v>176</v>
      </c>
      <c r="D417" t="b">
        <f>TRUE()</f>
        <v>1</v>
      </c>
      <c r="E417" t="b">
        <f>COUNTIF(connections!A:A, A417) &gt; 0</f>
        <v>0</v>
      </c>
      <c r="G417" t="s">
        <v>8113</v>
      </c>
      <c r="J417" s="10" t="s">
        <v>8114</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7965</v>
      </c>
      <c r="B419">
        <v>2026</v>
      </c>
      <c r="C419" t="s">
        <v>222</v>
      </c>
      <c r="D419" t="b">
        <f>TRUE()</f>
        <v>1</v>
      </c>
      <c r="E419" t="b">
        <f>COUNTIF(connections!A:A, A419) &gt; 0</f>
        <v>0</v>
      </c>
      <c r="G419" t="s">
        <v>7966</v>
      </c>
      <c r="J419" s="10" t="s">
        <v>7967</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f>FALSE()</f>
        <v>0</v>
      </c>
      <c r="E422" t="b">
        <f>COUNTIF(connections!A:A, A422) &gt; 0</f>
        <v>0</v>
      </c>
      <c r="G422" t="s">
        <v>1535</v>
      </c>
      <c r="H422" t="s">
        <v>187</v>
      </c>
      <c r="I422" t="s">
        <v>1536</v>
      </c>
      <c r="J422" s="1" t="s">
        <v>1537</v>
      </c>
    </row>
    <row r="423" spans="1:10" ht="15" customHeight="1" x14ac:dyDescent="0.25">
      <c r="A423" t="s">
        <v>8003</v>
      </c>
      <c r="B423">
        <v>2026</v>
      </c>
      <c r="C423" t="s">
        <v>182</v>
      </c>
      <c r="D423" t="b">
        <f>TRUE()</f>
        <v>1</v>
      </c>
      <c r="E423" t="b">
        <f>COUNTIF(connections!A:A, A423) &gt; 0</f>
        <v>0</v>
      </c>
      <c r="G423" t="s">
        <v>8004</v>
      </c>
      <c r="J423" s="10" t="s">
        <v>8005</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7876</v>
      </c>
      <c r="J435" s="10" t="s">
        <v>7877</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7827</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7841</v>
      </c>
      <c r="B540">
        <v>2026</v>
      </c>
      <c r="C540" t="s">
        <v>182</v>
      </c>
      <c r="D540" t="b">
        <f>TRUE()</f>
        <v>1</v>
      </c>
      <c r="E540" t="b">
        <f>COUNTIF(connections!A:A, A540) &gt; 0</f>
        <v>0</v>
      </c>
      <c r="G540" t="s">
        <v>7824</v>
      </c>
      <c r="J540" s="10" t="s">
        <v>7825</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7928</v>
      </c>
      <c r="B548">
        <v>2026</v>
      </c>
      <c r="C548" t="s">
        <v>176</v>
      </c>
      <c r="D548" t="b">
        <f>TRUE()</f>
        <v>1</v>
      </c>
      <c r="E548" t="b">
        <f>COUNTIF(connections!A:A, A548) &gt; 0</f>
        <v>0</v>
      </c>
      <c r="G548" t="s">
        <v>7929</v>
      </c>
      <c r="J548" s="10" t="s">
        <v>7930</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8130</v>
      </c>
      <c r="B555">
        <v>2026</v>
      </c>
      <c r="C555" t="s">
        <v>176</v>
      </c>
      <c r="D555" t="b">
        <f>TRUE()</f>
        <v>1</v>
      </c>
      <c r="E555" t="b">
        <f>COUNTIF(connections!A:A, A555) &gt; 0</f>
        <v>0</v>
      </c>
      <c r="F555" t="s">
        <v>1030</v>
      </c>
      <c r="G555" t="s">
        <v>8131</v>
      </c>
      <c r="J555" s="10" t="s">
        <v>8132</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7656</v>
      </c>
      <c r="B558">
        <v>2026</v>
      </c>
      <c r="C558" t="s">
        <v>176</v>
      </c>
      <c r="D558" t="b">
        <f>TRUE()</f>
        <v>1</v>
      </c>
      <c r="E558" t="b">
        <f>COUNTIF(connections!A:A, A558) &gt; 0</f>
        <v>0</v>
      </c>
      <c r="G558" t="s">
        <v>7657</v>
      </c>
      <c r="J558" s="10" t="s">
        <v>7658</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8339</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8340</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7947</v>
      </c>
      <c r="B578">
        <v>2026</v>
      </c>
      <c r="C578" t="s">
        <v>176</v>
      </c>
      <c r="D578" t="b">
        <f>TRUE()</f>
        <v>1</v>
      </c>
      <c r="E578" t="b">
        <f>COUNTIF(connections!A:A, A578) &gt; 0</f>
        <v>0</v>
      </c>
      <c r="F578" t="s">
        <v>1985</v>
      </c>
      <c r="G578" t="s">
        <v>7948</v>
      </c>
      <c r="H578" t="s">
        <v>187</v>
      </c>
      <c r="I578" t="s">
        <v>7949</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8118</v>
      </c>
      <c r="B586">
        <v>2024</v>
      </c>
      <c r="C586" t="s">
        <v>182</v>
      </c>
      <c r="D586" t="b">
        <f>TRUE()</f>
        <v>1</v>
      </c>
      <c r="E586" t="b">
        <f>COUNTIF(connections!A:A, A586) &gt; 0</f>
        <v>0</v>
      </c>
      <c r="G586" t="s">
        <v>8119</v>
      </c>
      <c r="J586" s="10" t="s">
        <v>8120</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f>FALSE()</f>
        <v>0</v>
      </c>
      <c r="E589" t="b">
        <f>COUNTIF(connections!A:A, A589) &gt; 0</f>
        <v>0</v>
      </c>
      <c r="G589" t="s">
        <v>2044</v>
      </c>
      <c r="H589" t="s">
        <v>187</v>
      </c>
      <c r="I589" t="s">
        <v>7880</v>
      </c>
      <c r="J589" s="10" t="s">
        <v>7881</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7932</v>
      </c>
      <c r="B595">
        <v>2026</v>
      </c>
      <c r="C595" t="s">
        <v>179</v>
      </c>
      <c r="D595" t="b">
        <f>TRUE()</f>
        <v>1</v>
      </c>
      <c r="E595" t="b">
        <f>COUNTIF(connections!A:A, A595) &gt; 0</f>
        <v>0</v>
      </c>
      <c r="G595" t="s">
        <v>7934</v>
      </c>
      <c r="J595" s="10" t="s">
        <v>7935</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7922</v>
      </c>
      <c r="B602">
        <v>2025</v>
      </c>
      <c r="C602" t="s">
        <v>176</v>
      </c>
      <c r="D602" t="b">
        <f>TRUE()</f>
        <v>1</v>
      </c>
      <c r="E602" t="b">
        <f>COUNTIF(connections!A:A, A602) &gt; 0</f>
        <v>0</v>
      </c>
      <c r="G602" t="s">
        <v>7923</v>
      </c>
      <c r="H602" t="s">
        <v>187</v>
      </c>
      <c r="I602" t="s">
        <v>7926</v>
      </c>
      <c r="J602" s="10" t="s">
        <v>7924</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7937</v>
      </c>
      <c r="B613">
        <v>2026</v>
      </c>
      <c r="C613" t="s">
        <v>176</v>
      </c>
      <c r="D613" t="b">
        <f>TRUE()</f>
        <v>1</v>
      </c>
      <c r="E613" t="b">
        <f>COUNTIF(connections!A:A, A613) &gt; 0</f>
        <v>0</v>
      </c>
      <c r="G613" t="s">
        <v>7938</v>
      </c>
      <c r="J613" s="10" t="s">
        <v>7939</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8388</v>
      </c>
      <c r="B652">
        <v>2022</v>
      </c>
      <c r="C652" t="s">
        <v>176</v>
      </c>
      <c r="D652" t="b">
        <f>TRUE()</f>
        <v>1</v>
      </c>
      <c r="E652" t="b">
        <f>COUNTIF(connections!A:A, A652) &gt; 0</f>
        <v>1</v>
      </c>
      <c r="G652" t="s">
        <v>8389</v>
      </c>
      <c r="H652" t="s">
        <v>187</v>
      </c>
      <c r="I652" t="s">
        <v>8431</v>
      </c>
      <c r="J652" s="10" t="s">
        <v>8390</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8148</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8358</v>
      </c>
      <c r="J666" s="10" t="s">
        <v>8359</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7945</v>
      </c>
      <c r="B668">
        <v>2025</v>
      </c>
      <c r="C668" t="s">
        <v>176</v>
      </c>
      <c r="D668" t="b">
        <f>TRUE()</f>
        <v>1</v>
      </c>
      <c r="E668" t="b">
        <f>COUNTIF(connections!A:A, A668) &gt; 0</f>
        <v>0</v>
      </c>
      <c r="G668" t="s">
        <v>7946</v>
      </c>
      <c r="J668" s="10" t="s">
        <v>7944</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7952</v>
      </c>
      <c r="B683">
        <v>2026</v>
      </c>
      <c r="C683" t="s">
        <v>182</v>
      </c>
      <c r="D683" t="b">
        <f>TRUE()</f>
        <v>1</v>
      </c>
      <c r="E683" t="b">
        <f>COUNTIF(connections!A:A, A683) &gt; 0</f>
        <v>0</v>
      </c>
      <c r="G683" t="s">
        <v>7953</v>
      </c>
      <c r="J683" s="10" t="s">
        <v>7954</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8355</v>
      </c>
      <c r="J687" s="10" t="s">
        <v>8356</v>
      </c>
    </row>
    <row r="688" spans="1:10" ht="15" customHeight="1" x14ac:dyDescent="0.25">
      <c r="A688" t="s">
        <v>2341</v>
      </c>
      <c r="B688">
        <v>2014</v>
      </c>
      <c r="C688" t="s">
        <v>176</v>
      </c>
      <c r="D688" t="b">
        <f>TRUE()</f>
        <v>1</v>
      </c>
      <c r="E688" t="b">
        <f>COUNTIF(connections!A:A, A688) &gt; 0</f>
        <v>0</v>
      </c>
      <c r="G688" t="s">
        <v>2342</v>
      </c>
      <c r="H688" t="s">
        <v>187</v>
      </c>
      <c r="I688" t="s">
        <v>8341</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8393</v>
      </c>
      <c r="B695">
        <v>2024</v>
      </c>
      <c r="C695" t="s">
        <v>176</v>
      </c>
      <c r="D695" t="b">
        <f>TRUE()</f>
        <v>1</v>
      </c>
      <c r="E695" t="b">
        <f>COUNTIF(connections!A:A, A695) &gt; 0</f>
        <v>0</v>
      </c>
      <c r="G695" t="s">
        <v>8394</v>
      </c>
      <c r="H695" t="s">
        <v>187</v>
      </c>
      <c r="I695" t="s">
        <v>8395</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8121</v>
      </c>
      <c r="B710">
        <v>2024</v>
      </c>
      <c r="C710" t="s">
        <v>222</v>
      </c>
      <c r="D710" t="b">
        <f>TRUE()</f>
        <v>1</v>
      </c>
      <c r="E710" t="b">
        <f>COUNTIF(connections!A:A, A710) &gt; 0</f>
        <v>0</v>
      </c>
      <c r="F710" t="s">
        <v>274</v>
      </c>
      <c r="G710" t="s">
        <v>8122</v>
      </c>
      <c r="H710" t="s">
        <v>187</v>
      </c>
      <c r="I710" t="s">
        <v>8342</v>
      </c>
      <c r="J710" s="10" t="s">
        <v>8123</v>
      </c>
    </row>
    <row r="711" spans="1:10" ht="15" customHeight="1" x14ac:dyDescent="0.25">
      <c r="A711" t="s">
        <v>7860</v>
      </c>
      <c r="B711">
        <v>2019</v>
      </c>
      <c r="C711" t="s">
        <v>176</v>
      </c>
      <c r="D711" t="b">
        <f>TRUE()</f>
        <v>1</v>
      </c>
      <c r="E711" t="b">
        <f>COUNTIF(connections!A:A, A711) &gt; 0</f>
        <v>0</v>
      </c>
      <c r="G711" t="s">
        <v>7861</v>
      </c>
      <c r="H711" t="s">
        <v>187</v>
      </c>
      <c r="I711" t="s">
        <v>8343</v>
      </c>
      <c r="J711" s="10" t="s">
        <v>7862</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7874</v>
      </c>
      <c r="J713" s="10" t="s">
        <v>7875</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8344</v>
      </c>
      <c r="B726">
        <v>2020</v>
      </c>
      <c r="C726" t="s">
        <v>222</v>
      </c>
      <c r="D726" t="b">
        <f>TRUE()</f>
        <v>1</v>
      </c>
      <c r="E726" t="b">
        <f>COUNTIF(connections!A:A, A726) &gt; 0</f>
        <v>0</v>
      </c>
      <c r="G726" t="s">
        <v>8345</v>
      </c>
      <c r="H726" t="s">
        <v>187</v>
      </c>
      <c r="I726" t="s">
        <v>8346</v>
      </c>
      <c r="J726" s="10" t="s">
        <v>8347</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8115</v>
      </c>
      <c r="B732">
        <v>2026</v>
      </c>
      <c r="C732" t="s">
        <v>176</v>
      </c>
      <c r="D732" t="b">
        <f>TRUE()</f>
        <v>1</v>
      </c>
      <c r="E732" t="b">
        <f>COUNTIF(connections!A:A, A732) &gt; 0</f>
        <v>0</v>
      </c>
      <c r="G732" t="s">
        <v>8116</v>
      </c>
      <c r="J732" s="10" t="s">
        <v>8117</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8348</v>
      </c>
      <c r="J734" s="10" t="s">
        <v>8349</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8142</v>
      </c>
      <c r="J745" s="10" t="s">
        <v>8143</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8350</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8351</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7940</v>
      </c>
      <c r="B787">
        <v>2026</v>
      </c>
      <c r="C787" t="s">
        <v>182</v>
      </c>
      <c r="D787" t="b">
        <f>TRUE()</f>
        <v>1</v>
      </c>
      <c r="E787" t="b">
        <f>COUNTIF(connections!A:A, A787) &gt; 0</f>
        <v>0</v>
      </c>
      <c r="G787" t="s">
        <v>7941</v>
      </c>
      <c r="J787" s="10" t="s">
        <v>7942</v>
      </c>
    </row>
    <row r="788" spans="1:10" x14ac:dyDescent="0.25">
      <c r="A788" t="s">
        <v>8152</v>
      </c>
      <c r="B788">
        <v>2026</v>
      </c>
      <c r="C788" t="s">
        <v>176</v>
      </c>
      <c r="D788" t="b">
        <f>TRUE()</f>
        <v>1</v>
      </c>
      <c r="E788" t="b">
        <f>COUNTIF(connections!A:A, A788) &gt; 0</f>
        <v>0</v>
      </c>
      <c r="G788" t="s">
        <v>8154</v>
      </c>
      <c r="J788" s="10" t="s">
        <v>8153</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8144</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7969</v>
      </c>
      <c r="B802">
        <v>2026</v>
      </c>
      <c r="C802" t="s">
        <v>182</v>
      </c>
      <c r="D802" t="b">
        <f>TRUE()</f>
        <v>1</v>
      </c>
      <c r="E802" t="b">
        <f>COUNTIF(connections!A:A, A802) &gt; 0</f>
        <v>0</v>
      </c>
      <c r="G802" t="s">
        <v>7970</v>
      </c>
      <c r="J802" s="10" t="s">
        <v>7971</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8352</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8127</v>
      </c>
      <c r="B823">
        <v>2024</v>
      </c>
      <c r="C823" t="s">
        <v>222</v>
      </c>
      <c r="D823" t="b">
        <f>TRUE()</f>
        <v>1</v>
      </c>
      <c r="E823" t="b">
        <f>COUNTIF(connections!A:A, A823) &gt; 0</f>
        <v>0</v>
      </c>
      <c r="G823" t="s">
        <v>8128</v>
      </c>
      <c r="J823" s="10" t="s">
        <v>8129</v>
      </c>
    </row>
    <row r="824" spans="1:10" x14ac:dyDescent="0.25">
      <c r="A824" t="s">
        <v>2757</v>
      </c>
      <c r="B824">
        <v>2019</v>
      </c>
      <c r="C824" t="s">
        <v>182</v>
      </c>
      <c r="D824" t="b">
        <f>TRUE()</f>
        <v>1</v>
      </c>
      <c r="E824" t="b">
        <f>COUNTIF(connections!A:A, A824) &gt; 0</f>
        <v>0</v>
      </c>
      <c r="G824" t="s">
        <v>2758</v>
      </c>
      <c r="H824" t="s">
        <v>187</v>
      </c>
      <c r="I824" t="s">
        <v>8353</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8145</v>
      </c>
      <c r="J826" s="1" t="s">
        <v>2765</v>
      </c>
    </row>
    <row r="827" spans="1:10" x14ac:dyDescent="0.25">
      <c r="A827" t="s">
        <v>2766</v>
      </c>
      <c r="B827">
        <v>2025</v>
      </c>
      <c r="C827" t="s">
        <v>176</v>
      </c>
      <c r="D827" t="b">
        <f>TRUE()</f>
        <v>1</v>
      </c>
      <c r="E827" t="b">
        <f>COUNTIF(connections!A:A, A827) &gt; 0</f>
        <v>0</v>
      </c>
      <c r="G827" t="s">
        <v>2767</v>
      </c>
      <c r="H827" t="s">
        <v>187</v>
      </c>
      <c r="I827" t="s">
        <v>8139</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7709</v>
      </c>
      <c r="B830">
        <v>2026</v>
      </c>
      <c r="C830" t="s">
        <v>182</v>
      </c>
      <c r="D830" t="b">
        <f>TRUE()</f>
        <v>1</v>
      </c>
      <c r="E830" t="b">
        <f>COUNTIF(connections!A:A, A830) &gt; 0</f>
        <v>0</v>
      </c>
      <c r="G830" t="s">
        <v>7710</v>
      </c>
      <c r="J830" s="10" t="s">
        <v>7708</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7855</v>
      </c>
      <c r="B857">
        <v>2026</v>
      </c>
      <c r="C857" t="s">
        <v>176</v>
      </c>
      <c r="D857" t="b">
        <f>TRUE()</f>
        <v>1</v>
      </c>
      <c r="E857" t="b">
        <f>COUNTIF(connections!A:A, A857) &gt; 0</f>
        <v>0</v>
      </c>
      <c r="G857" t="s">
        <v>7856</v>
      </c>
      <c r="J857" s="10" t="s">
        <v>7857</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25"/>
  <sheetViews>
    <sheetView topLeftCell="A1381" zoomScaleNormal="100" workbookViewId="0">
      <selection activeCell="B1426" sqref="B142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2976</v>
      </c>
      <c r="B1" t="s">
        <v>2977</v>
      </c>
      <c r="C1" t="s">
        <v>2978</v>
      </c>
      <c r="D1" t="s">
        <v>2979</v>
      </c>
      <c r="E1" t="s">
        <v>2980</v>
      </c>
    </row>
    <row r="2" spans="1:5" x14ac:dyDescent="0.25">
      <c r="A2" t="s">
        <v>178</v>
      </c>
      <c r="B2" t="s">
        <v>337</v>
      </c>
      <c r="C2">
        <v>2010</v>
      </c>
      <c r="D2" t="s">
        <v>187</v>
      </c>
    </row>
    <row r="3" spans="1:5" x14ac:dyDescent="0.25">
      <c r="A3" t="s">
        <v>178</v>
      </c>
      <c r="B3" t="s">
        <v>2039</v>
      </c>
      <c r="C3">
        <v>2010</v>
      </c>
      <c r="E3" t="s">
        <v>2981</v>
      </c>
    </row>
    <row r="4" spans="1:5" x14ac:dyDescent="0.25">
      <c r="A4" t="s">
        <v>185</v>
      </c>
      <c r="B4" t="s">
        <v>889</v>
      </c>
      <c r="C4">
        <v>2022</v>
      </c>
      <c r="E4" t="s">
        <v>2982</v>
      </c>
    </row>
    <row r="5" spans="1:5" x14ac:dyDescent="0.25">
      <c r="A5" t="s">
        <v>185</v>
      </c>
      <c r="B5" t="s">
        <v>7656</v>
      </c>
      <c r="C5">
        <v>2022</v>
      </c>
      <c r="E5" t="s">
        <v>7659</v>
      </c>
    </row>
    <row r="6" spans="1:5" x14ac:dyDescent="0.25">
      <c r="A6" t="s">
        <v>185</v>
      </c>
      <c r="B6" t="s">
        <v>2158</v>
      </c>
      <c r="C6">
        <v>2022</v>
      </c>
      <c r="E6" t="s">
        <v>2983</v>
      </c>
    </row>
    <row r="7" spans="1:5" x14ac:dyDescent="0.25">
      <c r="A7" t="s">
        <v>190</v>
      </c>
      <c r="B7" t="s">
        <v>194</v>
      </c>
      <c r="C7">
        <v>2017</v>
      </c>
      <c r="D7" t="s">
        <v>187</v>
      </c>
    </row>
    <row r="8" spans="1:5" x14ac:dyDescent="0.25">
      <c r="A8" t="s">
        <v>205</v>
      </c>
      <c r="B8" t="s">
        <v>202</v>
      </c>
      <c r="C8">
        <v>2015</v>
      </c>
      <c r="D8" t="s">
        <v>187</v>
      </c>
    </row>
    <row r="9" spans="1:5" x14ac:dyDescent="0.25">
      <c r="A9" t="s">
        <v>209</v>
      </c>
      <c r="B9" t="s">
        <v>2695</v>
      </c>
      <c r="C9">
        <v>2024</v>
      </c>
      <c r="E9" t="s">
        <v>2984</v>
      </c>
    </row>
    <row r="10" spans="1:5" x14ac:dyDescent="0.25">
      <c r="A10" t="s">
        <v>237</v>
      </c>
      <c r="B10" t="s">
        <v>2667</v>
      </c>
      <c r="C10">
        <v>2021</v>
      </c>
      <c r="E10" t="s">
        <v>2985</v>
      </c>
    </row>
    <row r="11" spans="1:5" x14ac:dyDescent="0.25">
      <c r="A11" t="s">
        <v>241</v>
      </c>
      <c r="B11" t="s">
        <v>1704</v>
      </c>
      <c r="C11">
        <v>2025</v>
      </c>
      <c r="E11" t="s">
        <v>2986</v>
      </c>
    </row>
    <row r="12" spans="1:5" x14ac:dyDescent="0.25">
      <c r="A12" t="s">
        <v>256</v>
      </c>
      <c r="B12" t="s">
        <v>553</v>
      </c>
      <c r="C12">
        <v>1994</v>
      </c>
    </row>
    <row r="13" spans="1:5" x14ac:dyDescent="0.25">
      <c r="A13" t="s">
        <v>256</v>
      </c>
      <c r="B13" t="s">
        <v>656</v>
      </c>
      <c r="C13">
        <v>1994</v>
      </c>
      <c r="E13" t="s">
        <v>2987</v>
      </c>
    </row>
    <row r="14" spans="1:5" x14ac:dyDescent="0.25">
      <c r="A14" t="s">
        <v>256</v>
      </c>
      <c r="B14" t="s">
        <v>984</v>
      </c>
      <c r="C14">
        <v>1994</v>
      </c>
      <c r="E14" t="s">
        <v>2988</v>
      </c>
    </row>
    <row r="15" spans="1:5" x14ac:dyDescent="0.25">
      <c r="A15" t="s">
        <v>256</v>
      </c>
      <c r="B15" t="s">
        <v>1027</v>
      </c>
      <c r="C15">
        <v>1994</v>
      </c>
    </row>
    <row r="16" spans="1:5" x14ac:dyDescent="0.25">
      <c r="A16" t="s">
        <v>256</v>
      </c>
      <c r="B16" t="s">
        <v>1141</v>
      </c>
      <c r="C16">
        <v>1994</v>
      </c>
      <c r="E16" t="s">
        <v>2989</v>
      </c>
    </row>
    <row r="17" spans="1:5" x14ac:dyDescent="0.25">
      <c r="A17" t="s">
        <v>256</v>
      </c>
      <c r="B17" t="s">
        <v>1177</v>
      </c>
      <c r="C17">
        <v>1994</v>
      </c>
      <c r="E17" t="s">
        <v>2990</v>
      </c>
    </row>
    <row r="18" spans="1:5" x14ac:dyDescent="0.25">
      <c r="A18" t="s">
        <v>256</v>
      </c>
      <c r="B18" t="s">
        <v>1400</v>
      </c>
      <c r="C18">
        <v>1994</v>
      </c>
      <c r="E18" t="s">
        <v>2991</v>
      </c>
    </row>
    <row r="19" spans="1:5" x14ac:dyDescent="0.25">
      <c r="A19" t="s">
        <v>256</v>
      </c>
      <c r="B19" t="s">
        <v>1420</v>
      </c>
      <c r="C19">
        <v>1994</v>
      </c>
      <c r="E19" t="s">
        <v>2992</v>
      </c>
    </row>
    <row r="20" spans="1:5" x14ac:dyDescent="0.25">
      <c r="A20" t="s">
        <v>256</v>
      </c>
      <c r="B20" t="s">
        <v>1482</v>
      </c>
      <c r="C20">
        <v>1994</v>
      </c>
      <c r="E20" t="s">
        <v>2982</v>
      </c>
    </row>
    <row r="21" spans="1:5" x14ac:dyDescent="0.25">
      <c r="A21" t="s">
        <v>256</v>
      </c>
      <c r="B21" t="s">
        <v>1520</v>
      </c>
      <c r="C21">
        <v>1994</v>
      </c>
      <c r="E21" t="s">
        <v>2993</v>
      </c>
    </row>
    <row r="22" spans="1:5" x14ac:dyDescent="0.25">
      <c r="A22" t="s">
        <v>256</v>
      </c>
      <c r="B22" t="s">
        <v>1719</v>
      </c>
      <c r="C22">
        <v>1994</v>
      </c>
      <c r="E22" t="s">
        <v>2982</v>
      </c>
    </row>
    <row r="23" spans="1:5" x14ac:dyDescent="0.25">
      <c r="A23" t="s">
        <v>256</v>
      </c>
      <c r="B23" t="s">
        <v>2023</v>
      </c>
      <c r="C23">
        <v>1994</v>
      </c>
      <c r="E23" t="s">
        <v>2994</v>
      </c>
    </row>
    <row r="24" spans="1:5" x14ac:dyDescent="0.25">
      <c r="A24" t="s">
        <v>256</v>
      </c>
      <c r="B24" t="s">
        <v>2160</v>
      </c>
      <c r="C24">
        <v>1994</v>
      </c>
      <c r="E24" t="s">
        <v>2995</v>
      </c>
    </row>
    <row r="25" spans="1:5" x14ac:dyDescent="0.25">
      <c r="A25" t="s">
        <v>256</v>
      </c>
      <c r="B25" t="s">
        <v>2276</v>
      </c>
      <c r="C25">
        <v>1994</v>
      </c>
      <c r="E25" t="s">
        <v>2996</v>
      </c>
    </row>
    <row r="26" spans="1:5" x14ac:dyDescent="0.25">
      <c r="A26" t="s">
        <v>256</v>
      </c>
      <c r="B26" t="s">
        <v>2393</v>
      </c>
      <c r="C26">
        <v>1994</v>
      </c>
      <c r="E26" t="s">
        <v>2997</v>
      </c>
    </row>
    <row r="27" spans="1:5" x14ac:dyDescent="0.25">
      <c r="A27" t="s">
        <v>256</v>
      </c>
      <c r="B27" t="s">
        <v>2447</v>
      </c>
      <c r="C27">
        <v>1994</v>
      </c>
      <c r="E27" t="s">
        <v>2998</v>
      </c>
    </row>
    <row r="28" spans="1:5" x14ac:dyDescent="0.25">
      <c r="A28" t="s">
        <v>256</v>
      </c>
      <c r="B28" t="s">
        <v>2481</v>
      </c>
      <c r="C28">
        <v>1994</v>
      </c>
      <c r="E28" t="s">
        <v>2999</v>
      </c>
    </row>
    <row r="29" spans="1:5" x14ac:dyDescent="0.25">
      <c r="A29" t="s">
        <v>256</v>
      </c>
      <c r="B29" t="s">
        <v>2771</v>
      </c>
      <c r="C29">
        <v>1994</v>
      </c>
    </row>
    <row r="30" spans="1:5" x14ac:dyDescent="0.25">
      <c r="A30" t="s">
        <v>260</v>
      </c>
      <c r="B30" t="s">
        <v>517</v>
      </c>
      <c r="C30">
        <v>1990</v>
      </c>
      <c r="E30" t="s">
        <v>3000</v>
      </c>
    </row>
    <row r="31" spans="1:5" x14ac:dyDescent="0.25">
      <c r="A31" t="s">
        <v>260</v>
      </c>
      <c r="B31" t="s">
        <v>656</v>
      </c>
      <c r="C31">
        <v>1990</v>
      </c>
      <c r="E31" t="s">
        <v>3001</v>
      </c>
    </row>
    <row r="32" spans="1:5" x14ac:dyDescent="0.25">
      <c r="A32" t="s">
        <v>260</v>
      </c>
      <c r="B32" t="s">
        <v>847</v>
      </c>
      <c r="C32">
        <v>1990</v>
      </c>
      <c r="E32" t="s">
        <v>3002</v>
      </c>
    </row>
    <row r="33" spans="1:5" x14ac:dyDescent="0.25">
      <c r="A33" t="s">
        <v>260</v>
      </c>
      <c r="B33" t="s">
        <v>984</v>
      </c>
      <c r="C33">
        <v>1990</v>
      </c>
      <c r="E33" t="s">
        <v>2988</v>
      </c>
    </row>
    <row r="34" spans="1:5" x14ac:dyDescent="0.25">
      <c r="A34" t="s">
        <v>260</v>
      </c>
      <c r="B34" t="s">
        <v>1027</v>
      </c>
      <c r="C34">
        <v>1990</v>
      </c>
    </row>
    <row r="35" spans="1:5" x14ac:dyDescent="0.25">
      <c r="A35" t="s">
        <v>260</v>
      </c>
      <c r="B35" t="s">
        <v>1420</v>
      </c>
      <c r="C35">
        <v>1990</v>
      </c>
      <c r="E35" t="s">
        <v>2992</v>
      </c>
    </row>
    <row r="36" spans="1:5" x14ac:dyDescent="0.25">
      <c r="A36" t="s">
        <v>260</v>
      </c>
      <c r="B36" t="s">
        <v>1425</v>
      </c>
      <c r="C36">
        <v>1990</v>
      </c>
      <c r="E36" t="s">
        <v>2982</v>
      </c>
    </row>
    <row r="37" spans="1:5" x14ac:dyDescent="0.25">
      <c r="A37" t="s">
        <v>260</v>
      </c>
      <c r="B37" t="s">
        <v>1520</v>
      </c>
      <c r="C37">
        <v>1990</v>
      </c>
      <c r="E37" t="s">
        <v>2993</v>
      </c>
    </row>
    <row r="38" spans="1:5" x14ac:dyDescent="0.25">
      <c r="A38" t="s">
        <v>260</v>
      </c>
      <c r="B38" t="s">
        <v>2023</v>
      </c>
      <c r="C38">
        <v>1990</v>
      </c>
      <c r="E38" t="s">
        <v>2994</v>
      </c>
    </row>
    <row r="39" spans="1:5" x14ac:dyDescent="0.25">
      <c r="A39" t="s">
        <v>260</v>
      </c>
      <c r="B39" t="s">
        <v>2330</v>
      </c>
      <c r="C39">
        <v>1990</v>
      </c>
      <c r="E39" t="s">
        <v>3003</v>
      </c>
    </row>
    <row r="40" spans="1:5" x14ac:dyDescent="0.25">
      <c r="A40" t="s">
        <v>260</v>
      </c>
      <c r="B40" t="s">
        <v>2634</v>
      </c>
      <c r="C40">
        <v>1990</v>
      </c>
      <c r="E40" t="s">
        <v>3004</v>
      </c>
    </row>
    <row r="41" spans="1:5" x14ac:dyDescent="0.25">
      <c r="A41" t="s">
        <v>260</v>
      </c>
      <c r="B41" t="s">
        <v>2947</v>
      </c>
      <c r="C41">
        <v>1990</v>
      </c>
      <c r="E41" t="s">
        <v>3005</v>
      </c>
    </row>
    <row r="42" spans="1:5" x14ac:dyDescent="0.25">
      <c r="A42" t="s">
        <v>260</v>
      </c>
      <c r="B42" t="s">
        <v>2962</v>
      </c>
      <c r="C42">
        <v>1990</v>
      </c>
      <c r="E42" t="s">
        <v>3006</v>
      </c>
    </row>
    <row r="43" spans="1:5" x14ac:dyDescent="0.25">
      <c r="A43" t="s">
        <v>260</v>
      </c>
      <c r="B43" t="s">
        <v>2972</v>
      </c>
      <c r="C43">
        <v>1990</v>
      </c>
      <c r="E43" t="s">
        <v>2982</v>
      </c>
    </row>
    <row r="44" spans="1:5" x14ac:dyDescent="0.25">
      <c r="A44" t="s">
        <v>263</v>
      </c>
      <c r="B44" t="s">
        <v>268</v>
      </c>
      <c r="C44">
        <v>2022</v>
      </c>
      <c r="D44" t="s">
        <v>187</v>
      </c>
    </row>
    <row r="45" spans="1:5" x14ac:dyDescent="0.25">
      <c r="A45" t="s">
        <v>323</v>
      </c>
      <c r="B45" t="s">
        <v>2643</v>
      </c>
      <c r="C45">
        <v>2020</v>
      </c>
      <c r="E45" t="s">
        <v>3007</v>
      </c>
    </row>
    <row r="46" spans="1:5" x14ac:dyDescent="0.25">
      <c r="A46" t="s">
        <v>333</v>
      </c>
      <c r="B46" t="s">
        <v>1958</v>
      </c>
      <c r="C46">
        <v>2020</v>
      </c>
      <c r="E46" t="s">
        <v>1961</v>
      </c>
    </row>
    <row r="47" spans="1:5" x14ac:dyDescent="0.25">
      <c r="A47" t="s">
        <v>337</v>
      </c>
      <c r="B47" t="s">
        <v>2049</v>
      </c>
      <c r="C47">
        <v>2014</v>
      </c>
      <c r="E47" t="s">
        <v>3008</v>
      </c>
    </row>
    <row r="48" spans="1:5" x14ac:dyDescent="0.25">
      <c r="A48" t="s">
        <v>341</v>
      </c>
      <c r="B48" t="s">
        <v>1317</v>
      </c>
      <c r="C48">
        <v>1997</v>
      </c>
      <c r="E48" t="s">
        <v>3009</v>
      </c>
    </row>
    <row r="49" spans="1:5" x14ac:dyDescent="0.25">
      <c r="A49" t="s">
        <v>341</v>
      </c>
      <c r="B49" t="s">
        <v>2537</v>
      </c>
      <c r="C49">
        <v>1997</v>
      </c>
      <c r="E49" t="s">
        <v>3010</v>
      </c>
    </row>
    <row r="50" spans="1:5" x14ac:dyDescent="0.25">
      <c r="A50" t="s">
        <v>341</v>
      </c>
      <c r="B50" t="s">
        <v>2587</v>
      </c>
      <c r="C50">
        <v>1997</v>
      </c>
      <c r="D50" t="s">
        <v>187</v>
      </c>
    </row>
    <row r="51" spans="1:5" x14ac:dyDescent="0.25">
      <c r="A51" t="s">
        <v>344</v>
      </c>
      <c r="B51" t="s">
        <v>1330</v>
      </c>
      <c r="C51">
        <v>2023</v>
      </c>
      <c r="E51" t="s">
        <v>2982</v>
      </c>
    </row>
    <row r="52" spans="1:5" x14ac:dyDescent="0.25">
      <c r="A52" t="s">
        <v>344</v>
      </c>
      <c r="B52" t="s">
        <v>1503</v>
      </c>
      <c r="C52">
        <v>2023</v>
      </c>
      <c r="E52" t="s">
        <v>3011</v>
      </c>
    </row>
    <row r="53" spans="1:5" x14ac:dyDescent="0.25">
      <c r="A53" t="s">
        <v>344</v>
      </c>
      <c r="B53" t="s">
        <v>1559</v>
      </c>
      <c r="C53">
        <v>2023</v>
      </c>
      <c r="E53" t="s">
        <v>3012</v>
      </c>
    </row>
    <row r="54" spans="1:5" x14ac:dyDescent="0.25">
      <c r="A54" t="s">
        <v>344</v>
      </c>
      <c r="B54" t="s">
        <v>1863</v>
      </c>
      <c r="C54">
        <v>2023</v>
      </c>
      <c r="E54" t="s">
        <v>2982</v>
      </c>
    </row>
    <row r="55" spans="1:5" x14ac:dyDescent="0.25">
      <c r="A55" t="s">
        <v>344</v>
      </c>
      <c r="B55" t="s">
        <v>2695</v>
      </c>
      <c r="C55">
        <v>2023</v>
      </c>
      <c r="E55" t="s">
        <v>2984</v>
      </c>
    </row>
    <row r="56" spans="1:5" x14ac:dyDescent="0.25">
      <c r="A56" t="s">
        <v>344</v>
      </c>
      <c r="B56" t="s">
        <v>2755</v>
      </c>
      <c r="C56">
        <v>2023</v>
      </c>
      <c r="E56" t="s">
        <v>3013</v>
      </c>
    </row>
    <row r="57" spans="1:5" x14ac:dyDescent="0.25">
      <c r="A57" t="s">
        <v>344</v>
      </c>
      <c r="B57" t="s">
        <v>2763</v>
      </c>
      <c r="C57">
        <v>2023</v>
      </c>
      <c r="E57" t="s">
        <v>3014</v>
      </c>
    </row>
    <row r="58" spans="1:5" x14ac:dyDescent="0.25">
      <c r="A58" t="s">
        <v>346</v>
      </c>
      <c r="B58" t="s">
        <v>344</v>
      </c>
      <c r="C58">
        <v>2022</v>
      </c>
      <c r="E58" t="s">
        <v>3015</v>
      </c>
    </row>
    <row r="59" spans="1:5" x14ac:dyDescent="0.25">
      <c r="A59" t="s">
        <v>346</v>
      </c>
      <c r="B59" t="s">
        <v>372</v>
      </c>
      <c r="C59">
        <v>2022</v>
      </c>
      <c r="E59" t="s">
        <v>3016</v>
      </c>
    </row>
    <row r="60" spans="1:5" x14ac:dyDescent="0.25">
      <c r="A60" t="s">
        <v>346</v>
      </c>
      <c r="B60" t="s">
        <v>1711</v>
      </c>
      <c r="C60">
        <v>2022</v>
      </c>
      <c r="D60" t="s">
        <v>187</v>
      </c>
    </row>
    <row r="61" spans="1:5" x14ac:dyDescent="0.25">
      <c r="A61" t="s">
        <v>346</v>
      </c>
      <c r="B61" t="s">
        <v>2187</v>
      </c>
      <c r="C61">
        <v>2022</v>
      </c>
      <c r="E61" t="s">
        <v>3017</v>
      </c>
    </row>
    <row r="62" spans="1:5" x14ac:dyDescent="0.25">
      <c r="A62" t="s">
        <v>346</v>
      </c>
      <c r="B62" t="s">
        <v>2431</v>
      </c>
      <c r="C62">
        <v>2022</v>
      </c>
      <c r="E62" t="s">
        <v>2982</v>
      </c>
    </row>
    <row r="63" spans="1:5" x14ac:dyDescent="0.25">
      <c r="A63" t="s">
        <v>350</v>
      </c>
      <c r="B63" t="s">
        <v>2560</v>
      </c>
      <c r="C63">
        <v>2018</v>
      </c>
      <c r="E63" t="s">
        <v>2982</v>
      </c>
    </row>
    <row r="64" spans="1:5" x14ac:dyDescent="0.25">
      <c r="A64" t="s">
        <v>350</v>
      </c>
      <c r="B64" t="s">
        <v>7855</v>
      </c>
      <c r="C64">
        <v>2018</v>
      </c>
      <c r="E64" t="s">
        <v>7858</v>
      </c>
    </row>
    <row r="65" spans="1:5" x14ac:dyDescent="0.25">
      <c r="A65" t="s">
        <v>353</v>
      </c>
      <c r="B65" t="s">
        <v>270</v>
      </c>
      <c r="C65">
        <v>2023</v>
      </c>
      <c r="E65" s="10" t="s">
        <v>8372</v>
      </c>
    </row>
    <row r="66" spans="1:5" x14ac:dyDescent="0.25">
      <c r="A66" t="s">
        <v>353</v>
      </c>
      <c r="B66" t="s">
        <v>391</v>
      </c>
      <c r="C66">
        <v>2023</v>
      </c>
      <c r="E66" t="s">
        <v>3018</v>
      </c>
    </row>
    <row r="67" spans="1:5" x14ac:dyDescent="0.25">
      <c r="A67" t="s">
        <v>353</v>
      </c>
      <c r="B67" t="s">
        <v>419</v>
      </c>
      <c r="C67">
        <v>2023</v>
      </c>
      <c r="E67" t="s">
        <v>3019</v>
      </c>
    </row>
    <row r="68" spans="1:5" x14ac:dyDescent="0.25">
      <c r="A68" t="s">
        <v>353</v>
      </c>
      <c r="B68" t="s">
        <v>421</v>
      </c>
      <c r="C68">
        <v>2023</v>
      </c>
      <c r="E68" t="s">
        <v>2982</v>
      </c>
    </row>
    <row r="69" spans="1:5" x14ac:dyDescent="0.25">
      <c r="A69" t="s">
        <v>353</v>
      </c>
      <c r="B69" t="s">
        <v>428</v>
      </c>
      <c r="C69">
        <v>2023</v>
      </c>
      <c r="E69" t="s">
        <v>3020</v>
      </c>
    </row>
    <row r="70" spans="1:5" x14ac:dyDescent="0.25">
      <c r="A70" t="s">
        <v>353</v>
      </c>
      <c r="B70" t="s">
        <v>543</v>
      </c>
      <c r="C70">
        <v>2023</v>
      </c>
      <c r="E70" t="s">
        <v>3021</v>
      </c>
    </row>
    <row r="71" spans="1:5" x14ac:dyDescent="0.25">
      <c r="A71" t="s">
        <v>353</v>
      </c>
      <c r="B71" t="s">
        <v>595</v>
      </c>
      <c r="C71">
        <v>2023</v>
      </c>
      <c r="E71" t="s">
        <v>3022</v>
      </c>
    </row>
    <row r="72" spans="1:5" x14ac:dyDescent="0.25">
      <c r="A72" t="s">
        <v>353</v>
      </c>
      <c r="B72" t="s">
        <v>606</v>
      </c>
      <c r="C72">
        <v>2023</v>
      </c>
      <c r="E72" t="s">
        <v>609</v>
      </c>
    </row>
    <row r="73" spans="1:5" x14ac:dyDescent="0.25">
      <c r="A73" t="s">
        <v>353</v>
      </c>
      <c r="B73" t="s">
        <v>613</v>
      </c>
      <c r="C73">
        <v>2023</v>
      </c>
      <c r="E73" t="s">
        <v>3023</v>
      </c>
    </row>
    <row r="74" spans="1:5" x14ac:dyDescent="0.25">
      <c r="A74" t="s">
        <v>353</v>
      </c>
      <c r="B74" t="s">
        <v>7655</v>
      </c>
      <c r="C74">
        <v>2023</v>
      </c>
      <c r="E74" t="s">
        <v>7651</v>
      </c>
    </row>
    <row r="75" spans="1:5" x14ac:dyDescent="0.25">
      <c r="A75" t="s">
        <v>353</v>
      </c>
      <c r="B75" t="s">
        <v>671</v>
      </c>
      <c r="C75">
        <v>2023</v>
      </c>
      <c r="E75" t="s">
        <v>2982</v>
      </c>
    </row>
    <row r="76" spans="1:5" x14ac:dyDescent="0.25">
      <c r="A76" t="s">
        <v>353</v>
      </c>
      <c r="B76" t="s">
        <v>706</v>
      </c>
      <c r="C76">
        <v>2023</v>
      </c>
      <c r="E76" t="s">
        <v>3024</v>
      </c>
    </row>
    <row r="77" spans="1:5" x14ac:dyDescent="0.25">
      <c r="A77" t="s">
        <v>353</v>
      </c>
      <c r="B77" t="s">
        <v>730</v>
      </c>
      <c r="C77">
        <v>2023</v>
      </c>
      <c r="E77" t="s">
        <v>3025</v>
      </c>
    </row>
    <row r="78" spans="1:5" x14ac:dyDescent="0.25">
      <c r="A78" t="s">
        <v>353</v>
      </c>
      <c r="B78" t="s">
        <v>767</v>
      </c>
      <c r="C78">
        <v>2023</v>
      </c>
      <c r="E78" t="s">
        <v>3026</v>
      </c>
    </row>
    <row r="79" spans="1:5" x14ac:dyDescent="0.25">
      <c r="A79" t="s">
        <v>353</v>
      </c>
      <c r="B79" t="s">
        <v>854</v>
      </c>
      <c r="C79">
        <v>2023</v>
      </c>
      <c r="E79" t="s">
        <v>3013</v>
      </c>
    </row>
    <row r="80" spans="1:5" x14ac:dyDescent="0.25">
      <c r="A80" t="s">
        <v>353</v>
      </c>
      <c r="B80" t="s">
        <v>863</v>
      </c>
      <c r="C80">
        <v>2023</v>
      </c>
      <c r="E80" t="s">
        <v>3027</v>
      </c>
    </row>
    <row r="81" spans="1:5" x14ac:dyDescent="0.25">
      <c r="A81" t="s">
        <v>353</v>
      </c>
      <c r="B81" t="s">
        <v>900</v>
      </c>
      <c r="C81">
        <v>2023</v>
      </c>
      <c r="E81" t="s">
        <v>3028</v>
      </c>
    </row>
    <row r="82" spans="1:5" x14ac:dyDescent="0.25">
      <c r="A82" t="s">
        <v>353</v>
      </c>
      <c r="B82" t="s">
        <v>7995</v>
      </c>
      <c r="C82">
        <v>2023</v>
      </c>
      <c r="E82" s="10" t="s">
        <v>7994</v>
      </c>
    </row>
    <row r="83" spans="1:5" x14ac:dyDescent="0.25">
      <c r="A83" t="s">
        <v>353</v>
      </c>
      <c r="B83" t="s">
        <v>7995</v>
      </c>
      <c r="C83">
        <v>2023</v>
      </c>
      <c r="E83" s="10" t="s">
        <v>7994</v>
      </c>
    </row>
    <row r="84" spans="1:5" x14ac:dyDescent="0.25">
      <c r="A84" t="s">
        <v>353</v>
      </c>
      <c r="B84" t="s">
        <v>954</v>
      </c>
      <c r="C84">
        <v>2023</v>
      </c>
      <c r="E84" t="s">
        <v>2982</v>
      </c>
    </row>
    <row r="85" spans="1:5" x14ac:dyDescent="0.25">
      <c r="A85" t="s">
        <v>353</v>
      </c>
      <c r="B85" t="s">
        <v>958</v>
      </c>
      <c r="C85">
        <v>2023</v>
      </c>
      <c r="E85" t="s">
        <v>3029</v>
      </c>
    </row>
    <row r="86" spans="1:5" x14ac:dyDescent="0.25">
      <c r="A86" t="s">
        <v>353</v>
      </c>
      <c r="B86" t="s">
        <v>1163</v>
      </c>
      <c r="C86">
        <v>2023</v>
      </c>
      <c r="E86" t="s">
        <v>3030</v>
      </c>
    </row>
    <row r="87" spans="1:5" x14ac:dyDescent="0.25">
      <c r="A87" t="s">
        <v>353</v>
      </c>
      <c r="B87" t="s">
        <v>1391</v>
      </c>
      <c r="C87">
        <v>2023</v>
      </c>
      <c r="E87" t="s">
        <v>3031</v>
      </c>
    </row>
    <row r="88" spans="1:5" x14ac:dyDescent="0.25">
      <c r="A88" t="s">
        <v>353</v>
      </c>
      <c r="B88" t="s">
        <v>1394</v>
      </c>
      <c r="C88">
        <v>2023</v>
      </c>
      <c r="E88" t="s">
        <v>3032</v>
      </c>
    </row>
    <row r="89" spans="1:5" x14ac:dyDescent="0.25">
      <c r="A89" t="s">
        <v>353</v>
      </c>
      <c r="B89" t="s">
        <v>7999</v>
      </c>
      <c r="C89">
        <v>2023</v>
      </c>
      <c r="E89" s="10" t="s">
        <v>7998</v>
      </c>
    </row>
    <row r="90" spans="1:5" x14ac:dyDescent="0.25">
      <c r="A90" t="s">
        <v>353</v>
      </c>
      <c r="B90" t="s">
        <v>7999</v>
      </c>
      <c r="C90">
        <v>2023</v>
      </c>
      <c r="E90" s="10" t="s">
        <v>7998</v>
      </c>
    </row>
    <row r="91" spans="1:5" x14ac:dyDescent="0.25">
      <c r="A91" t="s">
        <v>353</v>
      </c>
      <c r="B91" t="s">
        <v>8003</v>
      </c>
      <c r="C91">
        <v>2023</v>
      </c>
      <c r="E91" s="10" t="s">
        <v>8002</v>
      </c>
    </row>
    <row r="92" spans="1:5" x14ac:dyDescent="0.25">
      <c r="A92" t="s">
        <v>353</v>
      </c>
      <c r="B92" t="s">
        <v>8003</v>
      </c>
      <c r="C92">
        <v>2023</v>
      </c>
      <c r="E92" s="10" t="s">
        <v>8002</v>
      </c>
    </row>
    <row r="93" spans="1:5" x14ac:dyDescent="0.25">
      <c r="A93" t="s">
        <v>353</v>
      </c>
      <c r="B93" t="s">
        <v>1559</v>
      </c>
      <c r="C93">
        <v>2023</v>
      </c>
      <c r="E93" t="s">
        <v>3012</v>
      </c>
    </row>
    <row r="94" spans="1:5" x14ac:dyDescent="0.25">
      <c r="A94" t="s">
        <v>353</v>
      </c>
      <c r="B94" t="s">
        <v>1584</v>
      </c>
      <c r="C94">
        <v>2023</v>
      </c>
      <c r="E94" t="s">
        <v>3033</v>
      </c>
    </row>
    <row r="95" spans="1:5" x14ac:dyDescent="0.25">
      <c r="A95" t="s">
        <v>353</v>
      </c>
      <c r="B95" t="s">
        <v>1631</v>
      </c>
      <c r="C95">
        <v>2023</v>
      </c>
      <c r="E95" t="s">
        <v>3034</v>
      </c>
    </row>
    <row r="96" spans="1:5" x14ac:dyDescent="0.25">
      <c r="A96" t="s">
        <v>353</v>
      </c>
      <c r="B96" t="s">
        <v>1893</v>
      </c>
      <c r="C96">
        <v>2023</v>
      </c>
      <c r="E96" t="s">
        <v>3035</v>
      </c>
    </row>
    <row r="97" spans="1:5" x14ac:dyDescent="0.25">
      <c r="A97" t="s">
        <v>353</v>
      </c>
      <c r="B97" t="s">
        <v>1931</v>
      </c>
      <c r="C97">
        <v>2023</v>
      </c>
      <c r="E97" t="s">
        <v>3036</v>
      </c>
    </row>
    <row r="98" spans="1:5" x14ac:dyDescent="0.25">
      <c r="A98" t="s">
        <v>353</v>
      </c>
      <c r="B98" t="s">
        <v>1955</v>
      </c>
      <c r="C98">
        <v>2023</v>
      </c>
      <c r="E98" t="s">
        <v>3037</v>
      </c>
    </row>
    <row r="99" spans="1:5" x14ac:dyDescent="0.25">
      <c r="A99" t="s">
        <v>353</v>
      </c>
      <c r="B99" t="s">
        <v>1966</v>
      </c>
      <c r="C99">
        <v>2023</v>
      </c>
      <c r="E99" t="s">
        <v>1969</v>
      </c>
    </row>
    <row r="100" spans="1:5" x14ac:dyDescent="0.25">
      <c r="A100" t="s">
        <v>353</v>
      </c>
      <c r="B100" t="s">
        <v>1977</v>
      </c>
      <c r="C100">
        <v>2023</v>
      </c>
      <c r="E100" t="s">
        <v>3013</v>
      </c>
    </row>
    <row r="101" spans="1:5" x14ac:dyDescent="0.25">
      <c r="A101" t="s">
        <v>353</v>
      </c>
      <c r="B101" t="s">
        <v>2045</v>
      </c>
      <c r="C101">
        <v>2023</v>
      </c>
      <c r="E101" t="s">
        <v>3038</v>
      </c>
    </row>
    <row r="102" spans="1:5" x14ac:dyDescent="0.25">
      <c r="A102" t="s">
        <v>353</v>
      </c>
      <c r="B102" t="s">
        <v>2088</v>
      </c>
      <c r="C102">
        <v>2023</v>
      </c>
      <c r="E102" t="s">
        <v>3039</v>
      </c>
    </row>
    <row r="103" spans="1:5" x14ac:dyDescent="0.25">
      <c r="A103" t="s">
        <v>353</v>
      </c>
      <c r="B103" t="s">
        <v>2162</v>
      </c>
      <c r="C103">
        <v>2023</v>
      </c>
      <c r="E103" t="s">
        <v>2982</v>
      </c>
    </row>
    <row r="104" spans="1:5" x14ac:dyDescent="0.25">
      <c r="A104" t="s">
        <v>353</v>
      </c>
      <c r="B104" t="s">
        <v>2202</v>
      </c>
      <c r="C104">
        <v>2023</v>
      </c>
      <c r="E104" t="s">
        <v>3040</v>
      </c>
    </row>
    <row r="105" spans="1:5" x14ac:dyDescent="0.25">
      <c r="A105" t="s">
        <v>353</v>
      </c>
      <c r="B105" t="s">
        <v>2215</v>
      </c>
      <c r="C105">
        <v>2023</v>
      </c>
      <c r="E105" t="s">
        <v>3041</v>
      </c>
    </row>
    <row r="106" spans="1:5" x14ac:dyDescent="0.25">
      <c r="A106" t="s">
        <v>353</v>
      </c>
      <c r="B106" t="s">
        <v>2222</v>
      </c>
      <c r="C106">
        <v>2023</v>
      </c>
      <c r="E106" t="s">
        <v>3042</v>
      </c>
    </row>
    <row r="107" spans="1:5" x14ac:dyDescent="0.25">
      <c r="A107" t="s">
        <v>353</v>
      </c>
      <c r="B107" t="s">
        <v>2232</v>
      </c>
      <c r="C107">
        <v>2023</v>
      </c>
      <c r="E107" t="s">
        <v>3043</v>
      </c>
    </row>
    <row r="108" spans="1:5" x14ac:dyDescent="0.25">
      <c r="A108" t="s">
        <v>353</v>
      </c>
      <c r="B108" t="s">
        <v>2236</v>
      </c>
      <c r="C108">
        <v>2023</v>
      </c>
      <c r="E108" t="s">
        <v>3044</v>
      </c>
    </row>
    <row r="109" spans="1:5" x14ac:dyDescent="0.25">
      <c r="A109" t="s">
        <v>353</v>
      </c>
      <c r="B109" t="s">
        <v>2251</v>
      </c>
      <c r="C109">
        <v>2023</v>
      </c>
      <c r="E109" t="s">
        <v>2982</v>
      </c>
    </row>
    <row r="110" spans="1:5" x14ac:dyDescent="0.25">
      <c r="A110" t="s">
        <v>353</v>
      </c>
      <c r="B110" t="s">
        <v>2344</v>
      </c>
      <c r="C110">
        <v>2023</v>
      </c>
      <c r="E110" t="s">
        <v>3045</v>
      </c>
    </row>
    <row r="111" spans="1:5" x14ac:dyDescent="0.25">
      <c r="A111" t="s">
        <v>353</v>
      </c>
      <c r="B111" t="s">
        <v>2371</v>
      </c>
      <c r="C111">
        <v>2023</v>
      </c>
      <c r="E111" t="s">
        <v>3046</v>
      </c>
    </row>
    <row r="112" spans="1:5" x14ac:dyDescent="0.25">
      <c r="A112" t="s">
        <v>353</v>
      </c>
      <c r="B112" t="s">
        <v>2381</v>
      </c>
      <c r="C112">
        <v>2023</v>
      </c>
      <c r="E112" t="s">
        <v>3047</v>
      </c>
    </row>
    <row r="113" spans="1:5" x14ac:dyDescent="0.25">
      <c r="A113" t="s">
        <v>353</v>
      </c>
      <c r="B113" t="s">
        <v>2385</v>
      </c>
      <c r="C113">
        <v>2023</v>
      </c>
      <c r="E113" t="s">
        <v>3048</v>
      </c>
    </row>
    <row r="114" spans="1:5" x14ac:dyDescent="0.25">
      <c r="A114" t="s">
        <v>353</v>
      </c>
      <c r="B114" t="s">
        <v>2455</v>
      </c>
      <c r="C114">
        <v>2023</v>
      </c>
      <c r="E114" t="s">
        <v>3013</v>
      </c>
    </row>
    <row r="115" spans="1:5" x14ac:dyDescent="0.25">
      <c r="A115" t="s">
        <v>353</v>
      </c>
      <c r="B115" t="s">
        <v>2475</v>
      </c>
      <c r="C115">
        <v>2023</v>
      </c>
      <c r="E115" t="s">
        <v>3049</v>
      </c>
    </row>
    <row r="116" spans="1:5" x14ac:dyDescent="0.25">
      <c r="A116" t="s">
        <v>353</v>
      </c>
      <c r="B116" t="s">
        <v>7940</v>
      </c>
      <c r="C116">
        <v>2023</v>
      </c>
      <c r="E116" t="s">
        <v>2982</v>
      </c>
    </row>
    <row r="117" spans="1:5" x14ac:dyDescent="0.25">
      <c r="A117" t="s">
        <v>353</v>
      </c>
      <c r="B117" t="s">
        <v>2667</v>
      </c>
      <c r="C117">
        <v>2023</v>
      </c>
      <c r="E117" t="s">
        <v>2985</v>
      </c>
    </row>
    <row r="118" spans="1:5" x14ac:dyDescent="0.25">
      <c r="A118" t="s">
        <v>353</v>
      </c>
      <c r="B118" t="s">
        <v>2686</v>
      </c>
      <c r="C118">
        <v>2023</v>
      </c>
      <c r="E118" t="s">
        <v>3050</v>
      </c>
    </row>
    <row r="119" spans="1:5" x14ac:dyDescent="0.25">
      <c r="A119" t="s">
        <v>353</v>
      </c>
      <c r="B119" t="s">
        <v>7709</v>
      </c>
      <c r="C119">
        <v>2023</v>
      </c>
      <c r="E119" t="s">
        <v>7708</v>
      </c>
    </row>
    <row r="120" spans="1:5" x14ac:dyDescent="0.25">
      <c r="A120" t="s">
        <v>353</v>
      </c>
      <c r="B120" t="s">
        <v>2918</v>
      </c>
      <c r="C120">
        <v>2023</v>
      </c>
      <c r="E120" t="s">
        <v>3051</v>
      </c>
    </row>
    <row r="121" spans="1:5" x14ac:dyDescent="0.25">
      <c r="A121" t="s">
        <v>353</v>
      </c>
      <c r="B121" t="s">
        <v>2920</v>
      </c>
      <c r="C121">
        <v>2023</v>
      </c>
      <c r="E121" t="s">
        <v>3052</v>
      </c>
    </row>
    <row r="122" spans="1:5" x14ac:dyDescent="0.25">
      <c r="A122" t="s">
        <v>353</v>
      </c>
      <c r="B122" t="s">
        <v>2969</v>
      </c>
      <c r="C122">
        <v>2023</v>
      </c>
      <c r="E122" t="s">
        <v>3053</v>
      </c>
    </row>
    <row r="123" spans="1:5" x14ac:dyDescent="0.25">
      <c r="A123" t="s">
        <v>360</v>
      </c>
      <c r="B123" t="s">
        <v>7656</v>
      </c>
      <c r="C123">
        <v>2025</v>
      </c>
      <c r="E123" t="s">
        <v>7659</v>
      </c>
    </row>
    <row r="124" spans="1:5" x14ac:dyDescent="0.25">
      <c r="A124" t="s">
        <v>364</v>
      </c>
      <c r="B124" t="s">
        <v>1631</v>
      </c>
      <c r="C124">
        <v>2024</v>
      </c>
      <c r="E124" t="s">
        <v>3034</v>
      </c>
    </row>
    <row r="125" spans="1:5" x14ac:dyDescent="0.25">
      <c r="A125" t="s">
        <v>364</v>
      </c>
      <c r="B125" t="s">
        <v>1893</v>
      </c>
      <c r="C125">
        <v>2024</v>
      </c>
      <c r="E125" t="s">
        <v>3035</v>
      </c>
    </row>
    <row r="126" spans="1:5" x14ac:dyDescent="0.25">
      <c r="A126" t="s">
        <v>379</v>
      </c>
      <c r="B126" t="s">
        <v>381</v>
      </c>
      <c r="C126">
        <v>1998</v>
      </c>
      <c r="D126" t="s">
        <v>187</v>
      </c>
    </row>
    <row r="127" spans="1:5" x14ac:dyDescent="0.25">
      <c r="A127" t="s">
        <v>379</v>
      </c>
      <c r="B127" t="s">
        <v>7990</v>
      </c>
      <c r="C127">
        <v>1998</v>
      </c>
      <c r="E127" s="10" t="s">
        <v>7993</v>
      </c>
    </row>
    <row r="128" spans="1:5" x14ac:dyDescent="0.25">
      <c r="A128" t="s">
        <v>379</v>
      </c>
      <c r="B128" t="s">
        <v>7990</v>
      </c>
      <c r="C128">
        <v>1998</v>
      </c>
      <c r="E128" s="10" t="s">
        <v>7993</v>
      </c>
    </row>
    <row r="129" spans="1:5" x14ac:dyDescent="0.25">
      <c r="A129" t="s">
        <v>383</v>
      </c>
      <c r="B129" t="s">
        <v>1526</v>
      </c>
      <c r="C129">
        <v>2017</v>
      </c>
      <c r="E129" t="s">
        <v>3054</v>
      </c>
    </row>
    <row r="130" spans="1:5" x14ac:dyDescent="0.25">
      <c r="A130" t="s">
        <v>383</v>
      </c>
      <c r="B130" t="s">
        <v>2648</v>
      </c>
      <c r="C130">
        <v>2017</v>
      </c>
      <c r="E130" t="s">
        <v>3055</v>
      </c>
    </row>
    <row r="131" spans="1:5" x14ac:dyDescent="0.25">
      <c r="A131" t="s">
        <v>435</v>
      </c>
      <c r="B131" t="s">
        <v>2254</v>
      </c>
      <c r="C131">
        <v>2019</v>
      </c>
      <c r="E131" t="s">
        <v>2982</v>
      </c>
    </row>
    <row r="132" spans="1:5" x14ac:dyDescent="0.25">
      <c r="A132" t="s">
        <v>439</v>
      </c>
      <c r="B132" t="s">
        <v>443</v>
      </c>
      <c r="C132">
        <v>2023</v>
      </c>
      <c r="D132" t="s">
        <v>187</v>
      </c>
    </row>
    <row r="133" spans="1:5" x14ac:dyDescent="0.25">
      <c r="A133" t="s">
        <v>457</v>
      </c>
      <c r="B133" t="s">
        <v>394</v>
      </c>
      <c r="C133">
        <v>2022</v>
      </c>
      <c r="E133" t="s">
        <v>3056</v>
      </c>
    </row>
    <row r="134" spans="1:5" x14ac:dyDescent="0.25">
      <c r="A134" t="s">
        <v>457</v>
      </c>
      <c r="B134" t="s">
        <v>2838</v>
      </c>
      <c r="C134">
        <v>2022</v>
      </c>
      <c r="D134" t="s">
        <v>187</v>
      </c>
    </row>
    <row r="135" spans="1:5" x14ac:dyDescent="0.25">
      <c r="A135" t="s">
        <v>462</v>
      </c>
      <c r="B135" t="s">
        <v>1353</v>
      </c>
      <c r="C135">
        <v>2018</v>
      </c>
      <c r="D135" t="s">
        <v>187</v>
      </c>
      <c r="E135" t="s">
        <v>3057</v>
      </c>
    </row>
    <row r="136" spans="1:5" x14ac:dyDescent="0.25">
      <c r="A136" t="s">
        <v>464</v>
      </c>
      <c r="B136" t="s">
        <v>1376</v>
      </c>
      <c r="C136">
        <v>2022</v>
      </c>
      <c r="D136" t="s">
        <v>187</v>
      </c>
    </row>
    <row r="137" spans="1:5" x14ac:dyDescent="0.25">
      <c r="A137" t="s">
        <v>490</v>
      </c>
      <c r="B137" t="s">
        <v>1050</v>
      </c>
      <c r="C137">
        <v>2009</v>
      </c>
      <c r="E137" t="s">
        <v>3058</v>
      </c>
    </row>
    <row r="138" spans="1:5" x14ac:dyDescent="0.25">
      <c r="A138" t="s">
        <v>490</v>
      </c>
      <c r="B138" t="s">
        <v>1513</v>
      </c>
      <c r="C138">
        <v>2009</v>
      </c>
      <c r="E138" t="s">
        <v>3059</v>
      </c>
    </row>
    <row r="139" spans="1:5" x14ac:dyDescent="0.25">
      <c r="A139" t="s">
        <v>490</v>
      </c>
      <c r="B139" t="s">
        <v>1719</v>
      </c>
      <c r="C139">
        <v>2009</v>
      </c>
      <c r="E139" t="s">
        <v>2982</v>
      </c>
    </row>
    <row r="140" spans="1:5" x14ac:dyDescent="0.25">
      <c r="A140" t="s">
        <v>490</v>
      </c>
      <c r="B140" t="s">
        <v>1970</v>
      </c>
      <c r="C140">
        <v>2009</v>
      </c>
      <c r="E140" t="s">
        <v>3060</v>
      </c>
    </row>
    <row r="141" spans="1:5" x14ac:dyDescent="0.25">
      <c r="A141" t="s">
        <v>490</v>
      </c>
      <c r="B141" t="s">
        <v>2200</v>
      </c>
      <c r="C141">
        <v>2009</v>
      </c>
      <c r="E141" t="s">
        <v>3061</v>
      </c>
    </row>
    <row r="142" spans="1:5" x14ac:dyDescent="0.25">
      <c r="A142" t="s">
        <v>490</v>
      </c>
      <c r="B142" t="s">
        <v>2406</v>
      </c>
      <c r="C142">
        <v>2009</v>
      </c>
      <c r="E142" t="s">
        <v>3062</v>
      </c>
    </row>
    <row r="143" spans="1:5" x14ac:dyDescent="0.25">
      <c r="A143" t="s">
        <v>490</v>
      </c>
      <c r="B143" t="s">
        <v>2788</v>
      </c>
      <c r="C143">
        <v>2009</v>
      </c>
      <c r="E143" t="s">
        <v>3063</v>
      </c>
    </row>
    <row r="144" spans="1:5" x14ac:dyDescent="0.25">
      <c r="A144" t="s">
        <v>490</v>
      </c>
      <c r="B144" t="s">
        <v>2854</v>
      </c>
      <c r="C144">
        <v>2009</v>
      </c>
      <c r="E144" t="s">
        <v>3064</v>
      </c>
    </row>
    <row r="145" spans="1:5" x14ac:dyDescent="0.25">
      <c r="A145" t="s">
        <v>497</v>
      </c>
      <c r="B145" t="s">
        <v>294</v>
      </c>
      <c r="C145">
        <v>2022</v>
      </c>
      <c r="E145" t="s">
        <v>3065</v>
      </c>
    </row>
    <row r="146" spans="1:5" x14ac:dyDescent="0.25">
      <c r="A146" t="s">
        <v>497</v>
      </c>
      <c r="B146" t="s">
        <v>319</v>
      </c>
      <c r="C146">
        <v>2022</v>
      </c>
      <c r="E146" t="s">
        <v>2982</v>
      </c>
    </row>
    <row r="147" spans="1:5" x14ac:dyDescent="0.25">
      <c r="A147" t="s">
        <v>497</v>
      </c>
      <c r="B147" t="s">
        <v>610</v>
      </c>
      <c r="C147">
        <v>2022</v>
      </c>
      <c r="E147" t="s">
        <v>3066</v>
      </c>
    </row>
    <row r="148" spans="1:5" x14ac:dyDescent="0.25">
      <c r="A148" t="s">
        <v>497</v>
      </c>
      <c r="B148" t="s">
        <v>1361</v>
      </c>
      <c r="C148">
        <v>2022</v>
      </c>
      <c r="E148" t="s">
        <v>3067</v>
      </c>
    </row>
    <row r="149" spans="1:5" x14ac:dyDescent="0.25">
      <c r="A149" t="s">
        <v>497</v>
      </c>
      <c r="B149" t="s">
        <v>1391</v>
      </c>
      <c r="C149">
        <v>2022</v>
      </c>
      <c r="E149" t="s">
        <v>2982</v>
      </c>
    </row>
    <row r="150" spans="1:5" x14ac:dyDescent="0.25">
      <c r="A150" t="s">
        <v>497</v>
      </c>
      <c r="B150" t="s">
        <v>1492</v>
      </c>
      <c r="C150">
        <v>2022</v>
      </c>
      <c r="E150" t="s">
        <v>3068</v>
      </c>
    </row>
    <row r="151" spans="1:5" x14ac:dyDescent="0.25">
      <c r="A151" t="s">
        <v>497</v>
      </c>
      <c r="B151" t="s">
        <v>1596</v>
      </c>
      <c r="C151">
        <v>2022</v>
      </c>
      <c r="E151" t="s">
        <v>3069</v>
      </c>
    </row>
    <row r="152" spans="1:5" x14ac:dyDescent="0.25">
      <c r="A152" t="s">
        <v>497</v>
      </c>
      <c r="B152" t="s">
        <v>1825</v>
      </c>
      <c r="C152">
        <v>2022</v>
      </c>
      <c r="E152" t="s">
        <v>1828</v>
      </c>
    </row>
    <row r="153" spans="1:5" x14ac:dyDescent="0.25">
      <c r="A153" t="s">
        <v>497</v>
      </c>
      <c r="B153" t="s">
        <v>8130</v>
      </c>
      <c r="C153">
        <v>2022</v>
      </c>
      <c r="E153" s="10" t="s">
        <v>8138</v>
      </c>
    </row>
    <row r="154" spans="1:5" x14ac:dyDescent="0.25">
      <c r="A154" t="s">
        <v>497</v>
      </c>
      <c r="B154" t="s">
        <v>7656</v>
      </c>
      <c r="C154">
        <v>2022</v>
      </c>
      <c r="E154" t="s">
        <v>7659</v>
      </c>
    </row>
    <row r="155" spans="1:5" x14ac:dyDescent="0.25">
      <c r="A155" t="s">
        <v>497</v>
      </c>
      <c r="B155" t="s">
        <v>1958</v>
      </c>
      <c r="C155">
        <v>2022</v>
      </c>
      <c r="E155" t="s">
        <v>1961</v>
      </c>
    </row>
    <row r="156" spans="1:5" x14ac:dyDescent="0.25">
      <c r="A156" t="s">
        <v>497</v>
      </c>
      <c r="B156" t="s">
        <v>2049</v>
      </c>
      <c r="C156">
        <v>2022</v>
      </c>
      <c r="E156" t="s">
        <v>3008</v>
      </c>
    </row>
    <row r="157" spans="1:5" x14ac:dyDescent="0.25">
      <c r="A157" t="s">
        <v>497</v>
      </c>
      <c r="B157" t="s">
        <v>2283</v>
      </c>
      <c r="C157">
        <v>2022</v>
      </c>
      <c r="E157" t="s">
        <v>3070</v>
      </c>
    </row>
    <row r="158" spans="1:5" x14ac:dyDescent="0.25">
      <c r="A158" t="s">
        <v>497</v>
      </c>
      <c r="B158" t="s">
        <v>2838</v>
      </c>
      <c r="C158">
        <v>2022</v>
      </c>
      <c r="E158" t="s">
        <v>3071</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984</v>
      </c>
      <c r="C162">
        <v>1989</v>
      </c>
      <c r="E162" t="s">
        <v>3072</v>
      </c>
    </row>
    <row r="163" spans="1:5" x14ac:dyDescent="0.25">
      <c r="A163" t="s">
        <v>525</v>
      </c>
      <c r="B163" t="s">
        <v>2962</v>
      </c>
      <c r="C163">
        <v>2005</v>
      </c>
      <c r="E163" t="s">
        <v>3006</v>
      </c>
    </row>
    <row r="164" spans="1:5" x14ac:dyDescent="0.25">
      <c r="A164" t="s">
        <v>531</v>
      </c>
      <c r="B164" t="s">
        <v>534</v>
      </c>
      <c r="C164">
        <v>2010</v>
      </c>
      <c r="E164" t="s">
        <v>3073</v>
      </c>
    </row>
    <row r="165" spans="1:5" x14ac:dyDescent="0.25">
      <c r="A165" t="s">
        <v>531</v>
      </c>
      <c r="B165" t="s">
        <v>536</v>
      </c>
      <c r="C165">
        <v>2010</v>
      </c>
      <c r="E165" t="s">
        <v>3074</v>
      </c>
    </row>
    <row r="166" spans="1:5" x14ac:dyDescent="0.25">
      <c r="A166" t="s">
        <v>536</v>
      </c>
      <c r="B166" t="s">
        <v>538</v>
      </c>
      <c r="C166">
        <v>2013</v>
      </c>
      <c r="D166" t="s">
        <v>187</v>
      </c>
    </row>
    <row r="167" spans="1:5" x14ac:dyDescent="0.25">
      <c r="A167" t="s">
        <v>540</v>
      </c>
      <c r="B167" t="s">
        <v>2077</v>
      </c>
      <c r="C167">
        <v>2015</v>
      </c>
      <c r="E167" t="s">
        <v>3075</v>
      </c>
    </row>
    <row r="168" spans="1:5" x14ac:dyDescent="0.25">
      <c r="A168" t="s">
        <v>549</v>
      </c>
      <c r="B168" t="s">
        <v>2890</v>
      </c>
      <c r="C168">
        <v>2017</v>
      </c>
      <c r="E168" t="s">
        <v>3076</v>
      </c>
    </row>
    <row r="169" spans="1:5" x14ac:dyDescent="0.25">
      <c r="A169" t="s">
        <v>553</v>
      </c>
      <c r="B169" t="s">
        <v>273</v>
      </c>
      <c r="C169">
        <v>2010</v>
      </c>
      <c r="E169" t="s">
        <v>2982</v>
      </c>
    </row>
    <row r="170" spans="1:5" x14ac:dyDescent="0.25">
      <c r="A170" t="s">
        <v>553</v>
      </c>
      <c r="B170" t="s">
        <v>2447</v>
      </c>
      <c r="C170">
        <v>2010</v>
      </c>
      <c r="D170" t="s">
        <v>187</v>
      </c>
    </row>
    <row r="171" spans="1:5" x14ac:dyDescent="0.25">
      <c r="A171" t="s">
        <v>571</v>
      </c>
      <c r="B171" t="s">
        <v>1373</v>
      </c>
      <c r="C171">
        <v>2022</v>
      </c>
      <c r="D171" t="s">
        <v>187</v>
      </c>
    </row>
    <row r="172" spans="1:5" x14ac:dyDescent="0.25">
      <c r="A172" t="s">
        <v>574</v>
      </c>
      <c r="B172" t="s">
        <v>310</v>
      </c>
      <c r="C172">
        <v>2019</v>
      </c>
      <c r="E172" t="s">
        <v>3077</v>
      </c>
    </row>
    <row r="173" spans="1:5" x14ac:dyDescent="0.25">
      <c r="A173" t="s">
        <v>574</v>
      </c>
      <c r="B173" t="s">
        <v>2599</v>
      </c>
      <c r="C173">
        <v>2019</v>
      </c>
      <c r="E173" t="s">
        <v>3078</v>
      </c>
    </row>
    <row r="174" spans="1:5" x14ac:dyDescent="0.25">
      <c r="A174" t="s">
        <v>578</v>
      </c>
      <c r="B174" t="s">
        <v>1093</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909</v>
      </c>
      <c r="C177">
        <v>2025</v>
      </c>
      <c r="E177" t="s">
        <v>2982</v>
      </c>
    </row>
    <row r="178" spans="1:5" x14ac:dyDescent="0.25">
      <c r="A178" t="s">
        <v>606</v>
      </c>
      <c r="B178" t="s">
        <v>7656</v>
      </c>
      <c r="C178">
        <v>2025</v>
      </c>
      <c r="E178" t="s">
        <v>7659</v>
      </c>
    </row>
    <row r="179" spans="1:5" x14ac:dyDescent="0.25">
      <c r="A179" t="s">
        <v>623</v>
      </c>
      <c r="B179" t="s">
        <v>1598</v>
      </c>
      <c r="C179">
        <v>2017</v>
      </c>
      <c r="E179" t="s">
        <v>3079</v>
      </c>
    </row>
    <row r="180" spans="1:5" x14ac:dyDescent="0.25">
      <c r="A180" t="s">
        <v>623</v>
      </c>
      <c r="B180" t="s">
        <v>2623</v>
      </c>
      <c r="C180">
        <v>2017</v>
      </c>
      <c r="E180" t="s">
        <v>3080</v>
      </c>
    </row>
    <row r="181" spans="1:5" x14ac:dyDescent="0.25">
      <c r="A181" t="s">
        <v>643</v>
      </c>
      <c r="B181" t="s">
        <v>403</v>
      </c>
      <c r="C181">
        <v>2020</v>
      </c>
      <c r="D181" t="s">
        <v>187</v>
      </c>
    </row>
    <row r="182" spans="1:5" x14ac:dyDescent="0.25">
      <c r="A182" t="s">
        <v>651</v>
      </c>
      <c r="B182" t="s">
        <v>1875</v>
      </c>
      <c r="C182">
        <v>2023</v>
      </c>
      <c r="E182" t="s">
        <v>3081</v>
      </c>
    </row>
    <row r="183" spans="1:5" x14ac:dyDescent="0.25">
      <c r="A183" t="s">
        <v>651</v>
      </c>
      <c r="B183" t="s">
        <v>2812</v>
      </c>
      <c r="C183">
        <v>2023</v>
      </c>
      <c r="E183" t="s">
        <v>3082</v>
      </c>
    </row>
    <row r="184" spans="1:5" x14ac:dyDescent="0.25">
      <c r="A184" t="s">
        <v>689</v>
      </c>
      <c r="B184" t="s">
        <v>190</v>
      </c>
      <c r="C184">
        <v>2015</v>
      </c>
      <c r="E184" t="s">
        <v>3083</v>
      </c>
    </row>
    <row r="185" spans="1:5" x14ac:dyDescent="0.25">
      <c r="A185" t="s">
        <v>689</v>
      </c>
      <c r="B185" t="s">
        <v>473</v>
      </c>
      <c r="C185">
        <v>2015</v>
      </c>
      <c r="E185" t="s">
        <v>3084</v>
      </c>
    </row>
    <row r="186" spans="1:5" x14ac:dyDescent="0.25">
      <c r="A186" t="s">
        <v>689</v>
      </c>
      <c r="B186" t="s">
        <v>7834</v>
      </c>
      <c r="C186">
        <v>2015</v>
      </c>
      <c r="D186" t="s">
        <v>187</v>
      </c>
    </row>
    <row r="187" spans="1:5" x14ac:dyDescent="0.25">
      <c r="A187" t="s">
        <v>689</v>
      </c>
      <c r="B187" t="s">
        <v>571</v>
      </c>
      <c r="C187">
        <v>2015</v>
      </c>
      <c r="E187" t="s">
        <v>3085</v>
      </c>
    </row>
    <row r="188" spans="1:5" x14ac:dyDescent="0.25">
      <c r="A188" t="s">
        <v>689</v>
      </c>
      <c r="B188" t="s">
        <v>821</v>
      </c>
      <c r="C188">
        <v>2015</v>
      </c>
      <c r="E188" t="s">
        <v>3086</v>
      </c>
    </row>
    <row r="189" spans="1:5" x14ac:dyDescent="0.25">
      <c r="A189" t="s">
        <v>689</v>
      </c>
      <c r="B189" t="s">
        <v>1259</v>
      </c>
      <c r="C189">
        <v>2015</v>
      </c>
      <c r="E189" t="s">
        <v>2982</v>
      </c>
    </row>
    <row r="190" spans="1:5" x14ac:dyDescent="0.25">
      <c r="A190" t="s">
        <v>689</v>
      </c>
      <c r="B190" t="s">
        <v>1400</v>
      </c>
      <c r="C190">
        <v>2015</v>
      </c>
      <c r="E190" t="s">
        <v>2991</v>
      </c>
    </row>
    <row r="191" spans="1:5" x14ac:dyDescent="0.25">
      <c r="A191" t="s">
        <v>689</v>
      </c>
      <c r="B191" t="s">
        <v>1492</v>
      </c>
      <c r="C191">
        <v>2015</v>
      </c>
      <c r="E191" t="s">
        <v>3087</v>
      </c>
    </row>
    <row r="192" spans="1:5" x14ac:dyDescent="0.25">
      <c r="A192" t="s">
        <v>689</v>
      </c>
      <c r="B192" t="s">
        <v>2318</v>
      </c>
      <c r="C192">
        <v>2015</v>
      </c>
      <c r="E192" t="s">
        <v>3088</v>
      </c>
    </row>
    <row r="193" spans="1:5" x14ac:dyDescent="0.25">
      <c r="A193" t="s">
        <v>709</v>
      </c>
      <c r="B193" t="s">
        <v>602</v>
      </c>
      <c r="C193">
        <v>2022</v>
      </c>
      <c r="E193" t="s">
        <v>2982</v>
      </c>
    </row>
    <row r="194" spans="1:5" x14ac:dyDescent="0.25">
      <c r="A194" t="s">
        <v>709</v>
      </c>
      <c r="B194" t="s">
        <v>1166</v>
      </c>
      <c r="C194">
        <v>2022</v>
      </c>
      <c r="E194" t="s">
        <v>3089</v>
      </c>
    </row>
    <row r="195" spans="1:5" x14ac:dyDescent="0.25">
      <c r="A195" t="s">
        <v>717</v>
      </c>
      <c r="B195" t="s">
        <v>2045</v>
      </c>
      <c r="C195">
        <v>2024</v>
      </c>
      <c r="E195" t="s">
        <v>3066</v>
      </c>
    </row>
    <row r="196" spans="1:5" x14ac:dyDescent="0.25">
      <c r="A196" t="s">
        <v>720</v>
      </c>
      <c r="B196" t="s">
        <v>724</v>
      </c>
      <c r="C196">
        <v>2016</v>
      </c>
      <c r="D196" t="s">
        <v>187</v>
      </c>
      <c r="E196" t="s">
        <v>3076</v>
      </c>
    </row>
    <row r="197" spans="1:5" x14ac:dyDescent="0.25">
      <c r="A197" t="s">
        <v>720</v>
      </c>
      <c r="B197" t="s">
        <v>1439</v>
      </c>
      <c r="C197">
        <v>2016</v>
      </c>
      <c r="E197" t="s">
        <v>3090</v>
      </c>
    </row>
    <row r="198" spans="1:5" x14ac:dyDescent="0.25">
      <c r="A198" t="s">
        <v>720</v>
      </c>
      <c r="B198" t="s">
        <v>2244</v>
      </c>
      <c r="C198">
        <v>2016</v>
      </c>
      <c r="E198" t="s">
        <v>3091</v>
      </c>
    </row>
    <row r="199" spans="1:5" x14ac:dyDescent="0.25">
      <c r="A199" t="s">
        <v>726</v>
      </c>
      <c r="B199" t="s">
        <v>1798</v>
      </c>
      <c r="C199">
        <v>2020</v>
      </c>
      <c r="E199" t="s">
        <v>3092</v>
      </c>
    </row>
    <row r="200" spans="1:5" x14ac:dyDescent="0.25">
      <c r="A200" t="s">
        <v>726</v>
      </c>
      <c r="B200" t="s">
        <v>2065</v>
      </c>
      <c r="C200">
        <v>2020</v>
      </c>
      <c r="D200" t="s">
        <v>187</v>
      </c>
    </row>
    <row r="201" spans="1:5" x14ac:dyDescent="0.25">
      <c r="A201" t="s">
        <v>737</v>
      </c>
      <c r="B201" t="s">
        <v>310</v>
      </c>
      <c r="C201">
        <v>2019</v>
      </c>
      <c r="D201" t="s">
        <v>187</v>
      </c>
      <c r="E201" t="s">
        <v>3077</v>
      </c>
    </row>
    <row r="202" spans="1:5" x14ac:dyDescent="0.25">
      <c r="A202" t="s">
        <v>746</v>
      </c>
      <c r="B202" t="s">
        <v>237</v>
      </c>
      <c r="C202">
        <v>2015</v>
      </c>
      <c r="E202" t="s">
        <v>3093</v>
      </c>
    </row>
    <row r="203" spans="1:5" x14ac:dyDescent="0.25">
      <c r="A203" t="s">
        <v>746</v>
      </c>
      <c r="B203" t="s">
        <v>8124</v>
      </c>
      <c r="C203">
        <v>2015</v>
      </c>
      <c r="E203" s="10" t="s">
        <v>8136</v>
      </c>
    </row>
    <row r="204" spans="1:5" x14ac:dyDescent="0.25">
      <c r="A204" t="s">
        <v>746</v>
      </c>
      <c r="B204" t="s">
        <v>301</v>
      </c>
      <c r="C204">
        <v>2015</v>
      </c>
      <c r="D204" t="s">
        <v>3094</v>
      </c>
      <c r="E204" t="s">
        <v>3095</v>
      </c>
    </row>
    <row r="205" spans="1:5" x14ac:dyDescent="0.25">
      <c r="A205" t="s">
        <v>746</v>
      </c>
      <c r="B205" t="s">
        <v>598</v>
      </c>
      <c r="C205">
        <v>2015</v>
      </c>
      <c r="E205" t="s">
        <v>2982</v>
      </c>
    </row>
    <row r="206" spans="1:5" x14ac:dyDescent="0.25">
      <c r="A206" t="s">
        <v>746</v>
      </c>
      <c r="B206" t="s">
        <v>647</v>
      </c>
      <c r="C206">
        <v>2015</v>
      </c>
      <c r="E206" t="s">
        <v>3096</v>
      </c>
    </row>
    <row r="207" spans="1:5" x14ac:dyDescent="0.25">
      <c r="A207" t="s">
        <v>746</v>
      </c>
      <c r="B207" t="s">
        <v>726</v>
      </c>
      <c r="C207">
        <v>2015</v>
      </c>
      <c r="E207" s="10" t="s">
        <v>8376</v>
      </c>
    </row>
    <row r="208" spans="1:5" x14ac:dyDescent="0.25">
      <c r="A208" t="s">
        <v>746</v>
      </c>
      <c r="B208" t="s">
        <v>737</v>
      </c>
      <c r="C208">
        <v>2015</v>
      </c>
      <c r="E208" t="s">
        <v>3097</v>
      </c>
    </row>
    <row r="209" spans="1:5" x14ac:dyDescent="0.25">
      <c r="A209" t="s">
        <v>746</v>
      </c>
      <c r="B209" t="s">
        <v>750</v>
      </c>
      <c r="C209">
        <v>2015</v>
      </c>
    </row>
    <row r="210" spans="1:5" x14ac:dyDescent="0.25">
      <c r="A210" t="s">
        <v>746</v>
      </c>
      <c r="B210" t="s">
        <v>795</v>
      </c>
      <c r="C210">
        <v>2015</v>
      </c>
      <c r="E210" t="s">
        <v>3098</v>
      </c>
    </row>
    <row r="211" spans="1:5" x14ac:dyDescent="0.25">
      <c r="A211" t="s">
        <v>746</v>
      </c>
      <c r="B211" t="s">
        <v>813</v>
      </c>
      <c r="C211">
        <v>2015</v>
      </c>
      <c r="E211" t="s">
        <v>3099</v>
      </c>
    </row>
    <row r="212" spans="1:5" x14ac:dyDescent="0.25">
      <c r="A212" t="s">
        <v>746</v>
      </c>
      <c r="B212" t="s">
        <v>877</v>
      </c>
      <c r="C212">
        <v>2015</v>
      </c>
      <c r="E212" t="s">
        <v>3100</v>
      </c>
    </row>
    <row r="213" spans="1:5" x14ac:dyDescent="0.25">
      <c r="A213" t="s">
        <v>746</v>
      </c>
      <c r="B213" t="s">
        <v>980</v>
      </c>
      <c r="C213">
        <v>2015</v>
      </c>
      <c r="E213" t="s">
        <v>3101</v>
      </c>
    </row>
    <row r="214" spans="1:5" x14ac:dyDescent="0.25">
      <c r="A214" t="s">
        <v>746</v>
      </c>
      <c r="B214" t="s">
        <v>1050</v>
      </c>
      <c r="C214">
        <v>2015</v>
      </c>
      <c r="E214" t="s">
        <v>3102</v>
      </c>
    </row>
    <row r="215" spans="1:5" x14ac:dyDescent="0.25">
      <c r="A215" t="s">
        <v>746</v>
      </c>
      <c r="B215" t="s">
        <v>1344</v>
      </c>
      <c r="C215">
        <v>2015</v>
      </c>
      <c r="E215" t="s">
        <v>3103</v>
      </c>
    </row>
    <row r="216" spans="1:5" x14ac:dyDescent="0.25">
      <c r="A216" t="s">
        <v>746</v>
      </c>
      <c r="B216" t="s">
        <v>1450</v>
      </c>
      <c r="C216">
        <v>2015</v>
      </c>
      <c r="E216" t="s">
        <v>3104</v>
      </c>
    </row>
    <row r="217" spans="1:5" x14ac:dyDescent="0.25">
      <c r="A217" t="s">
        <v>746</v>
      </c>
      <c r="B217" t="s">
        <v>1526</v>
      </c>
      <c r="C217">
        <v>2015</v>
      </c>
      <c r="E217" t="s">
        <v>3054</v>
      </c>
    </row>
    <row r="218" spans="1:5" x14ac:dyDescent="0.25">
      <c r="A218" t="s">
        <v>746</v>
      </c>
      <c r="B218" t="s">
        <v>1574</v>
      </c>
      <c r="C218">
        <v>2015</v>
      </c>
      <c r="E218" t="s">
        <v>2982</v>
      </c>
    </row>
    <row r="219" spans="1:5" x14ac:dyDescent="0.25">
      <c r="A219" t="s">
        <v>746</v>
      </c>
      <c r="B219" t="s">
        <v>1768</v>
      </c>
      <c r="C219">
        <v>2015</v>
      </c>
      <c r="E219" t="s">
        <v>3105</v>
      </c>
    </row>
    <row r="220" spans="1:5" x14ac:dyDescent="0.25">
      <c r="A220" t="s">
        <v>746</v>
      </c>
      <c r="B220" t="s">
        <v>2244</v>
      </c>
      <c r="C220">
        <v>2015</v>
      </c>
      <c r="E220" t="s">
        <v>3091</v>
      </c>
    </row>
    <row r="221" spans="1:5" x14ac:dyDescent="0.25">
      <c r="A221" t="s">
        <v>746</v>
      </c>
      <c r="B221" t="s">
        <v>2279</v>
      </c>
      <c r="C221">
        <v>2015</v>
      </c>
      <c r="E221" t="s">
        <v>3106</v>
      </c>
    </row>
    <row r="222" spans="1:5" x14ac:dyDescent="0.25">
      <c r="A222" t="s">
        <v>746</v>
      </c>
      <c r="B222" t="s">
        <v>2318</v>
      </c>
      <c r="C222">
        <v>2015</v>
      </c>
      <c r="E222" t="s">
        <v>3088</v>
      </c>
    </row>
    <row r="223" spans="1:5" x14ac:dyDescent="0.25">
      <c r="A223" t="s">
        <v>746</v>
      </c>
      <c r="B223" t="s">
        <v>90</v>
      </c>
      <c r="C223">
        <v>2015</v>
      </c>
      <c r="E223" t="s">
        <v>3107</v>
      </c>
    </row>
    <row r="224" spans="1:5" x14ac:dyDescent="0.25">
      <c r="A224" t="s">
        <v>746</v>
      </c>
      <c r="B224" t="s">
        <v>8121</v>
      </c>
      <c r="C224">
        <v>2015</v>
      </c>
      <c r="E224" s="10" t="s">
        <v>8135</v>
      </c>
    </row>
    <row r="225" spans="1:5" x14ac:dyDescent="0.25">
      <c r="A225" t="s">
        <v>746</v>
      </c>
      <c r="B225" t="s">
        <v>2481</v>
      </c>
      <c r="C225">
        <v>2015</v>
      </c>
      <c r="E225" t="s">
        <v>2999</v>
      </c>
    </row>
    <row r="226" spans="1:5" x14ac:dyDescent="0.25">
      <c r="A226" t="s">
        <v>746</v>
      </c>
      <c r="B226" t="s">
        <v>2702</v>
      </c>
      <c r="C226">
        <v>2015</v>
      </c>
      <c r="E226" t="s">
        <v>2982</v>
      </c>
    </row>
    <row r="227" spans="1:5" x14ac:dyDescent="0.25">
      <c r="A227" t="s">
        <v>746</v>
      </c>
      <c r="B227" t="s">
        <v>2822</v>
      </c>
      <c r="C227">
        <v>2015</v>
      </c>
      <c r="E227" t="s">
        <v>3108</v>
      </c>
    </row>
    <row r="228" spans="1:5" x14ac:dyDescent="0.25">
      <c r="A228" t="s">
        <v>754</v>
      </c>
      <c r="B228" t="s">
        <v>893</v>
      </c>
      <c r="C228">
        <v>2022</v>
      </c>
      <c r="E228" t="s">
        <v>3109</v>
      </c>
    </row>
    <row r="229" spans="1:5" x14ac:dyDescent="0.25">
      <c r="A229" t="s">
        <v>759</v>
      </c>
      <c r="B229" t="s">
        <v>228</v>
      </c>
      <c r="C229">
        <v>2018</v>
      </c>
      <c r="E229" t="s">
        <v>3110</v>
      </c>
    </row>
    <row r="230" spans="1:5" x14ac:dyDescent="0.25">
      <c r="A230" t="s">
        <v>759</v>
      </c>
      <c r="B230" t="s">
        <v>241</v>
      </c>
      <c r="C230">
        <v>2018</v>
      </c>
      <c r="E230" t="s">
        <v>2982</v>
      </c>
    </row>
    <row r="231" spans="1:5" x14ac:dyDescent="0.25">
      <c r="A231" t="s">
        <v>759</v>
      </c>
      <c r="B231" t="s">
        <v>253</v>
      </c>
      <c r="C231">
        <v>2018</v>
      </c>
      <c r="E231" t="s">
        <v>3111</v>
      </c>
    </row>
    <row r="232" spans="1:5" x14ac:dyDescent="0.25">
      <c r="A232" t="s">
        <v>759</v>
      </c>
      <c r="B232" t="s">
        <v>310</v>
      </c>
      <c r="C232">
        <v>2018</v>
      </c>
      <c r="E232" t="s">
        <v>3077</v>
      </c>
    </row>
    <row r="233" spans="1:5" x14ac:dyDescent="0.25">
      <c r="A233" t="s">
        <v>759</v>
      </c>
      <c r="B233" t="s">
        <v>330</v>
      </c>
      <c r="C233">
        <v>2018</v>
      </c>
      <c r="E233" t="s">
        <v>3112</v>
      </c>
    </row>
    <row r="234" spans="1:5" x14ac:dyDescent="0.25">
      <c r="A234" t="s">
        <v>759</v>
      </c>
      <c r="B234" t="s">
        <v>387</v>
      </c>
      <c r="C234">
        <v>2018</v>
      </c>
      <c r="E234" t="s">
        <v>3113</v>
      </c>
    </row>
    <row r="235" spans="1:5" x14ac:dyDescent="0.25">
      <c r="A235" t="s">
        <v>759</v>
      </c>
      <c r="B235" t="s">
        <v>709</v>
      </c>
      <c r="C235">
        <v>2018</v>
      </c>
      <c r="E235" t="s">
        <v>3114</v>
      </c>
    </row>
    <row r="236" spans="1:5" x14ac:dyDescent="0.25">
      <c r="A236" t="s">
        <v>759</v>
      </c>
      <c r="B236" t="s">
        <v>845</v>
      </c>
      <c r="C236">
        <v>2018</v>
      </c>
      <c r="E236" t="s">
        <v>3115</v>
      </c>
    </row>
    <row r="237" spans="1:5" x14ac:dyDescent="0.25">
      <c r="A237" t="s">
        <v>759</v>
      </c>
      <c r="B237" t="s">
        <v>948</v>
      </c>
      <c r="C237">
        <v>2018</v>
      </c>
      <c r="E237" t="s">
        <v>3116</v>
      </c>
    </row>
    <row r="238" spans="1:5" x14ac:dyDescent="0.25">
      <c r="A238" t="s">
        <v>759</v>
      </c>
      <c r="B238" t="s">
        <v>1002</v>
      </c>
      <c r="C238">
        <v>2018</v>
      </c>
      <c r="E238" t="s">
        <v>3117</v>
      </c>
    </row>
    <row r="239" spans="1:5" x14ac:dyDescent="0.25">
      <c r="A239" t="s">
        <v>759</v>
      </c>
      <c r="B239" t="s">
        <v>1029</v>
      </c>
      <c r="C239">
        <v>2018</v>
      </c>
      <c r="E239" t="s">
        <v>2982</v>
      </c>
    </row>
    <row r="240" spans="1:5" x14ac:dyDescent="0.25">
      <c r="A240" t="s">
        <v>759</v>
      </c>
      <c r="B240" t="s">
        <v>1151</v>
      </c>
      <c r="C240">
        <v>2018</v>
      </c>
      <c r="E240" t="s">
        <v>3118</v>
      </c>
    </row>
    <row r="241" spans="1:5" x14ac:dyDescent="0.25">
      <c r="A241" t="s">
        <v>759</v>
      </c>
      <c r="B241" t="s">
        <v>1159</v>
      </c>
      <c r="C241">
        <v>2018</v>
      </c>
      <c r="E241" t="s">
        <v>3119</v>
      </c>
    </row>
    <row r="242" spans="1:5" x14ac:dyDescent="0.25">
      <c r="A242" t="s">
        <v>759</v>
      </c>
      <c r="B242" t="s">
        <v>1479</v>
      </c>
      <c r="C242">
        <v>2018</v>
      </c>
      <c r="E242" t="s">
        <v>3120</v>
      </c>
    </row>
    <row r="243" spans="1:5" x14ac:dyDescent="0.25">
      <c r="A243" t="s">
        <v>759</v>
      </c>
      <c r="B243" t="s">
        <v>1641</v>
      </c>
      <c r="C243">
        <v>2018</v>
      </c>
      <c r="E243" t="s">
        <v>3121</v>
      </c>
    </row>
    <row r="244" spans="1:5" x14ac:dyDescent="0.25">
      <c r="A244" t="s">
        <v>759</v>
      </c>
      <c r="B244" t="s">
        <v>1865</v>
      </c>
      <c r="C244">
        <v>2018</v>
      </c>
      <c r="E244" t="s">
        <v>3013</v>
      </c>
    </row>
    <row r="245" spans="1:5" x14ac:dyDescent="0.25">
      <c r="A245" t="s">
        <v>759</v>
      </c>
      <c r="B245" t="s">
        <v>2069</v>
      </c>
      <c r="C245">
        <v>2018</v>
      </c>
      <c r="E245" t="s">
        <v>2982</v>
      </c>
    </row>
    <row r="246" spans="1:5" x14ac:dyDescent="0.25">
      <c r="A246" t="s">
        <v>759</v>
      </c>
      <c r="B246" t="s">
        <v>2146</v>
      </c>
      <c r="C246">
        <v>2018</v>
      </c>
      <c r="E246" t="s">
        <v>3122</v>
      </c>
    </row>
    <row r="247" spans="1:5" x14ac:dyDescent="0.25">
      <c r="A247" t="s">
        <v>759</v>
      </c>
      <c r="B247" t="s">
        <v>2254</v>
      </c>
      <c r="C247">
        <v>2018</v>
      </c>
      <c r="E247" t="s">
        <v>2982</v>
      </c>
    </row>
    <row r="248" spans="1:5" x14ac:dyDescent="0.25">
      <c r="A248" t="s">
        <v>759</v>
      </c>
      <c r="B248" t="s">
        <v>2403</v>
      </c>
      <c r="C248">
        <v>2018</v>
      </c>
      <c r="E248" t="s">
        <v>3123</v>
      </c>
    </row>
    <row r="249" spans="1:5" x14ac:dyDescent="0.25">
      <c r="A249" t="s">
        <v>759</v>
      </c>
      <c r="B249" t="s">
        <v>2599</v>
      </c>
      <c r="C249">
        <v>2018</v>
      </c>
      <c r="E249" t="s">
        <v>3078</v>
      </c>
    </row>
    <row r="250" spans="1:5" x14ac:dyDescent="0.25">
      <c r="A250" t="s">
        <v>759</v>
      </c>
      <c r="B250" t="s">
        <v>2663</v>
      </c>
      <c r="C250">
        <v>2018</v>
      </c>
      <c r="D250" t="s">
        <v>187</v>
      </c>
      <c r="E250" t="s">
        <v>3124</v>
      </c>
    </row>
    <row r="251" spans="1:5" x14ac:dyDescent="0.25">
      <c r="A251" t="s">
        <v>759</v>
      </c>
      <c r="B251" t="s">
        <v>2766</v>
      </c>
      <c r="C251">
        <v>2018</v>
      </c>
      <c r="E251" t="s">
        <v>2982</v>
      </c>
    </row>
    <row r="252" spans="1:5" x14ac:dyDescent="0.25">
      <c r="A252" t="s">
        <v>759</v>
      </c>
      <c r="B252" t="s">
        <v>2782</v>
      </c>
      <c r="C252">
        <v>2018</v>
      </c>
      <c r="E252" t="s">
        <v>3125</v>
      </c>
    </row>
    <row r="253" spans="1:5" x14ac:dyDescent="0.25">
      <c r="A253" t="s">
        <v>759</v>
      </c>
      <c r="B253" t="s">
        <v>2894</v>
      </c>
      <c r="C253">
        <v>2018</v>
      </c>
      <c r="D253" t="s">
        <v>187</v>
      </c>
      <c r="E253" t="s">
        <v>3126</v>
      </c>
    </row>
    <row r="254" spans="1:5" x14ac:dyDescent="0.25">
      <c r="A254" t="s">
        <v>778</v>
      </c>
      <c r="B254" t="s">
        <v>394</v>
      </c>
      <c r="C254">
        <v>2023</v>
      </c>
      <c r="E254" t="s">
        <v>3056</v>
      </c>
    </row>
    <row r="255" spans="1:5" x14ac:dyDescent="0.25">
      <c r="A255" t="s">
        <v>778</v>
      </c>
      <c r="B255" t="s">
        <v>1059</v>
      </c>
      <c r="C255">
        <v>2023</v>
      </c>
      <c r="E255" t="s">
        <v>2982</v>
      </c>
    </row>
    <row r="256" spans="1:5" x14ac:dyDescent="0.25">
      <c r="A256" t="s">
        <v>778</v>
      </c>
      <c r="B256" t="s">
        <v>1463</v>
      </c>
      <c r="C256">
        <v>2023</v>
      </c>
      <c r="E256" t="s">
        <v>3127</v>
      </c>
    </row>
    <row r="257" spans="1:5" x14ac:dyDescent="0.25">
      <c r="A257" t="s">
        <v>778</v>
      </c>
      <c r="B257" t="s">
        <v>2381</v>
      </c>
      <c r="C257">
        <v>2023</v>
      </c>
      <c r="E257" t="s">
        <v>3047</v>
      </c>
    </row>
    <row r="258" spans="1:5" x14ac:dyDescent="0.25">
      <c r="A258" t="s">
        <v>778</v>
      </c>
      <c r="B258" t="s">
        <v>2669</v>
      </c>
      <c r="C258">
        <v>2023</v>
      </c>
      <c r="E258" t="s">
        <v>3128</v>
      </c>
    </row>
    <row r="259" spans="1:5" x14ac:dyDescent="0.25">
      <c r="A259" t="s">
        <v>786</v>
      </c>
      <c r="B259" t="s">
        <v>1108</v>
      </c>
      <c r="C259">
        <v>2023</v>
      </c>
      <c r="E259" t="s">
        <v>2982</v>
      </c>
    </row>
    <row r="260" spans="1:5" x14ac:dyDescent="0.25">
      <c r="A260" t="s">
        <v>811</v>
      </c>
      <c r="B260" t="s">
        <v>360</v>
      </c>
      <c r="C260">
        <v>2024</v>
      </c>
      <c r="E260" t="s">
        <v>7660</v>
      </c>
    </row>
    <row r="261" spans="1:5" x14ac:dyDescent="0.25">
      <c r="A261" t="s">
        <v>811</v>
      </c>
      <c r="B261" t="s">
        <v>1312</v>
      </c>
      <c r="C261">
        <v>2024</v>
      </c>
      <c r="E261" t="s">
        <v>2982</v>
      </c>
    </row>
    <row r="262" spans="1:5" x14ac:dyDescent="0.25">
      <c r="A262" t="s">
        <v>811</v>
      </c>
      <c r="B262" t="s">
        <v>7656</v>
      </c>
      <c r="C262">
        <v>2024</v>
      </c>
      <c r="E262" t="s">
        <v>7659</v>
      </c>
    </row>
    <row r="263" spans="1:5" x14ac:dyDescent="0.25">
      <c r="A263" t="s">
        <v>811</v>
      </c>
      <c r="B263" t="s">
        <v>2669</v>
      </c>
      <c r="C263">
        <v>2024</v>
      </c>
      <c r="E263" t="s">
        <v>3128</v>
      </c>
    </row>
    <row r="264" spans="1:5" x14ac:dyDescent="0.25">
      <c r="A264" t="s">
        <v>813</v>
      </c>
      <c r="B264" t="s">
        <v>786</v>
      </c>
      <c r="C264">
        <v>2018</v>
      </c>
      <c r="E264" t="s">
        <v>2982</v>
      </c>
    </row>
    <row r="265" spans="1:5" x14ac:dyDescent="0.25">
      <c r="A265" t="s">
        <v>819</v>
      </c>
      <c r="B265" t="s">
        <v>7932</v>
      </c>
      <c r="C265">
        <v>2012</v>
      </c>
      <c r="E265" s="10" t="s">
        <v>7933</v>
      </c>
    </row>
    <row r="266" spans="1:5" x14ac:dyDescent="0.25">
      <c r="A266" t="s">
        <v>826</v>
      </c>
      <c r="B266" t="s">
        <v>493</v>
      </c>
      <c r="C266">
        <v>2019</v>
      </c>
      <c r="E266" t="s">
        <v>2982</v>
      </c>
    </row>
    <row r="267" spans="1:5" x14ac:dyDescent="0.25">
      <c r="A267" t="s">
        <v>836</v>
      </c>
      <c r="B267" t="s">
        <v>1565</v>
      </c>
      <c r="C267">
        <v>2010</v>
      </c>
      <c r="E267" t="s">
        <v>3129</v>
      </c>
    </row>
    <row r="268" spans="1:5" x14ac:dyDescent="0.25">
      <c r="A268" t="s">
        <v>836</v>
      </c>
      <c r="B268" t="s">
        <v>160</v>
      </c>
      <c r="C268">
        <v>2010</v>
      </c>
      <c r="E268" t="s">
        <v>3130</v>
      </c>
    </row>
    <row r="269" spans="1:5" x14ac:dyDescent="0.25">
      <c r="A269" t="s">
        <v>8406</v>
      </c>
      <c r="B269" t="s">
        <v>2339</v>
      </c>
      <c r="C269">
        <v>2021</v>
      </c>
      <c r="E269" t="s">
        <v>2982</v>
      </c>
    </row>
    <row r="270" spans="1:5" x14ac:dyDescent="0.25">
      <c r="A270" t="s">
        <v>8406</v>
      </c>
      <c r="B270" t="s">
        <v>2365</v>
      </c>
      <c r="C270">
        <v>2021</v>
      </c>
      <c r="D270" t="s">
        <v>187</v>
      </c>
    </row>
    <row r="271" spans="1:5" x14ac:dyDescent="0.25">
      <c r="A271" t="s">
        <v>847</v>
      </c>
      <c r="B271" t="s">
        <v>294</v>
      </c>
      <c r="C271">
        <v>1996</v>
      </c>
      <c r="E271" t="s">
        <v>3131</v>
      </c>
    </row>
    <row r="272" spans="1:5" x14ac:dyDescent="0.25">
      <c r="A272" t="s">
        <v>847</v>
      </c>
      <c r="B272" t="s">
        <v>462</v>
      </c>
      <c r="C272">
        <v>1996</v>
      </c>
      <c r="E272" t="s">
        <v>3132</v>
      </c>
    </row>
    <row r="273" spans="1:5" x14ac:dyDescent="0.25">
      <c r="A273" t="s">
        <v>847</v>
      </c>
      <c r="B273" t="s">
        <v>517</v>
      </c>
      <c r="C273">
        <v>1996</v>
      </c>
      <c r="E273" t="s">
        <v>3000</v>
      </c>
    </row>
    <row r="274" spans="1:5" x14ac:dyDescent="0.25">
      <c r="A274" t="s">
        <v>847</v>
      </c>
      <c r="B274" t="s">
        <v>741</v>
      </c>
      <c r="C274">
        <v>1996</v>
      </c>
      <c r="E274" t="s">
        <v>3133</v>
      </c>
    </row>
    <row r="275" spans="1:5" x14ac:dyDescent="0.25">
      <c r="A275" t="s">
        <v>847</v>
      </c>
      <c r="B275" t="s">
        <v>778</v>
      </c>
      <c r="C275">
        <v>1996</v>
      </c>
      <c r="E275" t="s">
        <v>3134</v>
      </c>
    </row>
    <row r="276" spans="1:5" x14ac:dyDescent="0.25">
      <c r="A276" t="s">
        <v>847</v>
      </c>
      <c r="B276" t="s">
        <v>819</v>
      </c>
      <c r="C276">
        <v>1996</v>
      </c>
      <c r="E276" s="10" t="s">
        <v>7931</v>
      </c>
    </row>
    <row r="277" spans="1:5" x14ac:dyDescent="0.25">
      <c r="A277" t="s">
        <v>847</v>
      </c>
      <c r="B277" t="s">
        <v>984</v>
      </c>
      <c r="C277">
        <v>1996</v>
      </c>
      <c r="E277" t="s">
        <v>3072</v>
      </c>
    </row>
    <row r="278" spans="1:5" x14ac:dyDescent="0.25">
      <c r="A278" t="s">
        <v>847</v>
      </c>
      <c r="B278" t="s">
        <v>1050</v>
      </c>
      <c r="C278">
        <v>1996</v>
      </c>
      <c r="E278" t="s">
        <v>3058</v>
      </c>
    </row>
    <row r="279" spans="1:5" x14ac:dyDescent="0.25">
      <c r="A279" t="s">
        <v>847</v>
      </c>
      <c r="B279" t="s">
        <v>1302</v>
      </c>
      <c r="C279">
        <v>1996</v>
      </c>
      <c r="E279" t="s">
        <v>3135</v>
      </c>
    </row>
    <row r="280" spans="1:5" x14ac:dyDescent="0.25">
      <c r="A280" t="s">
        <v>847</v>
      </c>
      <c r="B280" t="s">
        <v>1344</v>
      </c>
      <c r="C280">
        <v>1996</v>
      </c>
      <c r="E280" t="s">
        <v>3136</v>
      </c>
    </row>
    <row r="281" spans="1:5" x14ac:dyDescent="0.25">
      <c r="A281" t="s">
        <v>847</v>
      </c>
      <c r="B281" t="s">
        <v>1463</v>
      </c>
      <c r="C281">
        <v>1996</v>
      </c>
      <c r="E281" t="s">
        <v>3127</v>
      </c>
    </row>
    <row r="282" spans="1:5" x14ac:dyDescent="0.25">
      <c r="A282" t="s">
        <v>847</v>
      </c>
      <c r="B282" t="s">
        <v>1520</v>
      </c>
      <c r="C282">
        <v>1996</v>
      </c>
      <c r="E282" t="s">
        <v>3137</v>
      </c>
    </row>
    <row r="283" spans="1:5" x14ac:dyDescent="0.25">
      <c r="A283" t="s">
        <v>847</v>
      </c>
      <c r="B283" t="s">
        <v>1649</v>
      </c>
      <c r="C283">
        <v>1996</v>
      </c>
      <c r="E283" t="s">
        <v>3138</v>
      </c>
    </row>
    <row r="284" spans="1:5" x14ac:dyDescent="0.25">
      <c r="A284" t="s">
        <v>847</v>
      </c>
      <c r="B284" t="s">
        <v>2023</v>
      </c>
      <c r="C284">
        <v>1996</v>
      </c>
      <c r="E284" t="s">
        <v>2994</v>
      </c>
    </row>
    <row r="285" spans="1:5" x14ac:dyDescent="0.25">
      <c r="A285" t="s">
        <v>847</v>
      </c>
      <c r="B285" t="s">
        <v>7922</v>
      </c>
      <c r="C285">
        <v>1996</v>
      </c>
      <c r="E285" s="10" t="s">
        <v>7921</v>
      </c>
    </row>
    <row r="286" spans="1:5" x14ac:dyDescent="0.25">
      <c r="A286" t="s">
        <v>847</v>
      </c>
      <c r="B286" t="s">
        <v>2107</v>
      </c>
      <c r="C286">
        <v>1996</v>
      </c>
      <c r="E286" t="s">
        <v>3139</v>
      </c>
    </row>
    <row r="287" spans="1:5" x14ac:dyDescent="0.25">
      <c r="A287" t="s">
        <v>847</v>
      </c>
      <c r="B287" t="s">
        <v>8115</v>
      </c>
      <c r="C287">
        <v>1996</v>
      </c>
      <c r="E287" s="10" t="s">
        <v>8134</v>
      </c>
    </row>
    <row r="288" spans="1:5" x14ac:dyDescent="0.25">
      <c r="A288" t="s">
        <v>847</v>
      </c>
      <c r="B288" t="s">
        <v>2543</v>
      </c>
      <c r="C288">
        <v>1996</v>
      </c>
      <c r="E288" t="s">
        <v>3140</v>
      </c>
    </row>
    <row r="289" spans="1:5" x14ac:dyDescent="0.25">
      <c r="A289" t="s">
        <v>847</v>
      </c>
      <c r="B289" t="s">
        <v>2840</v>
      </c>
      <c r="C289">
        <v>1996</v>
      </c>
      <c r="E289" s="10" t="s">
        <v>3440</v>
      </c>
    </row>
    <row r="290" spans="1:5" x14ac:dyDescent="0.25">
      <c r="A290" t="s">
        <v>873</v>
      </c>
      <c r="B290" t="s">
        <v>287</v>
      </c>
      <c r="C290">
        <v>2019</v>
      </c>
      <c r="E290" t="s">
        <v>3141</v>
      </c>
    </row>
    <row r="291" spans="1:5" x14ac:dyDescent="0.25">
      <c r="A291" t="s">
        <v>873</v>
      </c>
      <c r="B291" t="s">
        <v>346</v>
      </c>
      <c r="C291">
        <v>2019</v>
      </c>
      <c r="E291" t="s">
        <v>2982</v>
      </c>
    </row>
    <row r="292" spans="1:5" x14ac:dyDescent="0.25">
      <c r="A292" t="s">
        <v>873</v>
      </c>
      <c r="B292" t="s">
        <v>850</v>
      </c>
      <c r="C292">
        <v>2019</v>
      </c>
      <c r="E292" t="s">
        <v>3142</v>
      </c>
    </row>
    <row r="293" spans="1:5" x14ac:dyDescent="0.25">
      <c r="A293" t="s">
        <v>873</v>
      </c>
      <c r="B293" t="s">
        <v>863</v>
      </c>
      <c r="C293">
        <v>2019</v>
      </c>
      <c r="E293" t="s">
        <v>3027</v>
      </c>
    </row>
    <row r="294" spans="1:5" x14ac:dyDescent="0.25">
      <c r="A294" t="s">
        <v>873</v>
      </c>
      <c r="B294" t="s">
        <v>877</v>
      </c>
      <c r="C294">
        <v>2019</v>
      </c>
      <c r="E294" t="s">
        <v>3100</v>
      </c>
    </row>
    <row r="295" spans="1:5" x14ac:dyDescent="0.25">
      <c r="A295" t="s">
        <v>873</v>
      </c>
      <c r="B295" t="s">
        <v>898</v>
      </c>
      <c r="C295">
        <v>2019</v>
      </c>
      <c r="E295" t="s">
        <v>3143</v>
      </c>
    </row>
    <row r="296" spans="1:5" x14ac:dyDescent="0.25">
      <c r="A296" t="s">
        <v>873</v>
      </c>
      <c r="B296" t="s">
        <v>960</v>
      </c>
      <c r="C296">
        <v>2019</v>
      </c>
      <c r="E296" t="s">
        <v>3144</v>
      </c>
    </row>
    <row r="297" spans="1:5" x14ac:dyDescent="0.25">
      <c r="A297" t="s">
        <v>873</v>
      </c>
      <c r="B297" t="s">
        <v>2416</v>
      </c>
      <c r="C297">
        <v>2019</v>
      </c>
      <c r="E297" t="s">
        <v>2982</v>
      </c>
    </row>
    <row r="298" spans="1:5" x14ac:dyDescent="0.25">
      <c r="A298" t="s">
        <v>904</v>
      </c>
      <c r="B298" t="s">
        <v>604</v>
      </c>
      <c r="C298">
        <v>2022</v>
      </c>
      <c r="E298" t="s">
        <v>3145</v>
      </c>
    </row>
    <row r="299" spans="1:5" x14ac:dyDescent="0.25">
      <c r="A299" t="s">
        <v>904</v>
      </c>
      <c r="B299" t="s">
        <v>1085</v>
      </c>
      <c r="C299">
        <v>2022</v>
      </c>
      <c r="E299" t="s">
        <v>1088</v>
      </c>
    </row>
    <row r="300" spans="1:5" x14ac:dyDescent="0.25">
      <c r="A300" t="s">
        <v>904</v>
      </c>
      <c r="B300" t="s">
        <v>1696</v>
      </c>
      <c r="C300">
        <v>2022</v>
      </c>
      <c r="E300" t="s">
        <v>3146</v>
      </c>
    </row>
    <row r="301" spans="1:5" x14ac:dyDescent="0.25">
      <c r="A301" t="s">
        <v>904</v>
      </c>
      <c r="B301" t="s">
        <v>2846</v>
      </c>
      <c r="C301">
        <v>2022</v>
      </c>
      <c r="E301" t="s">
        <v>3147</v>
      </c>
    </row>
    <row r="302" spans="1:5" x14ac:dyDescent="0.25">
      <c r="A302" t="s">
        <v>914</v>
      </c>
      <c r="B302" t="s">
        <v>709</v>
      </c>
      <c r="C302">
        <v>2013</v>
      </c>
      <c r="E302" t="s">
        <v>3114</v>
      </c>
    </row>
    <row r="303" spans="1:5" x14ac:dyDescent="0.25">
      <c r="A303" t="s">
        <v>914</v>
      </c>
      <c r="B303" t="s">
        <v>918</v>
      </c>
      <c r="C303">
        <v>2013</v>
      </c>
      <c r="D303" t="s">
        <v>187</v>
      </c>
    </row>
    <row r="304" spans="1:5" x14ac:dyDescent="0.25">
      <c r="A304" t="s">
        <v>914</v>
      </c>
      <c r="B304" t="s">
        <v>1394</v>
      </c>
      <c r="C304">
        <v>2013</v>
      </c>
      <c r="E304" t="s">
        <v>3032</v>
      </c>
    </row>
    <row r="305" spans="1:5" x14ac:dyDescent="0.25">
      <c r="A305" t="s">
        <v>914</v>
      </c>
      <c r="B305" t="s">
        <v>2144</v>
      </c>
      <c r="C305">
        <v>2013</v>
      </c>
      <c r="E305" t="s">
        <v>3148</v>
      </c>
    </row>
    <row r="306" spans="1:5" x14ac:dyDescent="0.25">
      <c r="A306" t="s">
        <v>914</v>
      </c>
      <c r="B306" t="s">
        <v>8121</v>
      </c>
      <c r="C306">
        <v>2013</v>
      </c>
      <c r="E306" s="10" t="s">
        <v>8135</v>
      </c>
    </row>
    <row r="307" spans="1:5" x14ac:dyDescent="0.25">
      <c r="A307" t="s">
        <v>914</v>
      </c>
      <c r="B307" t="s">
        <v>2630</v>
      </c>
      <c r="C307">
        <v>2013</v>
      </c>
      <c r="E307" t="s">
        <v>3149</v>
      </c>
    </row>
    <row r="308" spans="1:5" x14ac:dyDescent="0.25">
      <c r="A308" t="s">
        <v>922</v>
      </c>
      <c r="B308" t="s">
        <v>517</v>
      </c>
      <c r="C308">
        <v>2002</v>
      </c>
      <c r="E308" t="s">
        <v>3150</v>
      </c>
    </row>
    <row r="309" spans="1:5" x14ac:dyDescent="0.25">
      <c r="A309" t="s">
        <v>922</v>
      </c>
      <c r="B309" t="s">
        <v>531</v>
      </c>
      <c r="C309">
        <v>2002</v>
      </c>
      <c r="E309" t="s">
        <v>3151</v>
      </c>
    </row>
    <row r="310" spans="1:5" x14ac:dyDescent="0.25">
      <c r="A310" t="s">
        <v>922</v>
      </c>
      <c r="B310" t="s">
        <v>984</v>
      </c>
      <c r="C310">
        <v>2002</v>
      </c>
      <c r="E310" t="s">
        <v>2988</v>
      </c>
    </row>
    <row r="311" spans="1:5" x14ac:dyDescent="0.25">
      <c r="A311" t="s">
        <v>922</v>
      </c>
      <c r="B311" t="s">
        <v>1141</v>
      </c>
      <c r="C311">
        <v>2002</v>
      </c>
      <c r="E311" t="s">
        <v>2989</v>
      </c>
    </row>
    <row r="312" spans="1:5" x14ac:dyDescent="0.25">
      <c r="A312" t="s">
        <v>922</v>
      </c>
      <c r="B312" t="s">
        <v>1425</v>
      </c>
      <c r="C312">
        <v>2002</v>
      </c>
      <c r="E312" t="s">
        <v>2982</v>
      </c>
    </row>
    <row r="313" spans="1:5" x14ac:dyDescent="0.25">
      <c r="A313" t="s">
        <v>922</v>
      </c>
      <c r="B313" t="s">
        <v>1467</v>
      </c>
      <c r="C313">
        <v>2002</v>
      </c>
      <c r="D313" t="s">
        <v>187</v>
      </c>
    </row>
    <row r="314" spans="1:5" x14ac:dyDescent="0.25">
      <c r="A314" t="s">
        <v>922</v>
      </c>
      <c r="B314" t="s">
        <v>2035</v>
      </c>
      <c r="C314">
        <v>2002</v>
      </c>
      <c r="E314" t="s">
        <v>3152</v>
      </c>
    </row>
    <row r="315" spans="1:5" x14ac:dyDescent="0.25">
      <c r="A315" t="s">
        <v>922</v>
      </c>
      <c r="B315" t="s">
        <v>2406</v>
      </c>
      <c r="C315">
        <v>2002</v>
      </c>
      <c r="E315" t="s">
        <v>3062</v>
      </c>
    </row>
    <row r="316" spans="1:5" x14ac:dyDescent="0.25">
      <c r="A316" t="s">
        <v>924</v>
      </c>
      <c r="B316" t="s">
        <v>1995</v>
      </c>
      <c r="C316">
        <v>2019</v>
      </c>
    </row>
    <row r="317" spans="1:5" x14ac:dyDescent="0.25">
      <c r="A317" t="s">
        <v>924</v>
      </c>
      <c r="B317" t="s">
        <v>2506</v>
      </c>
      <c r="C317">
        <v>2019</v>
      </c>
      <c r="E317" t="s">
        <v>3153</v>
      </c>
    </row>
    <row r="318" spans="1:5" x14ac:dyDescent="0.25">
      <c r="A318" t="s">
        <v>924</v>
      </c>
      <c r="B318" t="s">
        <v>2594</v>
      </c>
      <c r="C318">
        <v>2019</v>
      </c>
      <c r="E318" t="s">
        <v>3154</v>
      </c>
    </row>
    <row r="319" spans="1:5" x14ac:dyDescent="0.25">
      <c r="A319" t="s">
        <v>924</v>
      </c>
      <c r="B319" t="s">
        <v>2614</v>
      </c>
      <c r="C319">
        <v>2019</v>
      </c>
      <c r="E319" t="s">
        <v>3155</v>
      </c>
    </row>
    <row r="320" spans="1:5" x14ac:dyDescent="0.25">
      <c r="A320" t="s">
        <v>924</v>
      </c>
      <c r="B320" t="s">
        <v>2818</v>
      </c>
      <c r="C320">
        <v>2019</v>
      </c>
      <c r="E320" t="s">
        <v>3156</v>
      </c>
    </row>
    <row r="321" spans="1:5" x14ac:dyDescent="0.25">
      <c r="A321" t="s">
        <v>930</v>
      </c>
      <c r="B321" t="s">
        <v>1235</v>
      </c>
      <c r="C321">
        <v>2015</v>
      </c>
      <c r="E321" t="s">
        <v>3157</v>
      </c>
    </row>
    <row r="322" spans="1:5" x14ac:dyDescent="0.25">
      <c r="A322" t="s">
        <v>930</v>
      </c>
      <c r="B322" t="s">
        <v>1541</v>
      </c>
      <c r="C322">
        <v>2015</v>
      </c>
      <c r="E322" t="s">
        <v>3158</v>
      </c>
    </row>
    <row r="323" spans="1:5" x14ac:dyDescent="0.25">
      <c r="A323" t="s">
        <v>930</v>
      </c>
      <c r="B323" t="s">
        <v>1553</v>
      </c>
      <c r="C323">
        <v>2015</v>
      </c>
      <c r="E323" t="s">
        <v>3159</v>
      </c>
    </row>
    <row r="324" spans="1:5" x14ac:dyDescent="0.25">
      <c r="A324" t="s">
        <v>930</v>
      </c>
      <c r="B324" t="s">
        <v>2130</v>
      </c>
      <c r="C324">
        <v>2015</v>
      </c>
      <c r="E324" t="s">
        <v>3160</v>
      </c>
    </row>
    <row r="325" spans="1:5" x14ac:dyDescent="0.25">
      <c r="A325" t="s">
        <v>930</v>
      </c>
      <c r="B325" t="s">
        <v>2254</v>
      </c>
      <c r="C325">
        <v>2015</v>
      </c>
      <c r="E325" t="s">
        <v>2982</v>
      </c>
    </row>
    <row r="326" spans="1:5" x14ac:dyDescent="0.25">
      <c r="A326" t="s">
        <v>930</v>
      </c>
      <c r="B326" t="s">
        <v>2328</v>
      </c>
      <c r="C326">
        <v>2015</v>
      </c>
      <c r="E326" t="s">
        <v>3161</v>
      </c>
    </row>
    <row r="327" spans="1:5" x14ac:dyDescent="0.25">
      <c r="A327" t="s">
        <v>930</v>
      </c>
      <c r="B327" t="s">
        <v>2744</v>
      </c>
      <c r="C327">
        <v>2015</v>
      </c>
      <c r="E327" t="s">
        <v>3162</v>
      </c>
    </row>
    <row r="328" spans="1:5" x14ac:dyDescent="0.25">
      <c r="A328" t="s">
        <v>930</v>
      </c>
      <c r="B328" t="s">
        <v>2760</v>
      </c>
      <c r="C328">
        <v>2015</v>
      </c>
      <c r="E328" t="s">
        <v>3163</v>
      </c>
    </row>
    <row r="329" spans="1:5" x14ac:dyDescent="0.25">
      <c r="A329" t="s">
        <v>946</v>
      </c>
      <c r="B329" t="s">
        <v>873</v>
      </c>
      <c r="C329">
        <v>2014</v>
      </c>
      <c r="E329" t="s">
        <v>3164</v>
      </c>
    </row>
    <row r="330" spans="1:5" x14ac:dyDescent="0.25">
      <c r="A330" t="s">
        <v>946</v>
      </c>
      <c r="B330" t="s">
        <v>1686</v>
      </c>
      <c r="C330">
        <v>2014</v>
      </c>
      <c r="E330" t="s">
        <v>1689</v>
      </c>
    </row>
    <row r="331" spans="1:5" x14ac:dyDescent="0.25">
      <c r="A331" t="s">
        <v>946</v>
      </c>
      <c r="B331" t="s">
        <v>1847</v>
      </c>
      <c r="C331">
        <v>2014</v>
      </c>
      <c r="E331" t="s">
        <v>3165</v>
      </c>
    </row>
    <row r="332" spans="1:5" x14ac:dyDescent="0.25">
      <c r="A332" t="s">
        <v>946</v>
      </c>
      <c r="B332" t="s">
        <v>90</v>
      </c>
      <c r="C332">
        <v>2014</v>
      </c>
      <c r="E332" t="s">
        <v>3166</v>
      </c>
    </row>
    <row r="333" spans="1:5" x14ac:dyDescent="0.25">
      <c r="A333" t="s">
        <v>960</v>
      </c>
      <c r="B333" t="s">
        <v>2219</v>
      </c>
      <c r="C333">
        <v>2024</v>
      </c>
      <c r="E333" t="s">
        <v>2982</v>
      </c>
    </row>
    <row r="334" spans="1:5" x14ac:dyDescent="0.25">
      <c r="A334" t="s">
        <v>964</v>
      </c>
      <c r="B334" t="s">
        <v>531</v>
      </c>
      <c r="C334">
        <v>2006</v>
      </c>
      <c r="E334" t="s">
        <v>3151</v>
      </c>
    </row>
    <row r="335" spans="1:5" x14ac:dyDescent="0.25">
      <c r="A335" t="s">
        <v>964</v>
      </c>
      <c r="B335" t="s">
        <v>623</v>
      </c>
      <c r="C335">
        <v>2006</v>
      </c>
      <c r="E335" t="s">
        <v>3167</v>
      </c>
    </row>
    <row r="336" spans="1:5" x14ac:dyDescent="0.25">
      <c r="A336" t="s">
        <v>964</v>
      </c>
      <c r="B336" t="s">
        <v>836</v>
      </c>
      <c r="C336">
        <v>2006</v>
      </c>
      <c r="E336" t="s">
        <v>3168</v>
      </c>
    </row>
    <row r="337" spans="1:5" x14ac:dyDescent="0.25">
      <c r="A337" t="s">
        <v>964</v>
      </c>
      <c r="B337" t="s">
        <v>984</v>
      </c>
      <c r="C337">
        <v>2006</v>
      </c>
      <c r="E337" t="s">
        <v>3072</v>
      </c>
    </row>
    <row r="338" spans="1:5" x14ac:dyDescent="0.25">
      <c r="A338" t="s">
        <v>964</v>
      </c>
      <c r="B338" t="s">
        <v>1223</v>
      </c>
      <c r="C338">
        <v>2006</v>
      </c>
      <c r="E338" t="s">
        <v>2982</v>
      </c>
    </row>
    <row r="339" spans="1:5" x14ac:dyDescent="0.25">
      <c r="A339" t="s">
        <v>964</v>
      </c>
      <c r="B339" t="s">
        <v>1937</v>
      </c>
      <c r="C339">
        <v>2006</v>
      </c>
      <c r="E339" t="s">
        <v>1940</v>
      </c>
    </row>
    <row r="340" spans="1:5" x14ac:dyDescent="0.25">
      <c r="A340" t="s">
        <v>964</v>
      </c>
      <c r="B340" t="s">
        <v>2107</v>
      </c>
      <c r="C340">
        <v>2006</v>
      </c>
      <c r="E340" t="s">
        <v>3139</v>
      </c>
    </row>
    <row r="341" spans="1:5" x14ac:dyDescent="0.25">
      <c r="A341" t="s">
        <v>964</v>
      </c>
      <c r="B341" t="s">
        <v>2724</v>
      </c>
      <c r="C341">
        <v>2006</v>
      </c>
      <c r="E341" t="s">
        <v>2727</v>
      </c>
    </row>
    <row r="342" spans="1:5" x14ac:dyDescent="0.25">
      <c r="A342" t="s">
        <v>964</v>
      </c>
      <c r="B342" t="s">
        <v>2796</v>
      </c>
      <c r="C342">
        <v>2018</v>
      </c>
      <c r="E342" t="s">
        <v>3169</v>
      </c>
    </row>
    <row r="343" spans="1:5" x14ac:dyDescent="0.25">
      <c r="A343" t="s">
        <v>964</v>
      </c>
      <c r="B343" t="s">
        <v>2962</v>
      </c>
      <c r="C343">
        <v>2006</v>
      </c>
      <c r="E343" t="s">
        <v>3006</v>
      </c>
    </row>
    <row r="344" spans="1:5" x14ac:dyDescent="0.25">
      <c r="A344" t="s">
        <v>984</v>
      </c>
      <c r="B344" t="s">
        <v>2578</v>
      </c>
      <c r="C344">
        <v>2010</v>
      </c>
      <c r="E344" t="s">
        <v>3170</v>
      </c>
    </row>
    <row r="345" spans="1:5" x14ac:dyDescent="0.25">
      <c r="A345" t="s">
        <v>994</v>
      </c>
      <c r="B345" t="s">
        <v>1407</v>
      </c>
      <c r="C345">
        <v>2011</v>
      </c>
      <c r="E345" t="s">
        <v>3171</v>
      </c>
    </row>
    <row r="346" spans="1:5" x14ac:dyDescent="0.25">
      <c r="A346" t="s">
        <v>994</v>
      </c>
      <c r="B346" t="s">
        <v>2039</v>
      </c>
      <c r="C346">
        <v>2011</v>
      </c>
      <c r="E346" t="s">
        <v>2981</v>
      </c>
    </row>
    <row r="347" spans="1:5" x14ac:dyDescent="0.25">
      <c r="A347" t="s">
        <v>994</v>
      </c>
      <c r="B347" t="s">
        <v>2190</v>
      </c>
      <c r="C347">
        <v>2011</v>
      </c>
      <c r="E347" t="s">
        <v>3172</v>
      </c>
    </row>
    <row r="348" spans="1:5" x14ac:dyDescent="0.25">
      <c r="A348" t="s">
        <v>994</v>
      </c>
      <c r="B348" t="s">
        <v>2623</v>
      </c>
      <c r="C348">
        <v>2011</v>
      </c>
      <c r="E348" t="s">
        <v>3080</v>
      </c>
    </row>
    <row r="349" spans="1:5" x14ac:dyDescent="0.25">
      <c r="A349" t="s">
        <v>998</v>
      </c>
      <c r="B349" t="s">
        <v>2267</v>
      </c>
      <c r="C349">
        <v>2018</v>
      </c>
      <c r="D349" t="s">
        <v>187</v>
      </c>
    </row>
    <row r="350" spans="1:5" x14ac:dyDescent="0.25">
      <c r="A350" t="s">
        <v>1004</v>
      </c>
      <c r="B350" t="s">
        <v>984</v>
      </c>
      <c r="C350">
        <v>2006</v>
      </c>
      <c r="E350" t="s">
        <v>2988</v>
      </c>
    </row>
    <row r="351" spans="1:5" x14ac:dyDescent="0.25">
      <c r="A351" t="s">
        <v>1004</v>
      </c>
      <c r="B351" t="s">
        <v>1482</v>
      </c>
      <c r="C351">
        <v>2006</v>
      </c>
      <c r="E351" t="s">
        <v>3173</v>
      </c>
    </row>
    <row r="352" spans="1:5" x14ac:dyDescent="0.25">
      <c r="A352" t="s">
        <v>1004</v>
      </c>
      <c r="B352" t="s">
        <v>2395</v>
      </c>
      <c r="C352">
        <v>2006</v>
      </c>
      <c r="E352" t="s">
        <v>3174</v>
      </c>
    </row>
    <row r="353" spans="1:5" x14ac:dyDescent="0.25">
      <c r="A353" t="s">
        <v>1004</v>
      </c>
      <c r="B353" t="s">
        <v>2514</v>
      </c>
      <c r="C353">
        <v>2006</v>
      </c>
      <c r="E353" t="s">
        <v>3175</v>
      </c>
    </row>
    <row r="354" spans="1:5" x14ac:dyDescent="0.25">
      <c r="A354" t="s">
        <v>1004</v>
      </c>
      <c r="B354" t="s">
        <v>2623</v>
      </c>
      <c r="C354">
        <v>2006</v>
      </c>
      <c r="E354" t="s">
        <v>3176</v>
      </c>
    </row>
    <row r="355" spans="1:5" x14ac:dyDescent="0.25">
      <c r="A355" t="s">
        <v>1004</v>
      </c>
      <c r="B355" t="s">
        <v>2769</v>
      </c>
      <c r="C355">
        <v>2006</v>
      </c>
      <c r="E355" t="s">
        <v>3177</v>
      </c>
    </row>
    <row r="356" spans="1:5" x14ac:dyDescent="0.25">
      <c r="A356" t="s">
        <v>1004</v>
      </c>
      <c r="B356" t="s">
        <v>2832</v>
      </c>
      <c r="C356">
        <v>2006</v>
      </c>
      <c r="E356" t="s">
        <v>3178</v>
      </c>
    </row>
    <row r="357" spans="1:5" x14ac:dyDescent="0.25">
      <c r="A357" t="s">
        <v>1004</v>
      </c>
      <c r="B357" t="s">
        <v>2860</v>
      </c>
      <c r="C357">
        <v>2006</v>
      </c>
      <c r="E357" t="s">
        <v>3179</v>
      </c>
    </row>
    <row r="358" spans="1:5" x14ac:dyDescent="0.25">
      <c r="A358" t="s">
        <v>1004</v>
      </c>
      <c r="B358" t="s">
        <v>2864</v>
      </c>
      <c r="C358">
        <v>2006</v>
      </c>
      <c r="E358" t="s">
        <v>3180</v>
      </c>
    </row>
    <row r="359" spans="1:5" x14ac:dyDescent="0.25">
      <c r="A359" t="s">
        <v>1010</v>
      </c>
      <c r="B359" t="s">
        <v>2273</v>
      </c>
      <c r="C359">
        <v>2025</v>
      </c>
      <c r="E359" t="s">
        <v>3181</v>
      </c>
    </row>
    <row r="360" spans="1:5" x14ac:dyDescent="0.25">
      <c r="A360" t="s">
        <v>1027</v>
      </c>
      <c r="B360" t="s">
        <v>984</v>
      </c>
      <c r="C360">
        <v>2008</v>
      </c>
      <c r="E360" t="s">
        <v>2988</v>
      </c>
    </row>
    <row r="361" spans="1:5" x14ac:dyDescent="0.25">
      <c r="A361" t="s">
        <v>1027</v>
      </c>
      <c r="B361" t="s">
        <v>1025</v>
      </c>
      <c r="C361">
        <v>2008</v>
      </c>
      <c r="D361" t="s">
        <v>187</v>
      </c>
    </row>
    <row r="362" spans="1:5" x14ac:dyDescent="0.25">
      <c r="A362" t="s">
        <v>1029</v>
      </c>
      <c r="B362" t="s">
        <v>2812</v>
      </c>
      <c r="C362">
        <v>2022</v>
      </c>
      <c r="E362" t="s">
        <v>3082</v>
      </c>
    </row>
    <row r="363" spans="1:5" x14ac:dyDescent="0.25">
      <c r="A363" t="s">
        <v>1046</v>
      </c>
      <c r="B363" t="s">
        <v>226</v>
      </c>
      <c r="C363">
        <v>2016</v>
      </c>
      <c r="E363" t="s">
        <v>3182</v>
      </c>
    </row>
    <row r="364" spans="1:5" x14ac:dyDescent="0.25">
      <c r="A364" t="s">
        <v>1046</v>
      </c>
      <c r="B364" t="s">
        <v>245</v>
      </c>
      <c r="C364">
        <v>2016</v>
      </c>
      <c r="E364" t="s">
        <v>3183</v>
      </c>
    </row>
    <row r="365" spans="1:5" x14ac:dyDescent="0.25">
      <c r="A365" t="s">
        <v>1046</v>
      </c>
      <c r="B365" t="s">
        <v>308</v>
      </c>
      <c r="C365">
        <v>2016</v>
      </c>
      <c r="E365" t="s">
        <v>3184</v>
      </c>
    </row>
    <row r="366" spans="1:5" x14ac:dyDescent="0.25">
      <c r="A366" t="s">
        <v>1046</v>
      </c>
      <c r="B366" t="s">
        <v>319</v>
      </c>
      <c r="C366">
        <v>2016</v>
      </c>
      <c r="E366" t="s">
        <v>2982</v>
      </c>
    </row>
    <row r="367" spans="1:5" x14ac:dyDescent="0.25">
      <c r="A367" t="s">
        <v>1046</v>
      </c>
      <c r="B367" t="s">
        <v>333</v>
      </c>
      <c r="C367">
        <v>2016</v>
      </c>
      <c r="E367" t="s">
        <v>3185</v>
      </c>
    </row>
    <row r="368" spans="1:5" x14ac:dyDescent="0.25">
      <c r="A368" t="s">
        <v>1046</v>
      </c>
      <c r="B368" t="s">
        <v>415</v>
      </c>
      <c r="C368">
        <v>2016</v>
      </c>
      <c r="E368" t="s">
        <v>3186</v>
      </c>
    </row>
    <row r="369" spans="1:5" x14ac:dyDescent="0.25">
      <c r="A369" t="s">
        <v>1046</v>
      </c>
      <c r="B369" t="s">
        <v>501</v>
      </c>
      <c r="C369">
        <v>2016</v>
      </c>
      <c r="E369" t="s">
        <v>3187</v>
      </c>
    </row>
    <row r="370" spans="1:5" x14ac:dyDescent="0.25">
      <c r="A370" t="s">
        <v>1046</v>
      </c>
      <c r="B370" t="s">
        <v>709</v>
      </c>
      <c r="C370">
        <v>2016</v>
      </c>
      <c r="E370" t="s">
        <v>3114</v>
      </c>
    </row>
    <row r="371" spans="1:5" x14ac:dyDescent="0.25">
      <c r="A371" t="s">
        <v>1046</v>
      </c>
      <c r="B371" t="s">
        <v>1050</v>
      </c>
      <c r="C371">
        <v>2016</v>
      </c>
      <c r="E371" t="s">
        <v>3102</v>
      </c>
    </row>
    <row r="372" spans="1:5" x14ac:dyDescent="0.25">
      <c r="A372" t="s">
        <v>1046</v>
      </c>
      <c r="B372" t="s">
        <v>1067</v>
      </c>
      <c r="C372">
        <v>2016</v>
      </c>
      <c r="D372" t="s">
        <v>187</v>
      </c>
    </row>
    <row r="373" spans="1:5" x14ac:dyDescent="0.25">
      <c r="A373" t="s">
        <v>1046</v>
      </c>
      <c r="B373" t="s">
        <v>1159</v>
      </c>
      <c r="C373">
        <v>2016</v>
      </c>
      <c r="E373" t="s">
        <v>3119</v>
      </c>
    </row>
    <row r="374" spans="1:5" x14ac:dyDescent="0.25">
      <c r="A374" t="s">
        <v>1046</v>
      </c>
      <c r="B374" t="s">
        <v>1219</v>
      </c>
      <c r="C374">
        <v>2016</v>
      </c>
      <c r="E374" t="s">
        <v>2982</v>
      </c>
    </row>
    <row r="375" spans="1:5" x14ac:dyDescent="0.25">
      <c r="A375" t="s">
        <v>1046</v>
      </c>
      <c r="B375" t="s">
        <v>1272</v>
      </c>
      <c r="C375">
        <v>2016</v>
      </c>
      <c r="E375" t="s">
        <v>3188</v>
      </c>
    </row>
    <row r="376" spans="1:5" x14ac:dyDescent="0.25">
      <c r="A376" t="s">
        <v>1046</v>
      </c>
      <c r="B376" t="s">
        <v>1516</v>
      </c>
      <c r="C376">
        <v>2016</v>
      </c>
      <c r="E376" t="s">
        <v>2982</v>
      </c>
    </row>
    <row r="377" spans="1:5" x14ac:dyDescent="0.25">
      <c r="A377" t="s">
        <v>1046</v>
      </c>
      <c r="B377" t="s">
        <v>1771</v>
      </c>
      <c r="C377">
        <v>2016</v>
      </c>
      <c r="E377" t="s">
        <v>3189</v>
      </c>
    </row>
    <row r="378" spans="1:5" x14ac:dyDescent="0.25">
      <c r="A378" t="s">
        <v>1046</v>
      </c>
      <c r="B378" t="s">
        <v>1877</v>
      </c>
      <c r="C378">
        <v>2016</v>
      </c>
      <c r="E378" t="s">
        <v>3190</v>
      </c>
    </row>
    <row r="379" spans="1:5" x14ac:dyDescent="0.25">
      <c r="A379" t="s">
        <v>1046</v>
      </c>
      <c r="B379" t="s">
        <v>7928</v>
      </c>
      <c r="C379">
        <v>2016</v>
      </c>
      <c r="E379" s="10" t="s">
        <v>7927</v>
      </c>
    </row>
    <row r="380" spans="1:5" x14ac:dyDescent="0.25">
      <c r="A380" t="s">
        <v>1046</v>
      </c>
      <c r="B380" t="s">
        <v>1941</v>
      </c>
      <c r="C380">
        <v>2016</v>
      </c>
      <c r="E380" t="s">
        <v>3191</v>
      </c>
    </row>
    <row r="381" spans="1:5" x14ac:dyDescent="0.25">
      <c r="A381" t="s">
        <v>1046</v>
      </c>
      <c r="B381" t="s">
        <v>2056</v>
      </c>
      <c r="C381">
        <v>2016</v>
      </c>
      <c r="E381" t="s">
        <v>3192</v>
      </c>
    </row>
    <row r="382" spans="1:5" x14ac:dyDescent="0.25">
      <c r="A382" t="s">
        <v>1046</v>
      </c>
      <c r="B382" t="s">
        <v>2267</v>
      </c>
      <c r="C382">
        <v>2016</v>
      </c>
      <c r="E382" t="s">
        <v>2982</v>
      </c>
    </row>
    <row r="383" spans="1:5" x14ac:dyDescent="0.25">
      <c r="A383" t="s">
        <v>1046</v>
      </c>
      <c r="B383" t="s">
        <v>2537</v>
      </c>
      <c r="C383">
        <v>2016</v>
      </c>
      <c r="E383" t="s">
        <v>3010</v>
      </c>
    </row>
    <row r="384" spans="1:5" x14ac:dyDescent="0.25">
      <c r="A384" t="s">
        <v>1046</v>
      </c>
      <c r="B384" t="s">
        <v>2675</v>
      </c>
      <c r="C384">
        <v>2016</v>
      </c>
      <c r="E384" t="s">
        <v>3193</v>
      </c>
    </row>
    <row r="385" spans="1:5" x14ac:dyDescent="0.25">
      <c r="A385" t="s">
        <v>1046</v>
      </c>
      <c r="B385" t="s">
        <v>2698</v>
      </c>
      <c r="C385">
        <v>2016</v>
      </c>
      <c r="E385" t="s">
        <v>3194</v>
      </c>
    </row>
    <row r="386" spans="1:5" x14ac:dyDescent="0.25">
      <c r="A386" t="s">
        <v>1046</v>
      </c>
      <c r="B386" t="s">
        <v>2711</v>
      </c>
      <c r="C386">
        <v>2016</v>
      </c>
      <c r="E386" t="s">
        <v>3195</v>
      </c>
    </row>
    <row r="387" spans="1:5" x14ac:dyDescent="0.25">
      <c r="A387" t="s">
        <v>1055</v>
      </c>
      <c r="B387" t="s">
        <v>1057</v>
      </c>
      <c r="C387">
        <v>2015</v>
      </c>
      <c r="D387" t="s">
        <v>187</v>
      </c>
    </row>
    <row r="388" spans="1:5" x14ac:dyDescent="0.25">
      <c r="A388" t="s">
        <v>1080</v>
      </c>
      <c r="B388" t="s">
        <v>934</v>
      </c>
      <c r="C388">
        <v>1990</v>
      </c>
      <c r="D388" t="s">
        <v>187</v>
      </c>
      <c r="E388" t="s">
        <v>3196</v>
      </c>
    </row>
    <row r="389" spans="1:5" x14ac:dyDescent="0.25">
      <c r="A389" t="s">
        <v>1089</v>
      </c>
      <c r="B389" t="s">
        <v>181</v>
      </c>
      <c r="C389">
        <v>2021</v>
      </c>
      <c r="D389" t="s">
        <v>187</v>
      </c>
    </row>
    <row r="390" spans="1:5" x14ac:dyDescent="0.25">
      <c r="A390" t="s">
        <v>1089</v>
      </c>
      <c r="B390" t="s">
        <v>1108</v>
      </c>
      <c r="C390">
        <v>2021</v>
      </c>
      <c r="E390" t="s">
        <v>2982</v>
      </c>
    </row>
    <row r="391" spans="1:5" x14ac:dyDescent="0.25">
      <c r="A391" t="s">
        <v>1089</v>
      </c>
      <c r="B391" t="s">
        <v>1507</v>
      </c>
      <c r="C391">
        <v>2021</v>
      </c>
      <c r="D391" t="s">
        <v>187</v>
      </c>
    </row>
    <row r="392" spans="1:5" x14ac:dyDescent="0.25">
      <c r="A392" t="s">
        <v>1093</v>
      </c>
      <c r="B392" t="s">
        <v>584</v>
      </c>
      <c r="C392">
        <v>2007</v>
      </c>
      <c r="D392" t="s">
        <v>187</v>
      </c>
    </row>
    <row r="393" spans="1:5" x14ac:dyDescent="0.25">
      <c r="A393" t="s">
        <v>1100</v>
      </c>
      <c r="B393" t="s">
        <v>563</v>
      </c>
      <c r="C393">
        <v>2022</v>
      </c>
      <c r="E393" t="s">
        <v>566</v>
      </c>
    </row>
    <row r="394" spans="1:5" x14ac:dyDescent="0.25">
      <c r="A394" t="s">
        <v>1115</v>
      </c>
      <c r="B394" t="s">
        <v>1119</v>
      </c>
      <c r="C394">
        <v>2018</v>
      </c>
      <c r="D394" t="s">
        <v>187</v>
      </c>
    </row>
    <row r="395" spans="1:5" x14ac:dyDescent="0.25">
      <c r="A395" t="s">
        <v>1115</v>
      </c>
      <c r="B395" t="s">
        <v>1526</v>
      </c>
      <c r="C395">
        <v>2018</v>
      </c>
      <c r="E395" t="s">
        <v>3054</v>
      </c>
    </row>
    <row r="396" spans="1:5" x14ac:dyDescent="0.25">
      <c r="A396" t="s">
        <v>1115</v>
      </c>
      <c r="B396" t="s">
        <v>2244</v>
      </c>
      <c r="C396">
        <v>2018</v>
      </c>
      <c r="E396" t="s">
        <v>3091</v>
      </c>
    </row>
    <row r="397" spans="1:5" x14ac:dyDescent="0.25">
      <c r="A397" t="s">
        <v>1123</v>
      </c>
      <c r="B397" t="s">
        <v>276</v>
      </c>
      <c r="C397">
        <v>2020</v>
      </c>
      <c r="D397" t="s">
        <v>187</v>
      </c>
    </row>
    <row r="398" spans="1:5" x14ac:dyDescent="0.25">
      <c r="A398" t="s">
        <v>1129</v>
      </c>
      <c r="B398" t="s">
        <v>850</v>
      </c>
      <c r="C398">
        <v>2022</v>
      </c>
      <c r="E398" t="s">
        <v>2982</v>
      </c>
    </row>
    <row r="399" spans="1:5" x14ac:dyDescent="0.25">
      <c r="A399" t="s">
        <v>1129</v>
      </c>
      <c r="B399" t="s">
        <v>8118</v>
      </c>
      <c r="C399">
        <v>2022</v>
      </c>
      <c r="D399" t="s">
        <v>187</v>
      </c>
    </row>
    <row r="400" spans="1:5" x14ac:dyDescent="0.25">
      <c r="A400" t="s">
        <v>1144</v>
      </c>
      <c r="B400" t="s">
        <v>221</v>
      </c>
      <c r="C400">
        <v>2012</v>
      </c>
      <c r="E400" t="s">
        <v>3197</v>
      </c>
    </row>
    <row r="401" spans="1:5" x14ac:dyDescent="0.25">
      <c r="A401" t="s">
        <v>1144</v>
      </c>
      <c r="B401" t="s">
        <v>283</v>
      </c>
      <c r="C401">
        <v>2018</v>
      </c>
      <c r="E401" t="s">
        <v>3198</v>
      </c>
    </row>
    <row r="402" spans="1:5" x14ac:dyDescent="0.25">
      <c r="A402" t="s">
        <v>1144</v>
      </c>
      <c r="B402" t="s">
        <v>484</v>
      </c>
      <c r="C402">
        <v>2012</v>
      </c>
      <c r="E402" t="s">
        <v>3199</v>
      </c>
    </row>
    <row r="403" spans="1:5" x14ac:dyDescent="0.25">
      <c r="A403" t="s">
        <v>1144</v>
      </c>
      <c r="B403" t="s">
        <v>493</v>
      </c>
      <c r="C403">
        <v>2012</v>
      </c>
      <c r="E403" t="s">
        <v>2982</v>
      </c>
    </row>
    <row r="404" spans="1:5" x14ac:dyDescent="0.25">
      <c r="A404" t="s">
        <v>1144</v>
      </c>
      <c r="B404" t="s">
        <v>639</v>
      </c>
      <c r="C404">
        <v>2012</v>
      </c>
      <c r="E404" t="s">
        <v>642</v>
      </c>
    </row>
    <row r="405" spans="1:5" x14ac:dyDescent="0.25">
      <c r="A405" t="s">
        <v>1144</v>
      </c>
      <c r="B405" t="s">
        <v>685</v>
      </c>
      <c r="C405">
        <v>2012</v>
      </c>
      <c r="E405" t="s">
        <v>3200</v>
      </c>
    </row>
    <row r="406" spans="1:5" x14ac:dyDescent="0.25">
      <c r="A406" t="s">
        <v>1144</v>
      </c>
      <c r="B406" t="s">
        <v>713</v>
      </c>
      <c r="C406">
        <v>2012</v>
      </c>
      <c r="E406" t="s">
        <v>3201</v>
      </c>
    </row>
    <row r="407" spans="1:5" x14ac:dyDescent="0.25">
      <c r="A407" t="s">
        <v>1144</v>
      </c>
      <c r="B407" t="s">
        <v>786</v>
      </c>
      <c r="C407">
        <v>2012</v>
      </c>
      <c r="E407" t="s">
        <v>2982</v>
      </c>
    </row>
    <row r="408" spans="1:5" x14ac:dyDescent="0.25">
      <c r="A408" t="s">
        <v>1144</v>
      </c>
      <c r="B408" t="s">
        <v>791</v>
      </c>
      <c r="C408">
        <v>2012</v>
      </c>
      <c r="E408" t="s">
        <v>3202</v>
      </c>
    </row>
    <row r="409" spans="1:5" x14ac:dyDescent="0.25">
      <c r="A409" t="s">
        <v>1144</v>
      </c>
      <c r="B409" t="s">
        <v>813</v>
      </c>
      <c r="C409">
        <v>2012</v>
      </c>
      <c r="E409" t="s">
        <v>3099</v>
      </c>
    </row>
    <row r="410" spans="1:5" x14ac:dyDescent="0.25">
      <c r="A410" t="s">
        <v>1144</v>
      </c>
      <c r="B410" t="s">
        <v>865</v>
      </c>
      <c r="C410">
        <v>2012</v>
      </c>
      <c r="E410" t="s">
        <v>3203</v>
      </c>
    </row>
    <row r="411" spans="1:5" x14ac:dyDescent="0.25">
      <c r="A411" t="s">
        <v>1144</v>
      </c>
      <c r="B411" t="s">
        <v>1123</v>
      </c>
      <c r="C411">
        <v>2012</v>
      </c>
      <c r="E411" t="s">
        <v>3204</v>
      </c>
    </row>
    <row r="412" spans="1:5" x14ac:dyDescent="0.25">
      <c r="A412" t="s">
        <v>1144</v>
      </c>
      <c r="B412" t="s">
        <v>1306</v>
      </c>
      <c r="C412">
        <v>2012</v>
      </c>
      <c r="E412" t="s">
        <v>3205</v>
      </c>
    </row>
    <row r="413" spans="1:5" x14ac:dyDescent="0.25">
      <c r="A413" t="s">
        <v>1144</v>
      </c>
      <c r="B413" t="s">
        <v>1320</v>
      </c>
      <c r="C413">
        <v>2012</v>
      </c>
      <c r="E413" t="s">
        <v>3206</v>
      </c>
    </row>
    <row r="414" spans="1:5" x14ac:dyDescent="0.25">
      <c r="A414" t="s">
        <v>1144</v>
      </c>
      <c r="B414" t="s">
        <v>1439</v>
      </c>
      <c r="C414">
        <v>2012</v>
      </c>
      <c r="E414" t="s">
        <v>3090</v>
      </c>
    </row>
    <row r="415" spans="1:5" x14ac:dyDescent="0.25">
      <c r="A415" t="s">
        <v>1144</v>
      </c>
      <c r="B415" t="s">
        <v>1443</v>
      </c>
      <c r="C415">
        <v>2012</v>
      </c>
      <c r="D415" t="s">
        <v>187</v>
      </c>
      <c r="E415" t="s">
        <v>3207</v>
      </c>
    </row>
    <row r="416" spans="1:5" x14ac:dyDescent="0.25">
      <c r="A416" t="s">
        <v>1144</v>
      </c>
      <c r="B416" t="s">
        <v>1545</v>
      </c>
      <c r="C416">
        <v>2012</v>
      </c>
      <c r="E416" t="s">
        <v>3013</v>
      </c>
    </row>
    <row r="417" spans="1:5" x14ac:dyDescent="0.25">
      <c r="A417" t="s">
        <v>1144</v>
      </c>
      <c r="B417" t="s">
        <v>1700</v>
      </c>
      <c r="C417">
        <v>2012</v>
      </c>
      <c r="E417" t="s">
        <v>3208</v>
      </c>
    </row>
    <row r="418" spans="1:5" x14ac:dyDescent="0.25">
      <c r="A418" t="s">
        <v>1144</v>
      </c>
      <c r="B418" t="s">
        <v>1847</v>
      </c>
      <c r="C418">
        <v>2012</v>
      </c>
      <c r="E418" t="s">
        <v>3209</v>
      </c>
    </row>
    <row r="419" spans="1:5" x14ac:dyDescent="0.25">
      <c r="A419" t="s">
        <v>1144</v>
      </c>
      <c r="B419" t="s">
        <v>1895</v>
      </c>
      <c r="C419">
        <v>2012</v>
      </c>
      <c r="E419" t="s">
        <v>3210</v>
      </c>
    </row>
    <row r="420" spans="1:5" x14ac:dyDescent="0.25">
      <c r="A420" t="s">
        <v>1144</v>
      </c>
      <c r="B420" t="s">
        <v>1911</v>
      </c>
      <c r="C420">
        <v>2012</v>
      </c>
      <c r="E420" t="s">
        <v>3211</v>
      </c>
    </row>
    <row r="421" spans="1:5" x14ac:dyDescent="0.25">
      <c r="A421" t="s">
        <v>1144</v>
      </c>
      <c r="B421" t="s">
        <v>2080</v>
      </c>
      <c r="C421">
        <v>2012</v>
      </c>
      <c r="E421" t="s">
        <v>3212</v>
      </c>
    </row>
    <row r="422" spans="1:5" x14ac:dyDescent="0.25">
      <c r="A422" t="s">
        <v>1144</v>
      </c>
      <c r="B422" t="s">
        <v>2144</v>
      </c>
      <c r="C422">
        <v>2012</v>
      </c>
      <c r="E422" t="s">
        <v>3148</v>
      </c>
    </row>
    <row r="423" spans="1:5" x14ac:dyDescent="0.25">
      <c r="A423" t="s">
        <v>1144</v>
      </c>
      <c r="B423" t="s">
        <v>2187</v>
      </c>
      <c r="C423">
        <v>2012</v>
      </c>
      <c r="E423" t="s">
        <v>3017</v>
      </c>
    </row>
    <row r="424" spans="1:5" x14ac:dyDescent="0.25">
      <c r="A424" t="s">
        <v>1144</v>
      </c>
      <c r="B424" t="s">
        <v>2281</v>
      </c>
      <c r="C424">
        <v>2012</v>
      </c>
      <c r="E424" t="s">
        <v>3213</v>
      </c>
    </row>
    <row r="425" spans="1:5" x14ac:dyDescent="0.25">
      <c r="A425" t="s">
        <v>1144</v>
      </c>
      <c r="B425" t="s">
        <v>90</v>
      </c>
      <c r="C425">
        <v>2012</v>
      </c>
      <c r="E425" t="s">
        <v>3214</v>
      </c>
    </row>
    <row r="426" spans="1:5" x14ac:dyDescent="0.25">
      <c r="A426" t="s">
        <v>1144</v>
      </c>
      <c r="B426" t="s">
        <v>2361</v>
      </c>
      <c r="C426">
        <v>2012</v>
      </c>
      <c r="E426" t="s">
        <v>2982</v>
      </c>
    </row>
    <row r="427" spans="1:5" x14ac:dyDescent="0.25">
      <c r="A427" t="s">
        <v>1144</v>
      </c>
      <c r="B427" t="s">
        <v>2389</v>
      </c>
      <c r="C427">
        <v>2012</v>
      </c>
      <c r="E427" t="s">
        <v>3215</v>
      </c>
    </row>
    <row r="428" spans="1:5" x14ac:dyDescent="0.25">
      <c r="A428" t="s">
        <v>1144</v>
      </c>
      <c r="B428" t="s">
        <v>7860</v>
      </c>
      <c r="C428">
        <v>2012</v>
      </c>
      <c r="E428" t="s">
        <v>7859</v>
      </c>
    </row>
    <row r="429" spans="1:5" x14ac:dyDescent="0.25">
      <c r="A429" t="s">
        <v>1144</v>
      </c>
      <c r="B429" t="s">
        <v>2502</v>
      </c>
      <c r="C429">
        <v>2012</v>
      </c>
      <c r="E429" t="s">
        <v>3201</v>
      </c>
    </row>
    <row r="430" spans="1:5" x14ac:dyDescent="0.25">
      <c r="A430" t="s">
        <v>1144</v>
      </c>
      <c r="B430" t="s">
        <v>2530</v>
      </c>
      <c r="C430">
        <v>2012</v>
      </c>
      <c r="E430" t="s">
        <v>3216</v>
      </c>
    </row>
    <row r="431" spans="1:5" x14ac:dyDescent="0.25">
      <c r="A431" t="s">
        <v>1144</v>
      </c>
      <c r="B431" t="s">
        <v>2605</v>
      </c>
      <c r="C431">
        <v>2012</v>
      </c>
      <c r="E431" t="s">
        <v>2982</v>
      </c>
    </row>
    <row r="432" spans="1:5" x14ac:dyDescent="0.25">
      <c r="A432" t="s">
        <v>1144</v>
      </c>
      <c r="B432" t="s">
        <v>2751</v>
      </c>
      <c r="C432">
        <v>2012</v>
      </c>
      <c r="E432" t="s">
        <v>2982</v>
      </c>
    </row>
    <row r="433" spans="1:5" x14ac:dyDescent="0.25">
      <c r="A433" t="s">
        <v>1144</v>
      </c>
      <c r="B433" t="s">
        <v>2757</v>
      </c>
      <c r="C433">
        <v>2012</v>
      </c>
      <c r="E433" t="s">
        <v>2982</v>
      </c>
    </row>
    <row r="434" spans="1:5" x14ac:dyDescent="0.25">
      <c r="A434" t="s">
        <v>1144</v>
      </c>
      <c r="B434" t="s">
        <v>2824</v>
      </c>
      <c r="C434">
        <v>2012</v>
      </c>
      <c r="E434" t="s">
        <v>3217</v>
      </c>
    </row>
    <row r="435" spans="1:5" x14ac:dyDescent="0.25">
      <c r="A435" t="s">
        <v>1144</v>
      </c>
      <c r="B435" t="s">
        <v>2832</v>
      </c>
      <c r="C435">
        <v>2012</v>
      </c>
      <c r="E435" t="s">
        <v>3178</v>
      </c>
    </row>
    <row r="436" spans="1:5" x14ac:dyDescent="0.25">
      <c r="A436" t="s">
        <v>1144</v>
      </c>
      <c r="B436" t="s">
        <v>2854</v>
      </c>
      <c r="C436">
        <v>2012</v>
      </c>
      <c r="E436" t="s">
        <v>3064</v>
      </c>
    </row>
    <row r="437" spans="1:5" x14ac:dyDescent="0.25">
      <c r="A437" t="s">
        <v>1155</v>
      </c>
      <c r="B437" t="s">
        <v>327</v>
      </c>
      <c r="C437">
        <v>2010</v>
      </c>
      <c r="D437" t="s">
        <v>187</v>
      </c>
    </row>
    <row r="438" spans="1:5" x14ac:dyDescent="0.25">
      <c r="A438" t="s">
        <v>1155</v>
      </c>
      <c r="B438" t="s">
        <v>1661</v>
      </c>
      <c r="C438">
        <v>2010</v>
      </c>
      <c r="D438" t="s">
        <v>187</v>
      </c>
    </row>
    <row r="439" spans="1:5" x14ac:dyDescent="0.25">
      <c r="A439" t="s">
        <v>1155</v>
      </c>
      <c r="B439" t="s">
        <v>1746</v>
      </c>
      <c r="C439">
        <v>2010</v>
      </c>
      <c r="D439" t="s">
        <v>187</v>
      </c>
    </row>
    <row r="440" spans="1:5" x14ac:dyDescent="0.25">
      <c r="A440" t="s">
        <v>1155</v>
      </c>
      <c r="B440" t="s">
        <v>2242</v>
      </c>
      <c r="C440">
        <v>2010</v>
      </c>
      <c r="D440" t="s">
        <v>187</v>
      </c>
    </row>
    <row r="441" spans="1:5" x14ac:dyDescent="0.25">
      <c r="A441" t="s">
        <v>1157</v>
      </c>
      <c r="B441" t="s">
        <v>2728</v>
      </c>
      <c r="C441">
        <v>2014</v>
      </c>
      <c r="D441" t="s">
        <v>187</v>
      </c>
    </row>
    <row r="442" spans="1:5" x14ac:dyDescent="0.25">
      <c r="A442" t="s">
        <v>1171</v>
      </c>
      <c r="B442" t="s">
        <v>1174</v>
      </c>
      <c r="C442">
        <v>2002</v>
      </c>
      <c r="D442" t="s">
        <v>187</v>
      </c>
    </row>
    <row r="443" spans="1:5" x14ac:dyDescent="0.25">
      <c r="A443" t="s">
        <v>1174</v>
      </c>
      <c r="B443" t="s">
        <v>1177</v>
      </c>
      <c r="C443">
        <v>2007</v>
      </c>
      <c r="D443" t="s">
        <v>187</v>
      </c>
    </row>
    <row r="444" spans="1:5" x14ac:dyDescent="0.25">
      <c r="A444" t="s">
        <v>1180</v>
      </c>
      <c r="B444" t="s">
        <v>561</v>
      </c>
      <c r="C444">
        <v>2024</v>
      </c>
      <c r="D444" t="s">
        <v>187</v>
      </c>
    </row>
    <row r="445" spans="1:5" x14ac:dyDescent="0.25">
      <c r="A445" t="s">
        <v>1180</v>
      </c>
      <c r="B445" t="s">
        <v>1184</v>
      </c>
      <c r="C445">
        <v>2024</v>
      </c>
      <c r="D445" t="s">
        <v>187</v>
      </c>
    </row>
    <row r="446" spans="1:5" x14ac:dyDescent="0.25">
      <c r="A446" t="s">
        <v>1187</v>
      </c>
      <c r="B446" t="s">
        <v>1191</v>
      </c>
      <c r="C446">
        <v>2020</v>
      </c>
      <c r="D446" t="s">
        <v>187</v>
      </c>
    </row>
    <row r="447" spans="1:5" x14ac:dyDescent="0.25">
      <c r="A447" t="s">
        <v>1235</v>
      </c>
      <c r="B447" t="s">
        <v>1239</v>
      </c>
      <c r="C447">
        <v>2026</v>
      </c>
      <c r="D447" t="s">
        <v>187</v>
      </c>
    </row>
    <row r="448" spans="1:5" x14ac:dyDescent="0.25">
      <c r="A448" t="s">
        <v>1255</v>
      </c>
      <c r="B448" t="s">
        <v>8121</v>
      </c>
      <c r="C448">
        <v>2020</v>
      </c>
      <c r="E448" s="10" t="s">
        <v>8135</v>
      </c>
    </row>
    <row r="449" spans="1:5" x14ac:dyDescent="0.25">
      <c r="A449" t="s">
        <v>1255</v>
      </c>
      <c r="B449" t="s">
        <v>2965</v>
      </c>
      <c r="C449">
        <v>2020</v>
      </c>
      <c r="E449" t="s">
        <v>3218</v>
      </c>
    </row>
    <row r="450" spans="1:5" x14ac:dyDescent="0.25">
      <c r="A450" t="s">
        <v>1259</v>
      </c>
      <c r="B450" t="s">
        <v>1262</v>
      </c>
      <c r="C450">
        <v>2021</v>
      </c>
      <c r="D450" t="s">
        <v>187</v>
      </c>
    </row>
    <row r="451" spans="1:5" x14ac:dyDescent="0.25">
      <c r="A451" t="s">
        <v>1265</v>
      </c>
      <c r="B451" t="s">
        <v>795</v>
      </c>
      <c r="C451">
        <v>2015</v>
      </c>
      <c r="E451" t="s">
        <v>3098</v>
      </c>
    </row>
    <row r="452" spans="1:5" x14ac:dyDescent="0.25">
      <c r="A452" t="s">
        <v>1272</v>
      </c>
      <c r="B452" t="s">
        <v>7918</v>
      </c>
      <c r="C452">
        <v>2020</v>
      </c>
      <c r="E452" s="10" t="s">
        <v>7917</v>
      </c>
    </row>
    <row r="453" spans="1:5" x14ac:dyDescent="0.25">
      <c r="A453" t="s">
        <v>1272</v>
      </c>
      <c r="B453" t="s">
        <v>488</v>
      </c>
      <c r="C453">
        <v>2020</v>
      </c>
      <c r="E453" t="s">
        <v>3219</v>
      </c>
    </row>
    <row r="454" spans="1:5" x14ac:dyDescent="0.25">
      <c r="A454" t="s">
        <v>1272</v>
      </c>
      <c r="B454" t="s">
        <v>744</v>
      </c>
      <c r="C454">
        <v>2020</v>
      </c>
      <c r="E454" t="s">
        <v>3220</v>
      </c>
    </row>
    <row r="455" spans="1:5" x14ac:dyDescent="0.25">
      <c r="A455" t="s">
        <v>1272</v>
      </c>
      <c r="B455" t="s">
        <v>7959</v>
      </c>
      <c r="C455">
        <v>2020</v>
      </c>
      <c r="E455" s="10" t="s">
        <v>7962</v>
      </c>
    </row>
    <row r="456" spans="1:5" x14ac:dyDescent="0.25">
      <c r="A456" t="s">
        <v>1272</v>
      </c>
      <c r="B456" t="s">
        <v>2146</v>
      </c>
      <c r="C456">
        <v>2020</v>
      </c>
      <c r="E456" t="s">
        <v>3122</v>
      </c>
    </row>
    <row r="457" spans="1:5" x14ac:dyDescent="0.25">
      <c r="A457" t="s">
        <v>1272</v>
      </c>
      <c r="B457" t="s">
        <v>2812</v>
      </c>
      <c r="C457">
        <v>2020</v>
      </c>
      <c r="E457" t="s">
        <v>3082</v>
      </c>
    </row>
    <row r="458" spans="1:5" x14ac:dyDescent="0.25">
      <c r="A458" t="s">
        <v>1276</v>
      </c>
      <c r="B458" t="s">
        <v>1280</v>
      </c>
      <c r="C458">
        <v>2022</v>
      </c>
      <c r="D458" t="s">
        <v>187</v>
      </c>
    </row>
    <row r="459" spans="1:5" x14ac:dyDescent="0.25">
      <c r="A459" t="s">
        <v>1284</v>
      </c>
      <c r="B459" t="s">
        <v>256</v>
      </c>
      <c r="C459">
        <v>1984</v>
      </c>
      <c r="E459" t="s">
        <v>3221</v>
      </c>
    </row>
    <row r="460" spans="1:5" x14ac:dyDescent="0.25">
      <c r="A460" t="s">
        <v>1284</v>
      </c>
      <c r="B460" t="s">
        <v>1004</v>
      </c>
      <c r="C460">
        <v>1984</v>
      </c>
      <c r="E460" t="s">
        <v>3222</v>
      </c>
    </row>
    <row r="461" spans="1:5" x14ac:dyDescent="0.25">
      <c r="A461" t="s">
        <v>1284</v>
      </c>
      <c r="B461" t="s">
        <v>1171</v>
      </c>
      <c r="C461">
        <v>1984</v>
      </c>
      <c r="E461" t="s">
        <v>3223</v>
      </c>
    </row>
    <row r="462" spans="1:5" x14ac:dyDescent="0.25">
      <c r="A462" t="s">
        <v>1284</v>
      </c>
      <c r="B462" t="s">
        <v>1177</v>
      </c>
      <c r="C462">
        <v>1984</v>
      </c>
      <c r="E462" t="s">
        <v>2990</v>
      </c>
    </row>
    <row r="463" spans="1:5" x14ac:dyDescent="0.25">
      <c r="A463" t="s">
        <v>1284</v>
      </c>
      <c r="B463" t="s">
        <v>1572</v>
      </c>
      <c r="C463">
        <v>1984</v>
      </c>
      <c r="E463" t="s">
        <v>3224</v>
      </c>
    </row>
    <row r="464" spans="1:5" x14ac:dyDescent="0.25">
      <c r="A464" t="s">
        <v>1284</v>
      </c>
      <c r="B464" t="s">
        <v>1795</v>
      </c>
      <c r="C464">
        <v>1984</v>
      </c>
      <c r="E464" t="s">
        <v>3225</v>
      </c>
    </row>
    <row r="465" spans="1:5" x14ac:dyDescent="0.25">
      <c r="A465" t="s">
        <v>1287</v>
      </c>
      <c r="B465" t="s">
        <v>2962</v>
      </c>
      <c r="C465">
        <v>2022</v>
      </c>
      <c r="E465" t="s">
        <v>3006</v>
      </c>
    </row>
    <row r="466" spans="1:5" x14ac:dyDescent="0.25">
      <c r="A466" t="s">
        <v>1294</v>
      </c>
      <c r="B466" t="s">
        <v>175</v>
      </c>
      <c r="C466">
        <v>2019</v>
      </c>
      <c r="E466" t="s">
        <v>3013</v>
      </c>
    </row>
    <row r="467" spans="1:5" x14ac:dyDescent="0.25">
      <c r="A467" t="s">
        <v>1294</v>
      </c>
      <c r="B467" t="s">
        <v>253</v>
      </c>
      <c r="C467">
        <v>2019</v>
      </c>
      <c r="E467" t="s">
        <v>3111</v>
      </c>
    </row>
    <row r="468" spans="1:5" x14ac:dyDescent="0.25">
      <c r="A468" t="s">
        <v>1294</v>
      </c>
      <c r="B468" t="s">
        <v>303</v>
      </c>
      <c r="C468">
        <v>2019</v>
      </c>
      <c r="E468" t="s">
        <v>3226</v>
      </c>
    </row>
    <row r="469" spans="1:5" x14ac:dyDescent="0.25">
      <c r="A469" t="s">
        <v>1294</v>
      </c>
      <c r="B469" t="s">
        <v>310</v>
      </c>
      <c r="C469">
        <v>2019</v>
      </c>
      <c r="E469" t="s">
        <v>3077</v>
      </c>
    </row>
    <row r="470" spans="1:5" x14ac:dyDescent="0.25">
      <c r="A470" t="s">
        <v>1294</v>
      </c>
      <c r="B470" t="s">
        <v>387</v>
      </c>
      <c r="C470">
        <v>2019</v>
      </c>
      <c r="E470" t="s">
        <v>3113</v>
      </c>
    </row>
    <row r="471" spans="1:5" x14ac:dyDescent="0.25">
      <c r="A471" t="s">
        <v>1294</v>
      </c>
      <c r="B471" t="s">
        <v>428</v>
      </c>
      <c r="C471">
        <v>2019</v>
      </c>
      <c r="E471" t="s">
        <v>3020</v>
      </c>
    </row>
    <row r="472" spans="1:5" x14ac:dyDescent="0.25">
      <c r="A472" t="s">
        <v>1294</v>
      </c>
      <c r="B472" t="s">
        <v>447</v>
      </c>
      <c r="C472">
        <v>2019</v>
      </c>
      <c r="E472" t="s">
        <v>2982</v>
      </c>
    </row>
    <row r="473" spans="1:5" x14ac:dyDescent="0.25">
      <c r="A473" t="s">
        <v>1294</v>
      </c>
      <c r="B473" t="s">
        <v>488</v>
      </c>
      <c r="C473">
        <v>2019</v>
      </c>
      <c r="E473" t="s">
        <v>3219</v>
      </c>
    </row>
    <row r="474" spans="1:5" x14ac:dyDescent="0.25">
      <c r="A474" t="s">
        <v>1294</v>
      </c>
      <c r="B474" t="s">
        <v>602</v>
      </c>
      <c r="C474">
        <v>2019</v>
      </c>
      <c r="E474" t="s">
        <v>2982</v>
      </c>
    </row>
    <row r="475" spans="1:5" x14ac:dyDescent="0.25">
      <c r="A475" t="s">
        <v>1294</v>
      </c>
      <c r="B475" t="s">
        <v>709</v>
      </c>
      <c r="C475">
        <v>2019</v>
      </c>
      <c r="E475" t="s">
        <v>3114</v>
      </c>
    </row>
    <row r="476" spans="1:5" x14ac:dyDescent="0.25">
      <c r="A476" t="s">
        <v>1294</v>
      </c>
      <c r="B476" t="s">
        <v>7838</v>
      </c>
      <c r="C476">
        <v>2019</v>
      </c>
      <c r="E476" t="s">
        <v>7840</v>
      </c>
    </row>
    <row r="477" spans="1:5" x14ac:dyDescent="0.25">
      <c r="A477" t="s">
        <v>1294</v>
      </c>
      <c r="B477" t="s">
        <v>744</v>
      </c>
      <c r="C477">
        <v>2019</v>
      </c>
      <c r="E477" t="s">
        <v>3220</v>
      </c>
    </row>
    <row r="478" spans="1:5" x14ac:dyDescent="0.25">
      <c r="A478" t="s">
        <v>1294</v>
      </c>
      <c r="B478" t="s">
        <v>778</v>
      </c>
      <c r="C478">
        <v>2019</v>
      </c>
      <c r="E478" t="s">
        <v>3227</v>
      </c>
    </row>
    <row r="479" spans="1:5" x14ac:dyDescent="0.25">
      <c r="A479" t="s">
        <v>1294</v>
      </c>
      <c r="B479" t="s">
        <v>821</v>
      </c>
      <c r="C479">
        <v>2019</v>
      </c>
      <c r="E479" t="s">
        <v>3086</v>
      </c>
    </row>
    <row r="480" spans="1:5" x14ac:dyDescent="0.25">
      <c r="A480" t="s">
        <v>1294</v>
      </c>
      <c r="B480" t="s">
        <v>948</v>
      </c>
      <c r="C480">
        <v>2019</v>
      </c>
      <c r="E480" t="s">
        <v>3116</v>
      </c>
    </row>
    <row r="481" spans="1:5" x14ac:dyDescent="0.25">
      <c r="A481" t="s">
        <v>1294</v>
      </c>
      <c r="B481" t="s">
        <v>1002</v>
      </c>
      <c r="C481">
        <v>2019</v>
      </c>
      <c r="E481" t="s">
        <v>3117</v>
      </c>
    </row>
    <row r="482" spans="1:5" x14ac:dyDescent="0.25">
      <c r="A482" t="s">
        <v>1294</v>
      </c>
      <c r="B482" t="s">
        <v>1029</v>
      </c>
      <c r="C482">
        <v>2019</v>
      </c>
      <c r="E482" t="s">
        <v>2982</v>
      </c>
    </row>
    <row r="483" spans="1:5" x14ac:dyDescent="0.25">
      <c r="A483" t="s">
        <v>1294</v>
      </c>
      <c r="B483" t="s">
        <v>1129</v>
      </c>
      <c r="C483">
        <v>2019</v>
      </c>
      <c r="E483" t="s">
        <v>3228</v>
      </c>
    </row>
    <row r="484" spans="1:5" x14ac:dyDescent="0.25">
      <c r="A484" t="s">
        <v>1294</v>
      </c>
      <c r="B484" t="s">
        <v>1166</v>
      </c>
      <c r="C484">
        <v>2019</v>
      </c>
      <c r="E484" t="s">
        <v>3089</v>
      </c>
    </row>
    <row r="485" spans="1:5" x14ac:dyDescent="0.25">
      <c r="A485" t="s">
        <v>1294</v>
      </c>
      <c r="B485" t="s">
        <v>1219</v>
      </c>
      <c r="C485">
        <v>2019</v>
      </c>
      <c r="E485" t="s">
        <v>2982</v>
      </c>
    </row>
    <row r="486" spans="1:5" x14ac:dyDescent="0.25">
      <c r="A486" t="s">
        <v>1294</v>
      </c>
      <c r="B486" t="s">
        <v>1298</v>
      </c>
      <c r="C486">
        <v>2019</v>
      </c>
      <c r="D486" t="s">
        <v>187</v>
      </c>
    </row>
    <row r="487" spans="1:5" x14ac:dyDescent="0.25">
      <c r="A487" t="s">
        <v>1294</v>
      </c>
      <c r="B487" t="s">
        <v>1326</v>
      </c>
      <c r="C487">
        <v>2019</v>
      </c>
      <c r="E487" t="s">
        <v>3229</v>
      </c>
    </row>
    <row r="488" spans="1:5" x14ac:dyDescent="0.25">
      <c r="A488" t="s">
        <v>1294</v>
      </c>
      <c r="B488" t="s">
        <v>1344</v>
      </c>
      <c r="C488">
        <v>2019</v>
      </c>
      <c r="E488" t="s">
        <v>3103</v>
      </c>
    </row>
    <row r="489" spans="1:5" x14ac:dyDescent="0.25">
      <c r="A489" t="s">
        <v>1294</v>
      </c>
      <c r="B489" t="s">
        <v>1348</v>
      </c>
      <c r="C489">
        <v>2019</v>
      </c>
      <c r="E489" t="s">
        <v>3230</v>
      </c>
    </row>
    <row r="490" spans="1:5" x14ac:dyDescent="0.25">
      <c r="A490" t="s">
        <v>1294</v>
      </c>
      <c r="B490" t="s">
        <v>1357</v>
      </c>
      <c r="C490">
        <v>2019</v>
      </c>
      <c r="E490" t="s">
        <v>3231</v>
      </c>
    </row>
    <row r="491" spans="1:5" x14ac:dyDescent="0.25">
      <c r="A491" t="s">
        <v>1294</v>
      </c>
      <c r="B491" t="s">
        <v>1492</v>
      </c>
      <c r="C491">
        <v>2019</v>
      </c>
      <c r="E491" t="s">
        <v>3087</v>
      </c>
    </row>
    <row r="492" spans="1:5" x14ac:dyDescent="0.25">
      <c r="A492" t="s">
        <v>1294</v>
      </c>
      <c r="B492" t="s">
        <v>1570</v>
      </c>
      <c r="C492">
        <v>2019</v>
      </c>
      <c r="E492" t="s">
        <v>3232</v>
      </c>
    </row>
    <row r="493" spans="1:5" x14ac:dyDescent="0.25">
      <c r="A493" t="s">
        <v>1294</v>
      </c>
      <c r="B493" t="s">
        <v>1606</v>
      </c>
      <c r="C493">
        <v>2019</v>
      </c>
      <c r="E493" t="s">
        <v>3233</v>
      </c>
    </row>
    <row r="494" spans="1:5" x14ac:dyDescent="0.25">
      <c r="A494" t="s">
        <v>1294</v>
      </c>
      <c r="B494" t="s">
        <v>1798</v>
      </c>
      <c r="C494">
        <v>2019</v>
      </c>
      <c r="E494" t="s">
        <v>3092</v>
      </c>
    </row>
    <row r="495" spans="1:5" x14ac:dyDescent="0.25">
      <c r="A495" t="s">
        <v>1294</v>
      </c>
      <c r="B495" t="s">
        <v>1801</v>
      </c>
      <c r="C495">
        <v>2019</v>
      </c>
      <c r="E495" t="s">
        <v>3013</v>
      </c>
    </row>
    <row r="496" spans="1:5" x14ac:dyDescent="0.25">
      <c r="A496" t="s">
        <v>1294</v>
      </c>
      <c r="B496" t="s">
        <v>1859</v>
      </c>
      <c r="C496">
        <v>2019</v>
      </c>
      <c r="E496" t="s">
        <v>3013</v>
      </c>
    </row>
    <row r="497" spans="1:5" x14ac:dyDescent="0.25">
      <c r="A497" t="s">
        <v>1294</v>
      </c>
      <c r="B497" t="s">
        <v>2031</v>
      </c>
      <c r="C497">
        <v>2019</v>
      </c>
      <c r="E497" t="s">
        <v>3234</v>
      </c>
    </row>
    <row r="498" spans="1:5" x14ac:dyDescent="0.25">
      <c r="A498" t="s">
        <v>1294</v>
      </c>
      <c r="B498" t="s">
        <v>2069</v>
      </c>
      <c r="C498">
        <v>2019</v>
      </c>
      <c r="E498" t="s">
        <v>2982</v>
      </c>
    </row>
    <row r="499" spans="1:5" x14ac:dyDescent="0.25">
      <c r="A499" t="s">
        <v>1294</v>
      </c>
      <c r="B499" t="s">
        <v>2071</v>
      </c>
      <c r="C499">
        <v>2019</v>
      </c>
      <c r="E499" t="s">
        <v>3235</v>
      </c>
    </row>
    <row r="500" spans="1:5" x14ac:dyDescent="0.25">
      <c r="A500" t="s">
        <v>1294</v>
      </c>
      <c r="B500" t="s">
        <v>7922</v>
      </c>
      <c r="C500">
        <v>2019</v>
      </c>
      <c r="E500" s="10" t="s">
        <v>7921</v>
      </c>
    </row>
    <row r="501" spans="1:5" x14ac:dyDescent="0.25">
      <c r="A501" t="s">
        <v>1294</v>
      </c>
      <c r="B501" t="s">
        <v>2273</v>
      </c>
      <c r="C501">
        <v>2019</v>
      </c>
      <c r="E501" t="s">
        <v>2982</v>
      </c>
    </row>
    <row r="502" spans="1:5" x14ac:dyDescent="0.25">
      <c r="A502" t="s">
        <v>1294</v>
      </c>
      <c r="B502" t="s">
        <v>2288</v>
      </c>
      <c r="C502">
        <v>2019</v>
      </c>
      <c r="E502" t="s">
        <v>2982</v>
      </c>
    </row>
    <row r="503" spans="1:5" x14ac:dyDescent="0.25">
      <c r="A503" t="s">
        <v>1294</v>
      </c>
      <c r="B503" t="s">
        <v>2397</v>
      </c>
      <c r="C503">
        <v>2019</v>
      </c>
      <c r="E503" t="s">
        <v>3236</v>
      </c>
    </row>
    <row r="504" spans="1:5" x14ac:dyDescent="0.25">
      <c r="A504" t="s">
        <v>1294</v>
      </c>
      <c r="B504" t="s">
        <v>8121</v>
      </c>
      <c r="C504">
        <v>2019</v>
      </c>
      <c r="E504" s="10" t="s">
        <v>8135</v>
      </c>
    </row>
    <row r="505" spans="1:5" x14ac:dyDescent="0.25">
      <c r="A505" t="s">
        <v>1294</v>
      </c>
      <c r="B505" t="s">
        <v>2439</v>
      </c>
      <c r="C505">
        <v>2019</v>
      </c>
      <c r="E505" t="s">
        <v>2982</v>
      </c>
    </row>
    <row r="506" spans="1:5" x14ac:dyDescent="0.25">
      <c r="A506" t="s">
        <v>1294</v>
      </c>
      <c r="B506" t="s">
        <v>2467</v>
      </c>
      <c r="C506">
        <v>2019</v>
      </c>
      <c r="E506" t="s">
        <v>3237</v>
      </c>
    </row>
    <row r="507" spans="1:5" x14ac:dyDescent="0.25">
      <c r="A507" t="s">
        <v>1294</v>
      </c>
      <c r="B507" t="s">
        <v>2514</v>
      </c>
      <c r="C507">
        <v>2019</v>
      </c>
      <c r="E507" t="s">
        <v>3175</v>
      </c>
    </row>
    <row r="508" spans="1:5" x14ac:dyDescent="0.25">
      <c r="A508" t="s">
        <v>1294</v>
      </c>
      <c r="B508" t="s">
        <v>2550</v>
      </c>
      <c r="C508">
        <v>2019</v>
      </c>
      <c r="E508" t="s">
        <v>3238</v>
      </c>
    </row>
    <row r="509" spans="1:5" x14ac:dyDescent="0.25">
      <c r="A509" t="s">
        <v>1294</v>
      </c>
      <c r="B509" t="s">
        <v>2590</v>
      </c>
      <c r="C509">
        <v>2019</v>
      </c>
      <c r="E509" t="s">
        <v>3239</v>
      </c>
    </row>
    <row r="510" spans="1:5" x14ac:dyDescent="0.25">
      <c r="A510" t="s">
        <v>1294</v>
      </c>
      <c r="B510" t="s">
        <v>2599</v>
      </c>
      <c r="C510">
        <v>2019</v>
      </c>
      <c r="E510" t="s">
        <v>3240</v>
      </c>
    </row>
    <row r="511" spans="1:5" x14ac:dyDescent="0.25">
      <c r="A511" t="s">
        <v>1294</v>
      </c>
      <c r="B511" t="s">
        <v>2675</v>
      </c>
      <c r="C511">
        <v>2019</v>
      </c>
      <c r="E511" t="s">
        <v>3193</v>
      </c>
    </row>
    <row r="512" spans="1:5" x14ac:dyDescent="0.25">
      <c r="A512" t="s">
        <v>1294</v>
      </c>
      <c r="B512" t="s">
        <v>2698</v>
      </c>
      <c r="C512">
        <v>2019</v>
      </c>
      <c r="E512" t="s">
        <v>3194</v>
      </c>
    </row>
    <row r="513" spans="1:5" x14ac:dyDescent="0.25">
      <c r="A513" t="s">
        <v>1294</v>
      </c>
      <c r="B513" t="s">
        <v>2812</v>
      </c>
      <c r="C513">
        <v>2019</v>
      </c>
      <c r="E513" t="s">
        <v>3082</v>
      </c>
    </row>
    <row r="514" spans="1:5" x14ac:dyDescent="0.25">
      <c r="A514" t="s">
        <v>1294</v>
      </c>
      <c r="B514" t="s">
        <v>2901</v>
      </c>
      <c r="C514">
        <v>2019</v>
      </c>
      <c r="E514" s="10" t="s">
        <v>7963</v>
      </c>
    </row>
    <row r="515" spans="1:5" x14ac:dyDescent="0.25">
      <c r="A515" t="s">
        <v>1294</v>
      </c>
      <c r="B515" t="s">
        <v>2931</v>
      </c>
      <c r="C515">
        <v>2019</v>
      </c>
      <c r="E515" t="s">
        <v>3013</v>
      </c>
    </row>
    <row r="516" spans="1:5" x14ac:dyDescent="0.25">
      <c r="A516" t="s">
        <v>1294</v>
      </c>
      <c r="B516" t="s">
        <v>2950</v>
      </c>
      <c r="C516">
        <v>2019</v>
      </c>
      <c r="E516" t="s">
        <v>2982</v>
      </c>
    </row>
    <row r="517" spans="1:5" x14ac:dyDescent="0.25">
      <c r="A517" t="s">
        <v>1302</v>
      </c>
      <c r="B517" t="s">
        <v>394</v>
      </c>
      <c r="C517">
        <v>2023</v>
      </c>
      <c r="E517" t="s">
        <v>3056</v>
      </c>
    </row>
    <row r="518" spans="1:5" x14ac:dyDescent="0.25">
      <c r="A518" t="s">
        <v>1302</v>
      </c>
      <c r="B518" t="s">
        <v>1348</v>
      </c>
      <c r="C518">
        <v>2023</v>
      </c>
      <c r="E518" t="s">
        <v>3241</v>
      </c>
    </row>
    <row r="519" spans="1:5" x14ac:dyDescent="0.25">
      <c r="A519" t="s">
        <v>1302</v>
      </c>
      <c r="B519" t="s">
        <v>1463</v>
      </c>
      <c r="C519">
        <v>2023</v>
      </c>
      <c r="E519" t="s">
        <v>3127</v>
      </c>
    </row>
    <row r="520" spans="1:5" x14ac:dyDescent="0.25">
      <c r="A520" t="s">
        <v>1302</v>
      </c>
      <c r="B520" t="s">
        <v>7945</v>
      </c>
      <c r="C520">
        <v>2023</v>
      </c>
      <c r="E520" s="10" t="s">
        <v>7943</v>
      </c>
    </row>
    <row r="521" spans="1:5" x14ac:dyDescent="0.25">
      <c r="A521" t="s">
        <v>1306</v>
      </c>
      <c r="B521" t="s">
        <v>1310</v>
      </c>
      <c r="C521">
        <v>2014</v>
      </c>
    </row>
    <row r="522" spans="1:5" x14ac:dyDescent="0.25">
      <c r="A522" t="s">
        <v>1306</v>
      </c>
      <c r="B522" t="s">
        <v>1312</v>
      </c>
      <c r="C522">
        <v>2014</v>
      </c>
      <c r="D522" t="s">
        <v>187</v>
      </c>
    </row>
    <row r="523" spans="1:5" x14ac:dyDescent="0.25">
      <c r="A523" t="s">
        <v>1306</v>
      </c>
      <c r="B523" t="s">
        <v>1432</v>
      </c>
      <c r="C523">
        <v>2014</v>
      </c>
      <c r="E523" t="s">
        <v>2982</v>
      </c>
    </row>
    <row r="524" spans="1:5" x14ac:dyDescent="0.25">
      <c r="A524" t="s">
        <v>1365</v>
      </c>
      <c r="B524" t="s">
        <v>1050</v>
      </c>
      <c r="C524">
        <v>2018</v>
      </c>
      <c r="E524" t="s">
        <v>3102</v>
      </c>
    </row>
    <row r="525" spans="1:5" x14ac:dyDescent="0.25">
      <c r="A525" t="s">
        <v>1365</v>
      </c>
      <c r="B525" t="s">
        <v>1369</v>
      </c>
      <c r="C525">
        <v>2018</v>
      </c>
      <c r="D525" t="s">
        <v>187</v>
      </c>
    </row>
    <row r="526" spans="1:5" x14ac:dyDescent="0.25">
      <c r="A526" t="s">
        <v>1365</v>
      </c>
      <c r="B526" t="s">
        <v>2742</v>
      </c>
      <c r="C526">
        <v>2018</v>
      </c>
      <c r="E526" t="s">
        <v>2982</v>
      </c>
    </row>
    <row r="527" spans="1:5" x14ac:dyDescent="0.25">
      <c r="A527" t="s">
        <v>1385</v>
      </c>
      <c r="B527" t="s">
        <v>1400</v>
      </c>
      <c r="C527">
        <v>2013</v>
      </c>
      <c r="E527" t="s">
        <v>2991</v>
      </c>
    </row>
    <row r="528" spans="1:5" x14ac:dyDescent="0.25">
      <c r="A528" t="s">
        <v>1385</v>
      </c>
      <c r="B528" t="s">
        <v>1443</v>
      </c>
      <c r="C528">
        <v>2013</v>
      </c>
      <c r="E528" t="s">
        <v>3242</v>
      </c>
    </row>
    <row r="529" spans="1:5" x14ac:dyDescent="0.25">
      <c r="A529" t="s">
        <v>1420</v>
      </c>
      <c r="B529" t="s">
        <v>2634</v>
      </c>
      <c r="C529">
        <v>2007</v>
      </c>
      <c r="E529" t="s">
        <v>3004</v>
      </c>
    </row>
    <row r="530" spans="1:5" x14ac:dyDescent="0.25">
      <c r="A530" t="s">
        <v>1435</v>
      </c>
      <c r="B530" t="s">
        <v>346</v>
      </c>
      <c r="C530">
        <v>2021</v>
      </c>
      <c r="E530" t="s">
        <v>2982</v>
      </c>
    </row>
    <row r="531" spans="1:5" x14ac:dyDescent="0.25">
      <c r="A531" t="s">
        <v>1435</v>
      </c>
      <c r="B531" t="s">
        <v>428</v>
      </c>
      <c r="C531">
        <v>2021</v>
      </c>
      <c r="E531" t="s">
        <v>3020</v>
      </c>
    </row>
    <row r="532" spans="1:5" x14ac:dyDescent="0.25">
      <c r="A532" t="s">
        <v>1435</v>
      </c>
      <c r="B532" t="s">
        <v>619</v>
      </c>
      <c r="C532">
        <v>2021</v>
      </c>
      <c r="E532" t="s">
        <v>3243</v>
      </c>
    </row>
    <row r="533" spans="1:5" x14ac:dyDescent="0.25">
      <c r="A533" t="s">
        <v>1435</v>
      </c>
      <c r="B533" t="s">
        <v>730</v>
      </c>
      <c r="C533">
        <v>2021</v>
      </c>
      <c r="E533" t="s">
        <v>3025</v>
      </c>
    </row>
    <row r="534" spans="1:5" x14ac:dyDescent="0.25">
      <c r="A534" t="s">
        <v>1435</v>
      </c>
      <c r="B534" t="s">
        <v>863</v>
      </c>
      <c r="C534">
        <v>2021</v>
      </c>
      <c r="E534" t="s">
        <v>3027</v>
      </c>
    </row>
    <row r="535" spans="1:5" x14ac:dyDescent="0.25">
      <c r="A535" t="s">
        <v>1435</v>
      </c>
      <c r="B535" t="s">
        <v>1137</v>
      </c>
      <c r="C535">
        <v>2021</v>
      </c>
      <c r="E535" t="s">
        <v>3244</v>
      </c>
    </row>
    <row r="536" spans="1:5" x14ac:dyDescent="0.25">
      <c r="A536" t="s">
        <v>1435</v>
      </c>
      <c r="B536" t="s">
        <v>1432</v>
      </c>
      <c r="C536">
        <v>2021</v>
      </c>
      <c r="E536" t="s">
        <v>2982</v>
      </c>
    </row>
    <row r="537" spans="1:5" x14ac:dyDescent="0.25">
      <c r="A537" t="s">
        <v>1435</v>
      </c>
      <c r="B537" t="s">
        <v>1610</v>
      </c>
      <c r="C537">
        <v>2021</v>
      </c>
      <c r="E537" t="s">
        <v>3245</v>
      </c>
    </row>
    <row r="538" spans="1:5" x14ac:dyDescent="0.25">
      <c r="A538" t="s">
        <v>1435</v>
      </c>
      <c r="B538" t="s">
        <v>1756</v>
      </c>
      <c r="C538">
        <v>2021</v>
      </c>
      <c r="E538" t="s">
        <v>2982</v>
      </c>
    </row>
    <row r="539" spans="1:5" x14ac:dyDescent="0.25">
      <c r="A539" t="s">
        <v>1435</v>
      </c>
      <c r="B539" t="s">
        <v>1984</v>
      </c>
      <c r="C539">
        <v>2021</v>
      </c>
      <c r="E539" t="s">
        <v>3246</v>
      </c>
    </row>
    <row r="540" spans="1:5" x14ac:dyDescent="0.25">
      <c r="A540" t="s">
        <v>1435</v>
      </c>
      <c r="B540" t="s">
        <v>2018</v>
      </c>
      <c r="C540">
        <v>2021</v>
      </c>
      <c r="E540" t="s">
        <v>3247</v>
      </c>
    </row>
    <row r="541" spans="1:5" x14ac:dyDescent="0.25">
      <c r="A541" t="s">
        <v>1435</v>
      </c>
      <c r="B541" t="s">
        <v>7952</v>
      </c>
      <c r="C541">
        <v>2021</v>
      </c>
      <c r="E541" s="10" t="s">
        <v>7951</v>
      </c>
    </row>
    <row r="542" spans="1:5" x14ac:dyDescent="0.25">
      <c r="A542" t="s">
        <v>1435</v>
      </c>
      <c r="B542" t="s">
        <v>2667</v>
      </c>
      <c r="C542">
        <v>2021</v>
      </c>
      <c r="E542" t="s">
        <v>2985</v>
      </c>
    </row>
    <row r="543" spans="1:5" x14ac:dyDescent="0.25">
      <c r="A543" t="s">
        <v>1443</v>
      </c>
      <c r="B543" t="s">
        <v>249</v>
      </c>
      <c r="C543">
        <v>2018</v>
      </c>
      <c r="E543" t="s">
        <v>3248</v>
      </c>
    </row>
    <row r="544" spans="1:5" x14ac:dyDescent="0.25">
      <c r="A544" t="s">
        <v>1443</v>
      </c>
      <c r="B544" t="s">
        <v>8124</v>
      </c>
      <c r="C544">
        <v>2018</v>
      </c>
      <c r="E544" s="10" t="s">
        <v>8136</v>
      </c>
    </row>
    <row r="545" spans="1:5" x14ac:dyDescent="0.25">
      <c r="A545" t="s">
        <v>1443</v>
      </c>
      <c r="B545" t="s">
        <v>276</v>
      </c>
      <c r="C545">
        <v>2018</v>
      </c>
      <c r="E545" t="s">
        <v>3013</v>
      </c>
    </row>
    <row r="546" spans="1:5" x14ac:dyDescent="0.25">
      <c r="A546" t="s">
        <v>1443</v>
      </c>
      <c r="B546" t="s">
        <v>346</v>
      </c>
      <c r="C546">
        <v>2018</v>
      </c>
      <c r="E546" t="s">
        <v>3249</v>
      </c>
    </row>
    <row r="547" spans="1:5" x14ac:dyDescent="0.25">
      <c r="A547" t="s">
        <v>1443</v>
      </c>
      <c r="B547" t="s">
        <v>561</v>
      </c>
      <c r="C547">
        <v>2018</v>
      </c>
      <c r="E547" t="s">
        <v>2982</v>
      </c>
    </row>
    <row r="548" spans="1:5" x14ac:dyDescent="0.25">
      <c r="A548" t="s">
        <v>1443</v>
      </c>
      <c r="B548" t="s">
        <v>671</v>
      </c>
      <c r="C548">
        <v>2018</v>
      </c>
      <c r="E548" t="s">
        <v>2982</v>
      </c>
    </row>
    <row r="549" spans="1:5" x14ac:dyDescent="0.25">
      <c r="A549" t="s">
        <v>1443</v>
      </c>
      <c r="B549" t="s">
        <v>771</v>
      </c>
      <c r="C549">
        <v>2018</v>
      </c>
      <c r="E549" t="s">
        <v>3250</v>
      </c>
    </row>
    <row r="550" spans="1:5" x14ac:dyDescent="0.25">
      <c r="A550" t="s">
        <v>1443</v>
      </c>
      <c r="B550" t="s">
        <v>786</v>
      </c>
      <c r="C550">
        <v>2018</v>
      </c>
      <c r="E550" t="s">
        <v>2982</v>
      </c>
    </row>
    <row r="551" spans="1:5" x14ac:dyDescent="0.25">
      <c r="A551" t="s">
        <v>1443</v>
      </c>
      <c r="B551" t="s">
        <v>865</v>
      </c>
      <c r="C551">
        <v>2018</v>
      </c>
      <c r="E551" t="s">
        <v>3203</v>
      </c>
    </row>
    <row r="552" spans="1:5" x14ac:dyDescent="0.25">
      <c r="A552" t="s">
        <v>1443</v>
      </c>
      <c r="B552" t="s">
        <v>971</v>
      </c>
      <c r="C552">
        <v>2018</v>
      </c>
      <c r="E552" t="s">
        <v>2982</v>
      </c>
    </row>
    <row r="553" spans="1:5" x14ac:dyDescent="0.25">
      <c r="A553" t="s">
        <v>1443</v>
      </c>
      <c r="B553" t="s">
        <v>1089</v>
      </c>
      <c r="C553">
        <v>2018</v>
      </c>
      <c r="E553" t="s">
        <v>3251</v>
      </c>
    </row>
    <row r="554" spans="1:5" x14ac:dyDescent="0.25">
      <c r="A554" t="s">
        <v>1443</v>
      </c>
      <c r="B554" t="s">
        <v>1108</v>
      </c>
      <c r="C554">
        <v>2018</v>
      </c>
      <c r="E554" t="s">
        <v>3252</v>
      </c>
    </row>
    <row r="555" spans="1:5" x14ac:dyDescent="0.25">
      <c r="A555" t="s">
        <v>1443</v>
      </c>
      <c r="B555" t="s">
        <v>1610</v>
      </c>
      <c r="C555">
        <v>2018</v>
      </c>
      <c r="E555" t="s">
        <v>3245</v>
      </c>
    </row>
    <row r="556" spans="1:5" x14ac:dyDescent="0.25">
      <c r="A556" t="s">
        <v>1443</v>
      </c>
      <c r="B556" t="s">
        <v>1637</v>
      </c>
      <c r="C556">
        <v>2018</v>
      </c>
      <c r="E556" t="s">
        <v>3253</v>
      </c>
    </row>
    <row r="557" spans="1:5" x14ac:dyDescent="0.25">
      <c r="A557" t="s">
        <v>1443</v>
      </c>
      <c r="B557" t="s">
        <v>1947</v>
      </c>
      <c r="C557">
        <v>2018</v>
      </c>
      <c r="E557" t="s">
        <v>3254</v>
      </c>
    </row>
    <row r="558" spans="1:5" x14ac:dyDescent="0.25">
      <c r="A558" t="s">
        <v>1443</v>
      </c>
      <c r="B558" t="s">
        <v>2187</v>
      </c>
      <c r="C558">
        <v>2018</v>
      </c>
      <c r="E558" t="s">
        <v>3017</v>
      </c>
    </row>
    <row r="559" spans="1:5" x14ac:dyDescent="0.25">
      <c r="A559" t="s">
        <v>1443</v>
      </c>
      <c r="B559" t="s">
        <v>2318</v>
      </c>
      <c r="C559">
        <v>2018</v>
      </c>
      <c r="E559" t="s">
        <v>3088</v>
      </c>
    </row>
    <row r="560" spans="1:5" x14ac:dyDescent="0.25">
      <c r="A560" t="s">
        <v>1443</v>
      </c>
      <c r="B560" t="s">
        <v>2414</v>
      </c>
      <c r="C560">
        <v>2018</v>
      </c>
      <c r="E560" t="s">
        <v>3255</v>
      </c>
    </row>
    <row r="561" spans="1:5" x14ac:dyDescent="0.25">
      <c r="A561" t="s">
        <v>1443</v>
      </c>
      <c r="B561" t="s">
        <v>2546</v>
      </c>
      <c r="C561">
        <v>2018</v>
      </c>
      <c r="E561" t="s">
        <v>2982</v>
      </c>
    </row>
    <row r="562" spans="1:5" x14ac:dyDescent="0.25">
      <c r="A562" t="s">
        <v>1443</v>
      </c>
      <c r="B562" t="s">
        <v>2648</v>
      </c>
      <c r="C562">
        <v>2018</v>
      </c>
      <c r="E562" t="s">
        <v>3055</v>
      </c>
    </row>
    <row r="563" spans="1:5" x14ac:dyDescent="0.25">
      <c r="A563" t="s">
        <v>1443</v>
      </c>
      <c r="B563" t="s">
        <v>2659</v>
      </c>
      <c r="C563">
        <v>2018</v>
      </c>
      <c r="E563" t="s">
        <v>3256</v>
      </c>
    </row>
    <row r="564" spans="1:5" x14ac:dyDescent="0.25">
      <c r="A564" t="s">
        <v>1443</v>
      </c>
      <c r="B564" t="s">
        <v>8127</v>
      </c>
      <c r="C564">
        <v>2018</v>
      </c>
      <c r="E564" s="10" t="s">
        <v>8137</v>
      </c>
    </row>
    <row r="565" spans="1:5" x14ac:dyDescent="0.25">
      <c r="A565" t="s">
        <v>1454</v>
      </c>
      <c r="B565" t="s">
        <v>540</v>
      </c>
      <c r="C565">
        <v>2001</v>
      </c>
      <c r="E565" t="s">
        <v>3257</v>
      </c>
    </row>
    <row r="566" spans="1:5" x14ac:dyDescent="0.25">
      <c r="A566" t="s">
        <v>1460</v>
      </c>
      <c r="B566" t="s">
        <v>1457</v>
      </c>
      <c r="C566">
        <v>2006</v>
      </c>
      <c r="D566" t="s">
        <v>187</v>
      </c>
    </row>
    <row r="567" spans="1:5" x14ac:dyDescent="0.25">
      <c r="A567" t="s">
        <v>1496</v>
      </c>
      <c r="B567" t="s">
        <v>904</v>
      </c>
      <c r="C567">
        <v>2016</v>
      </c>
      <c r="E567" t="s">
        <v>2982</v>
      </c>
    </row>
    <row r="568" spans="1:5" x14ac:dyDescent="0.25">
      <c r="A568" t="s">
        <v>1496</v>
      </c>
      <c r="B568" t="s">
        <v>952</v>
      </c>
      <c r="C568">
        <v>2016</v>
      </c>
      <c r="E568" t="s">
        <v>3258</v>
      </c>
    </row>
    <row r="569" spans="1:5" x14ac:dyDescent="0.25">
      <c r="A569" t="s">
        <v>1496</v>
      </c>
      <c r="B569" t="s">
        <v>2061</v>
      </c>
      <c r="C569">
        <v>2016</v>
      </c>
      <c r="E569" t="s">
        <v>3013</v>
      </c>
    </row>
    <row r="570" spans="1:5" x14ac:dyDescent="0.25">
      <c r="A570" t="s">
        <v>1516</v>
      </c>
      <c r="B570" t="s">
        <v>1879</v>
      </c>
      <c r="C570">
        <v>2024</v>
      </c>
      <c r="D570" t="s">
        <v>187</v>
      </c>
    </row>
    <row r="571" spans="1:5" x14ac:dyDescent="0.25">
      <c r="A571" t="s">
        <v>1538</v>
      </c>
      <c r="B571" t="s">
        <v>964</v>
      </c>
      <c r="C571">
        <v>1995</v>
      </c>
      <c r="E571" t="s">
        <v>3259</v>
      </c>
    </row>
    <row r="572" spans="1:5" x14ac:dyDescent="0.25">
      <c r="A572" t="s">
        <v>1538</v>
      </c>
      <c r="B572" t="s">
        <v>1141</v>
      </c>
      <c r="C572">
        <v>1995</v>
      </c>
      <c r="E572" t="s">
        <v>2989</v>
      </c>
    </row>
    <row r="573" spans="1:5" x14ac:dyDescent="0.25">
      <c r="A573" t="s">
        <v>1538</v>
      </c>
      <c r="B573" t="s">
        <v>2023</v>
      </c>
      <c r="C573">
        <v>1995</v>
      </c>
      <c r="E573" t="s">
        <v>2994</v>
      </c>
    </row>
    <row r="574" spans="1:5" x14ac:dyDescent="0.25">
      <c r="A574" t="s">
        <v>1538</v>
      </c>
      <c r="B574" t="s">
        <v>2489</v>
      </c>
      <c r="C574">
        <v>1995</v>
      </c>
      <c r="E574" t="s">
        <v>3260</v>
      </c>
    </row>
    <row r="575" spans="1:5" x14ac:dyDescent="0.25">
      <c r="A575" t="s">
        <v>1549</v>
      </c>
      <c r="B575" t="s">
        <v>2239</v>
      </c>
      <c r="C575">
        <v>2021</v>
      </c>
      <c r="E575" t="s">
        <v>2241</v>
      </c>
    </row>
    <row r="576" spans="1:5" x14ac:dyDescent="0.25">
      <c r="A576" t="s">
        <v>1549</v>
      </c>
      <c r="B576" t="s">
        <v>2514</v>
      </c>
      <c r="C576">
        <v>2021</v>
      </c>
      <c r="E576" t="s">
        <v>3175</v>
      </c>
    </row>
    <row r="577" spans="1:5" x14ac:dyDescent="0.25">
      <c r="A577" t="s">
        <v>1549</v>
      </c>
      <c r="B577" t="s">
        <v>2896</v>
      </c>
      <c r="C577">
        <v>2021</v>
      </c>
      <c r="E577" t="s">
        <v>3261</v>
      </c>
    </row>
    <row r="578" spans="1:5" x14ac:dyDescent="0.25">
      <c r="A578" t="s">
        <v>1553</v>
      </c>
      <c r="B578" t="s">
        <v>7841</v>
      </c>
      <c r="C578">
        <v>2017</v>
      </c>
      <c r="E578" t="s">
        <v>7826</v>
      </c>
    </row>
    <row r="579" spans="1:5" x14ac:dyDescent="0.25">
      <c r="A579" t="s">
        <v>1565</v>
      </c>
      <c r="B579" t="s">
        <v>2369</v>
      </c>
      <c r="C579">
        <v>2023</v>
      </c>
      <c r="E579" t="s">
        <v>3262</v>
      </c>
    </row>
    <row r="580" spans="1:5" x14ac:dyDescent="0.25">
      <c r="A580" t="s">
        <v>1572</v>
      </c>
      <c r="B580" t="s">
        <v>1407</v>
      </c>
      <c r="C580">
        <v>2001</v>
      </c>
      <c r="E580" t="s">
        <v>3171</v>
      </c>
    </row>
    <row r="581" spans="1:5" x14ac:dyDescent="0.25">
      <c r="A581" t="s">
        <v>1576</v>
      </c>
      <c r="B581" t="s">
        <v>346</v>
      </c>
      <c r="C581">
        <v>2021</v>
      </c>
      <c r="E581" t="s">
        <v>2982</v>
      </c>
    </row>
    <row r="582" spans="1:5" x14ac:dyDescent="0.25">
      <c r="A582" t="s">
        <v>1576</v>
      </c>
      <c r="B582" t="s">
        <v>353</v>
      </c>
      <c r="C582">
        <v>2021</v>
      </c>
      <c r="E582" t="s">
        <v>3263</v>
      </c>
    </row>
    <row r="583" spans="1:5" x14ac:dyDescent="0.25">
      <c r="A583" t="s">
        <v>1576</v>
      </c>
      <c r="B583" t="s">
        <v>364</v>
      </c>
      <c r="C583">
        <v>2021</v>
      </c>
      <c r="E583" t="s">
        <v>2982</v>
      </c>
    </row>
    <row r="584" spans="1:5" x14ac:dyDescent="0.25">
      <c r="A584" t="s">
        <v>1576</v>
      </c>
      <c r="B584" t="s">
        <v>421</v>
      </c>
      <c r="C584">
        <v>2021</v>
      </c>
      <c r="E584" t="s">
        <v>2982</v>
      </c>
    </row>
    <row r="585" spans="1:5" x14ac:dyDescent="0.25">
      <c r="A585" t="s">
        <v>1576</v>
      </c>
      <c r="B585" t="s">
        <v>493</v>
      </c>
      <c r="C585">
        <v>2021</v>
      </c>
      <c r="E585" t="s">
        <v>2982</v>
      </c>
    </row>
    <row r="586" spans="1:5" x14ac:dyDescent="0.25">
      <c r="A586" t="s">
        <v>1576</v>
      </c>
      <c r="B586" t="s">
        <v>528</v>
      </c>
      <c r="C586">
        <v>2021</v>
      </c>
      <c r="E586" t="s">
        <v>3264</v>
      </c>
    </row>
    <row r="587" spans="1:5" x14ac:dyDescent="0.25">
      <c r="A587" t="s">
        <v>7652</v>
      </c>
      <c r="B587" t="s">
        <v>7655</v>
      </c>
      <c r="C587">
        <v>2021</v>
      </c>
      <c r="E587" t="s">
        <v>7651</v>
      </c>
    </row>
    <row r="588" spans="1:5" x14ac:dyDescent="0.25">
      <c r="A588" t="s">
        <v>1576</v>
      </c>
      <c r="B588" t="s">
        <v>667</v>
      </c>
      <c r="C588">
        <v>2021</v>
      </c>
      <c r="E588" t="s">
        <v>2982</v>
      </c>
    </row>
    <row r="589" spans="1:5" x14ac:dyDescent="0.25">
      <c r="A589" t="s">
        <v>1576</v>
      </c>
      <c r="B589" t="s">
        <v>717</v>
      </c>
      <c r="C589">
        <v>2021</v>
      </c>
      <c r="E589" t="s">
        <v>3265</v>
      </c>
    </row>
    <row r="590" spans="1:5" x14ac:dyDescent="0.25">
      <c r="A590" t="s">
        <v>1576</v>
      </c>
      <c r="B590" t="s">
        <v>896</v>
      </c>
      <c r="C590">
        <v>2021</v>
      </c>
      <c r="E590" t="s">
        <v>3266</v>
      </c>
    </row>
    <row r="591" spans="1:5" x14ac:dyDescent="0.25">
      <c r="A591" t="s">
        <v>1576</v>
      </c>
      <c r="B591" t="s">
        <v>988</v>
      </c>
      <c r="C591">
        <v>2021</v>
      </c>
      <c r="E591" t="s">
        <v>2982</v>
      </c>
    </row>
    <row r="592" spans="1:5" x14ac:dyDescent="0.25">
      <c r="A592" t="s">
        <v>1576</v>
      </c>
      <c r="B592" t="s">
        <v>1038</v>
      </c>
      <c r="C592">
        <v>2021</v>
      </c>
      <c r="E592" t="s">
        <v>3013</v>
      </c>
    </row>
    <row r="593" spans="1:5" x14ac:dyDescent="0.25">
      <c r="A593" t="s">
        <v>1576</v>
      </c>
      <c r="B593" t="s">
        <v>1580</v>
      </c>
      <c r="C593">
        <v>2021</v>
      </c>
      <c r="E593" t="s">
        <v>3013</v>
      </c>
    </row>
    <row r="594" spans="1:5" x14ac:dyDescent="0.25">
      <c r="A594" t="s">
        <v>1576</v>
      </c>
      <c r="B594" t="s">
        <v>1811</v>
      </c>
      <c r="C594">
        <v>2021</v>
      </c>
      <c r="E594" t="s">
        <v>2982</v>
      </c>
    </row>
    <row r="595" spans="1:5" x14ac:dyDescent="0.25">
      <c r="A595" t="s">
        <v>1576</v>
      </c>
      <c r="B595" t="s">
        <v>1893</v>
      </c>
      <c r="C595">
        <v>2021</v>
      </c>
      <c r="E595" t="s">
        <v>3035</v>
      </c>
    </row>
    <row r="596" spans="1:5" x14ac:dyDescent="0.25">
      <c r="A596" t="s">
        <v>1576</v>
      </c>
      <c r="B596" t="s">
        <v>1980</v>
      </c>
      <c r="C596">
        <v>2021</v>
      </c>
      <c r="E596" t="s">
        <v>3267</v>
      </c>
    </row>
    <row r="597" spans="1:5" x14ac:dyDescent="0.25">
      <c r="A597" t="s">
        <v>1576</v>
      </c>
      <c r="B597" t="s">
        <v>2222</v>
      </c>
      <c r="C597">
        <v>2021</v>
      </c>
      <c r="E597" t="s">
        <v>3042</v>
      </c>
    </row>
    <row r="598" spans="1:5" x14ac:dyDescent="0.25">
      <c r="A598" t="s">
        <v>1576</v>
      </c>
      <c r="B598" t="s">
        <v>2232</v>
      </c>
      <c r="C598">
        <v>2021</v>
      </c>
      <c r="E598" t="s">
        <v>3268</v>
      </c>
    </row>
    <row r="599" spans="1:5" x14ac:dyDescent="0.25">
      <c r="A599" t="s">
        <v>1576</v>
      </c>
      <c r="B599" t="s">
        <v>2369</v>
      </c>
      <c r="C599">
        <v>2021</v>
      </c>
      <c r="E599" t="s">
        <v>3262</v>
      </c>
    </row>
    <row r="600" spans="1:5" x14ac:dyDescent="0.25">
      <c r="A600" t="s">
        <v>1576</v>
      </c>
      <c r="B600" t="s">
        <v>2431</v>
      </c>
      <c r="C600">
        <v>2021</v>
      </c>
      <c r="E600" t="s">
        <v>2982</v>
      </c>
    </row>
    <row r="601" spans="1:5" x14ac:dyDescent="0.25">
      <c r="A601" t="s">
        <v>1576</v>
      </c>
      <c r="B601" t="s">
        <v>2475</v>
      </c>
      <c r="C601">
        <v>2021</v>
      </c>
      <c r="E601" t="s">
        <v>3049</v>
      </c>
    </row>
    <row r="602" spans="1:5" x14ac:dyDescent="0.25">
      <c r="A602" t="s">
        <v>1576</v>
      </c>
      <c r="B602" t="s">
        <v>2522</v>
      </c>
      <c r="C602">
        <v>2021</v>
      </c>
      <c r="E602" t="s">
        <v>3269</v>
      </c>
    </row>
    <row r="603" spans="1:5" x14ac:dyDescent="0.25">
      <c r="A603" t="s">
        <v>1592</v>
      </c>
      <c r="B603" t="s">
        <v>2804</v>
      </c>
      <c r="C603">
        <v>2019</v>
      </c>
      <c r="E603" t="s">
        <v>3270</v>
      </c>
    </row>
    <row r="604" spans="1:5" x14ac:dyDescent="0.25">
      <c r="A604" t="s">
        <v>1594</v>
      </c>
      <c r="B604" t="s">
        <v>319</v>
      </c>
      <c r="C604">
        <v>2023</v>
      </c>
      <c r="E604" t="s">
        <v>2982</v>
      </c>
    </row>
    <row r="605" spans="1:5" x14ac:dyDescent="0.25">
      <c r="A605" t="s">
        <v>1621</v>
      </c>
      <c r="B605" t="s">
        <v>7656</v>
      </c>
      <c r="C605">
        <v>2025</v>
      </c>
      <c r="E605" t="s">
        <v>7659</v>
      </c>
    </row>
    <row r="606" spans="1:5" x14ac:dyDescent="0.25">
      <c r="A606" t="s">
        <v>1655</v>
      </c>
      <c r="B606" t="s">
        <v>1532</v>
      </c>
      <c r="C606">
        <v>2024</v>
      </c>
      <c r="D606" t="s">
        <v>187</v>
      </c>
    </row>
    <row r="607" spans="1:5" x14ac:dyDescent="0.25">
      <c r="A607" t="s">
        <v>1659</v>
      </c>
      <c r="B607" t="s">
        <v>2731</v>
      </c>
      <c r="C607">
        <v>2012</v>
      </c>
      <c r="D607" t="s">
        <v>187</v>
      </c>
    </row>
    <row r="608" spans="1:5" x14ac:dyDescent="0.25">
      <c r="A608" t="s">
        <v>1661</v>
      </c>
      <c r="B608" t="s">
        <v>1157</v>
      </c>
      <c r="C608">
        <v>2011</v>
      </c>
      <c r="D608" t="s">
        <v>187</v>
      </c>
    </row>
    <row r="609" spans="1:5" x14ac:dyDescent="0.25">
      <c r="A609" t="s">
        <v>1661</v>
      </c>
      <c r="B609" t="s">
        <v>1659</v>
      </c>
      <c r="C609">
        <v>2011</v>
      </c>
      <c r="D609" t="s">
        <v>187</v>
      </c>
    </row>
    <row r="610" spans="1:5" x14ac:dyDescent="0.25">
      <c r="A610" t="s">
        <v>1676</v>
      </c>
      <c r="B610" t="s">
        <v>971</v>
      </c>
      <c r="C610">
        <v>2002</v>
      </c>
      <c r="E610" t="s">
        <v>2982</v>
      </c>
    </row>
    <row r="611" spans="1:5" x14ac:dyDescent="0.25">
      <c r="A611" t="s">
        <v>1676</v>
      </c>
      <c r="B611" t="s">
        <v>1679</v>
      </c>
      <c r="C611">
        <v>2002</v>
      </c>
      <c r="D611" t="s">
        <v>187</v>
      </c>
    </row>
    <row r="612" spans="1:5" x14ac:dyDescent="0.25">
      <c r="A612" t="s">
        <v>1682</v>
      </c>
      <c r="B612" t="s">
        <v>1684</v>
      </c>
      <c r="C612">
        <v>2022</v>
      </c>
      <c r="D612" t="s">
        <v>187</v>
      </c>
    </row>
    <row r="613" spans="1:5" x14ac:dyDescent="0.25">
      <c r="A613" t="s">
        <v>1686</v>
      </c>
      <c r="B613" t="s">
        <v>795</v>
      </c>
      <c r="C613">
        <v>2017</v>
      </c>
      <c r="E613" t="s">
        <v>3098</v>
      </c>
    </row>
    <row r="614" spans="1:5" x14ac:dyDescent="0.25">
      <c r="A614" t="s">
        <v>1690</v>
      </c>
      <c r="B614" t="s">
        <v>673</v>
      </c>
      <c r="C614">
        <v>2020</v>
      </c>
      <c r="E614" t="s">
        <v>2982</v>
      </c>
    </row>
    <row r="615" spans="1:5" x14ac:dyDescent="0.25">
      <c r="A615" t="s">
        <v>1690</v>
      </c>
      <c r="B615" t="s">
        <v>863</v>
      </c>
      <c r="C615">
        <v>2020</v>
      </c>
      <c r="E615" t="s">
        <v>3027</v>
      </c>
    </row>
    <row r="616" spans="1:5" x14ac:dyDescent="0.25">
      <c r="A616" t="s">
        <v>1690</v>
      </c>
      <c r="B616" t="s">
        <v>865</v>
      </c>
      <c r="C616">
        <v>2020</v>
      </c>
      <c r="E616" t="s">
        <v>3203</v>
      </c>
    </row>
    <row r="617" spans="1:5" x14ac:dyDescent="0.25">
      <c r="A617" t="s">
        <v>1690</v>
      </c>
      <c r="B617" t="s">
        <v>1428</v>
      </c>
      <c r="C617">
        <v>2020</v>
      </c>
      <c r="D617" t="s">
        <v>187</v>
      </c>
    </row>
    <row r="618" spans="1:5" x14ac:dyDescent="0.25">
      <c r="A618" t="s">
        <v>1690</v>
      </c>
      <c r="B618" t="s">
        <v>1435</v>
      </c>
      <c r="C618">
        <v>2020</v>
      </c>
      <c r="E618" t="s">
        <v>3271</v>
      </c>
    </row>
    <row r="619" spans="1:5" x14ac:dyDescent="0.25">
      <c r="A619" t="s">
        <v>1690</v>
      </c>
      <c r="B619" t="s">
        <v>1610</v>
      </c>
      <c r="C619">
        <v>2020</v>
      </c>
      <c r="E619" t="s">
        <v>3245</v>
      </c>
    </row>
    <row r="620" spans="1:5" x14ac:dyDescent="0.25">
      <c r="A620" t="s">
        <v>1690</v>
      </c>
      <c r="B620" t="s">
        <v>1694</v>
      </c>
      <c r="C620">
        <v>2020</v>
      </c>
      <c r="D620" t="s">
        <v>187</v>
      </c>
    </row>
    <row r="621" spans="1:5" x14ac:dyDescent="0.25">
      <c r="A621" t="s">
        <v>1690</v>
      </c>
      <c r="B621" t="s">
        <v>2158</v>
      </c>
      <c r="C621">
        <v>2020</v>
      </c>
      <c r="E621" t="s">
        <v>2983</v>
      </c>
    </row>
    <row r="622" spans="1:5" x14ac:dyDescent="0.25">
      <c r="A622" t="s">
        <v>1690</v>
      </c>
      <c r="B622" t="s">
        <v>2288</v>
      </c>
      <c r="C622">
        <v>2020</v>
      </c>
      <c r="E622" t="s">
        <v>2982</v>
      </c>
    </row>
    <row r="623" spans="1:5" x14ac:dyDescent="0.25">
      <c r="A623" t="s">
        <v>1690</v>
      </c>
      <c r="B623" t="s">
        <v>2667</v>
      </c>
      <c r="C623">
        <v>2020</v>
      </c>
      <c r="E623" t="s">
        <v>2985</v>
      </c>
    </row>
    <row r="624" spans="1:5" x14ac:dyDescent="0.25">
      <c r="A624" t="s">
        <v>1690</v>
      </c>
      <c r="B624" t="s">
        <v>2738</v>
      </c>
      <c r="C624">
        <v>2020</v>
      </c>
      <c r="E624" t="s">
        <v>2982</v>
      </c>
    </row>
    <row r="625" spans="1:5" x14ac:dyDescent="0.25">
      <c r="A625" t="s">
        <v>1690</v>
      </c>
      <c r="B625" t="s">
        <v>2890</v>
      </c>
      <c r="C625">
        <v>2020</v>
      </c>
      <c r="E625" t="s">
        <v>3076</v>
      </c>
    </row>
    <row r="626" spans="1:5" x14ac:dyDescent="0.25">
      <c r="A626" t="s">
        <v>1707</v>
      </c>
      <c r="B626" t="s">
        <v>469</v>
      </c>
      <c r="C626">
        <v>2016</v>
      </c>
      <c r="D626" t="s">
        <v>187</v>
      </c>
    </row>
    <row r="627" spans="1:5" x14ac:dyDescent="0.25">
      <c r="A627" t="s">
        <v>1713</v>
      </c>
      <c r="B627" t="s">
        <v>1606</v>
      </c>
      <c r="C627">
        <v>2018</v>
      </c>
      <c r="E627" t="s">
        <v>3233</v>
      </c>
    </row>
    <row r="628" spans="1:5" x14ac:dyDescent="0.25">
      <c r="A628" t="s">
        <v>1713</v>
      </c>
      <c r="B628" t="s">
        <v>1717</v>
      </c>
      <c r="C628">
        <v>2018</v>
      </c>
      <c r="D628" t="s">
        <v>187</v>
      </c>
    </row>
    <row r="629" spans="1:5" x14ac:dyDescent="0.25">
      <c r="A629" t="s">
        <v>1725</v>
      </c>
      <c r="B629" t="s">
        <v>260</v>
      </c>
      <c r="C629">
        <v>1983</v>
      </c>
      <c r="E629" t="s">
        <v>3272</v>
      </c>
    </row>
    <row r="630" spans="1:5" x14ac:dyDescent="0.25">
      <c r="A630" t="s">
        <v>1725</v>
      </c>
      <c r="B630" t="s">
        <v>847</v>
      </c>
      <c r="C630">
        <v>1983</v>
      </c>
      <c r="E630" t="s">
        <v>3002</v>
      </c>
    </row>
    <row r="631" spans="1:5" x14ac:dyDescent="0.25">
      <c r="A631" t="s">
        <v>1725</v>
      </c>
      <c r="B631" t="s">
        <v>2023</v>
      </c>
      <c r="C631">
        <v>1983</v>
      </c>
      <c r="E631" t="s">
        <v>2994</v>
      </c>
    </row>
    <row r="632" spans="1:5" x14ac:dyDescent="0.25">
      <c r="A632" t="s">
        <v>1738</v>
      </c>
      <c r="B632" t="s">
        <v>1742</v>
      </c>
      <c r="C632">
        <v>2018</v>
      </c>
      <c r="D632" t="s">
        <v>187</v>
      </c>
    </row>
    <row r="633" spans="1:5" x14ac:dyDescent="0.25">
      <c r="A633" t="s">
        <v>1746</v>
      </c>
      <c r="B633" t="s">
        <v>1157</v>
      </c>
      <c r="C633">
        <v>2011</v>
      </c>
      <c r="D633" t="s">
        <v>187</v>
      </c>
    </row>
    <row r="634" spans="1:5" x14ac:dyDescent="0.25">
      <c r="A634" t="s">
        <v>1752</v>
      </c>
      <c r="B634" t="s">
        <v>1561</v>
      </c>
      <c r="C634">
        <v>2021</v>
      </c>
      <c r="E634" t="s">
        <v>3273</v>
      </c>
    </row>
    <row r="635" spans="1:5" x14ac:dyDescent="0.25">
      <c r="A635" t="s">
        <v>1752</v>
      </c>
      <c r="B635" t="s">
        <v>1621</v>
      </c>
      <c r="C635">
        <v>2021</v>
      </c>
      <c r="D635" t="s">
        <v>187</v>
      </c>
    </row>
    <row r="636" spans="1:5" x14ac:dyDescent="0.25">
      <c r="A636" t="s">
        <v>1761</v>
      </c>
      <c r="B636" t="s">
        <v>178</v>
      </c>
      <c r="C636">
        <v>1995</v>
      </c>
      <c r="E636" t="s">
        <v>3274</v>
      </c>
    </row>
    <row r="637" spans="1:5" x14ac:dyDescent="0.25">
      <c r="A637" t="s">
        <v>1761</v>
      </c>
      <c r="B637" t="s">
        <v>971</v>
      </c>
      <c r="C637">
        <v>1995</v>
      </c>
      <c r="E637" t="s">
        <v>2982</v>
      </c>
    </row>
    <row r="638" spans="1:5" x14ac:dyDescent="0.25">
      <c r="A638" t="s">
        <v>1761</v>
      </c>
      <c r="B638" t="s">
        <v>1388</v>
      </c>
      <c r="C638">
        <v>1995</v>
      </c>
      <c r="E638" t="s">
        <v>3275</v>
      </c>
    </row>
    <row r="639" spans="1:5" x14ac:dyDescent="0.25">
      <c r="A639" t="s">
        <v>1761</v>
      </c>
      <c r="B639" t="s">
        <v>1899</v>
      </c>
      <c r="C639">
        <v>1995</v>
      </c>
      <c r="E639" t="s">
        <v>3276</v>
      </c>
    </row>
    <row r="640" spans="1:5" x14ac:dyDescent="0.25">
      <c r="A640" t="s">
        <v>1761</v>
      </c>
      <c r="B640" t="s">
        <v>2295</v>
      </c>
      <c r="C640">
        <v>1995</v>
      </c>
      <c r="D640" t="s">
        <v>187</v>
      </c>
    </row>
    <row r="641" spans="1:5" x14ac:dyDescent="0.25">
      <c r="A641" t="s">
        <v>1761</v>
      </c>
      <c r="B641" t="s">
        <v>2304</v>
      </c>
      <c r="C641">
        <v>1995</v>
      </c>
      <c r="D641" t="s">
        <v>187</v>
      </c>
    </row>
    <row r="642" spans="1:5" x14ac:dyDescent="0.25">
      <c r="A642" t="s">
        <v>1761</v>
      </c>
      <c r="B642" t="s">
        <v>2369</v>
      </c>
      <c r="C642">
        <v>1995</v>
      </c>
      <c r="E642" t="s">
        <v>3262</v>
      </c>
    </row>
    <row r="643" spans="1:5" x14ac:dyDescent="0.25">
      <c r="A643" t="s">
        <v>1761</v>
      </c>
      <c r="B643" t="s">
        <v>2578</v>
      </c>
      <c r="C643">
        <v>1995</v>
      </c>
      <c r="E643" t="s">
        <v>3277</v>
      </c>
    </row>
    <row r="644" spans="1:5" x14ac:dyDescent="0.25">
      <c r="A644" t="s">
        <v>1779</v>
      </c>
      <c r="B644" t="s">
        <v>394</v>
      </c>
      <c r="C644">
        <v>2022</v>
      </c>
      <c r="E644" t="s">
        <v>3056</v>
      </c>
    </row>
    <row r="645" spans="1:5" x14ac:dyDescent="0.25">
      <c r="A645" t="s">
        <v>1779</v>
      </c>
      <c r="B645" t="s">
        <v>1783</v>
      </c>
      <c r="C645">
        <v>2022</v>
      </c>
      <c r="D645" t="s">
        <v>187</v>
      </c>
    </row>
    <row r="646" spans="1:5" x14ac:dyDescent="0.25">
      <c r="A646" t="s">
        <v>1787</v>
      </c>
      <c r="B646" t="s">
        <v>1791</v>
      </c>
      <c r="C646">
        <v>2019</v>
      </c>
      <c r="D646" t="s">
        <v>187</v>
      </c>
    </row>
    <row r="647" spans="1:5" x14ac:dyDescent="0.25">
      <c r="A647" t="s">
        <v>1795</v>
      </c>
      <c r="B647" t="s">
        <v>375</v>
      </c>
      <c r="C647">
        <v>1987</v>
      </c>
      <c r="E647" t="s">
        <v>3278</v>
      </c>
    </row>
    <row r="648" spans="1:5" x14ac:dyDescent="0.25">
      <c r="A648" t="s">
        <v>1795</v>
      </c>
      <c r="B648" t="s">
        <v>807</v>
      </c>
      <c r="C648">
        <v>1987</v>
      </c>
      <c r="E648" t="s">
        <v>3279</v>
      </c>
    </row>
    <row r="649" spans="1:5" x14ac:dyDescent="0.25">
      <c r="A649" t="s">
        <v>1795</v>
      </c>
      <c r="B649" t="s">
        <v>819</v>
      </c>
      <c r="C649">
        <v>1987</v>
      </c>
      <c r="E649" s="10" t="s">
        <v>7931</v>
      </c>
    </row>
    <row r="650" spans="1:5" x14ac:dyDescent="0.25">
      <c r="A650" t="s">
        <v>1795</v>
      </c>
      <c r="B650" t="s">
        <v>847</v>
      </c>
      <c r="C650">
        <v>1987</v>
      </c>
      <c r="E650" t="s">
        <v>3002</v>
      </c>
    </row>
    <row r="651" spans="1:5" x14ac:dyDescent="0.25">
      <c r="A651" t="s">
        <v>1795</v>
      </c>
      <c r="B651" t="s">
        <v>940</v>
      </c>
      <c r="C651">
        <v>1987</v>
      </c>
      <c r="E651" t="s">
        <v>3280</v>
      </c>
    </row>
    <row r="652" spans="1:5" x14ac:dyDescent="0.25">
      <c r="A652" t="s">
        <v>1795</v>
      </c>
      <c r="B652" t="s">
        <v>994</v>
      </c>
      <c r="C652">
        <v>1987</v>
      </c>
      <c r="E652" t="s">
        <v>3281</v>
      </c>
    </row>
    <row r="653" spans="1:5" x14ac:dyDescent="0.25">
      <c r="A653" t="s">
        <v>1795</v>
      </c>
      <c r="B653" t="s">
        <v>1027</v>
      </c>
      <c r="C653">
        <v>1987</v>
      </c>
    </row>
    <row r="654" spans="1:5" x14ac:dyDescent="0.25">
      <c r="A654" t="s">
        <v>1795</v>
      </c>
      <c r="B654" t="s">
        <v>1083</v>
      </c>
      <c r="C654">
        <v>1987</v>
      </c>
      <c r="E654" t="s">
        <v>3282</v>
      </c>
    </row>
    <row r="655" spans="1:5" x14ac:dyDescent="0.25">
      <c r="A655" t="s">
        <v>1795</v>
      </c>
      <c r="B655" t="s">
        <v>1141</v>
      </c>
      <c r="C655">
        <v>1987</v>
      </c>
      <c r="E655" t="s">
        <v>2989</v>
      </c>
    </row>
    <row r="656" spans="1:5" x14ac:dyDescent="0.25">
      <c r="A656" t="s">
        <v>1795</v>
      </c>
      <c r="B656" t="s">
        <v>1197</v>
      </c>
      <c r="C656">
        <v>1987</v>
      </c>
      <c r="E656" t="s">
        <v>3283</v>
      </c>
    </row>
    <row r="657" spans="1:5" x14ac:dyDescent="0.25">
      <c r="A657" t="s">
        <v>1795</v>
      </c>
      <c r="B657" t="s">
        <v>1317</v>
      </c>
      <c r="C657">
        <v>1987</v>
      </c>
      <c r="E657" t="s">
        <v>3284</v>
      </c>
    </row>
    <row r="658" spans="1:5" x14ac:dyDescent="0.25">
      <c r="A658" t="s">
        <v>1795</v>
      </c>
      <c r="B658" t="s">
        <v>1400</v>
      </c>
      <c r="C658">
        <v>1987</v>
      </c>
      <c r="E658" t="s">
        <v>2991</v>
      </c>
    </row>
    <row r="659" spans="1:5" x14ac:dyDescent="0.25">
      <c r="A659" t="s">
        <v>1795</v>
      </c>
      <c r="B659" t="s">
        <v>1420</v>
      </c>
      <c r="C659">
        <v>1987</v>
      </c>
      <c r="E659" t="s">
        <v>2992</v>
      </c>
    </row>
    <row r="660" spans="1:5" x14ac:dyDescent="0.25">
      <c r="A660" t="s">
        <v>1795</v>
      </c>
      <c r="B660" t="s">
        <v>1454</v>
      </c>
      <c r="C660">
        <v>1987</v>
      </c>
      <c r="E660" t="s">
        <v>3285</v>
      </c>
    </row>
    <row r="661" spans="1:5" x14ac:dyDescent="0.25">
      <c r="A661" t="s">
        <v>1795</v>
      </c>
      <c r="B661" t="s">
        <v>1482</v>
      </c>
      <c r="C661">
        <v>1987</v>
      </c>
      <c r="E661" t="s">
        <v>2982</v>
      </c>
    </row>
    <row r="662" spans="1:5" x14ac:dyDescent="0.25">
      <c r="A662" t="s">
        <v>1795</v>
      </c>
      <c r="B662" t="s">
        <v>1520</v>
      </c>
      <c r="C662">
        <v>1987</v>
      </c>
      <c r="E662" t="s">
        <v>2993</v>
      </c>
    </row>
    <row r="663" spans="1:5" x14ac:dyDescent="0.25">
      <c r="A663" t="s">
        <v>1795</v>
      </c>
      <c r="B663" t="s">
        <v>1538</v>
      </c>
      <c r="C663">
        <v>1987</v>
      </c>
      <c r="E663" t="s">
        <v>3286</v>
      </c>
    </row>
    <row r="664" spans="1:5" x14ac:dyDescent="0.25">
      <c r="A664" t="s">
        <v>1795</v>
      </c>
      <c r="B664" t="s">
        <v>1563</v>
      </c>
      <c r="C664">
        <v>1987</v>
      </c>
      <c r="E664" t="s">
        <v>2982</v>
      </c>
    </row>
    <row r="665" spans="1:5" x14ac:dyDescent="0.25">
      <c r="A665" t="s">
        <v>1795</v>
      </c>
      <c r="B665" t="s">
        <v>1719</v>
      </c>
      <c r="C665">
        <v>1987</v>
      </c>
      <c r="E665" t="s">
        <v>2982</v>
      </c>
    </row>
    <row r="666" spans="1:5" x14ac:dyDescent="0.25">
      <c r="A666" t="s">
        <v>1795</v>
      </c>
      <c r="B666" t="s">
        <v>1918</v>
      </c>
      <c r="C666">
        <v>1987</v>
      </c>
      <c r="E666" t="s">
        <v>2982</v>
      </c>
    </row>
    <row r="667" spans="1:5" x14ac:dyDescent="0.25">
      <c r="A667" t="s">
        <v>1795</v>
      </c>
      <c r="B667" t="s">
        <v>1944</v>
      </c>
      <c r="C667">
        <v>1987</v>
      </c>
      <c r="E667" t="s">
        <v>3287</v>
      </c>
    </row>
    <row r="668" spans="1:5" x14ac:dyDescent="0.25">
      <c r="A668" t="s">
        <v>1795</v>
      </c>
      <c r="B668" t="s">
        <v>2023</v>
      </c>
      <c r="C668">
        <v>1987</v>
      </c>
      <c r="E668" t="s">
        <v>3288</v>
      </c>
    </row>
    <row r="669" spans="1:5" x14ac:dyDescent="0.25">
      <c r="A669" t="s">
        <v>1795</v>
      </c>
      <c r="B669" t="s">
        <v>2053</v>
      </c>
      <c r="C669">
        <v>1987</v>
      </c>
      <c r="E669" t="s">
        <v>3289</v>
      </c>
    </row>
    <row r="670" spans="1:5" x14ac:dyDescent="0.25">
      <c r="A670" t="s">
        <v>1795</v>
      </c>
      <c r="B670" t="s">
        <v>2107</v>
      </c>
      <c r="C670">
        <v>1987</v>
      </c>
      <c r="E670" t="s">
        <v>3139</v>
      </c>
    </row>
    <row r="671" spans="1:5" x14ac:dyDescent="0.25">
      <c r="A671" t="s">
        <v>1795</v>
      </c>
      <c r="B671" t="s">
        <v>2348</v>
      </c>
      <c r="C671">
        <v>1987</v>
      </c>
      <c r="E671" t="s">
        <v>3290</v>
      </c>
    </row>
    <row r="672" spans="1:5" x14ac:dyDescent="0.25">
      <c r="A672" t="s">
        <v>1795</v>
      </c>
      <c r="B672" t="s">
        <v>2428</v>
      </c>
      <c r="C672">
        <v>1987</v>
      </c>
      <c r="E672" t="s">
        <v>3291</v>
      </c>
    </row>
    <row r="673" spans="1:5" x14ac:dyDescent="0.25">
      <c r="A673" t="s">
        <v>1795</v>
      </c>
      <c r="B673" t="s">
        <v>2489</v>
      </c>
      <c r="C673">
        <v>1987</v>
      </c>
      <c r="E673" t="s">
        <v>3260</v>
      </c>
    </row>
    <row r="674" spans="1:5" x14ac:dyDescent="0.25">
      <c r="A674" t="s">
        <v>1795</v>
      </c>
      <c r="B674" t="s">
        <v>2543</v>
      </c>
      <c r="C674">
        <v>1987</v>
      </c>
      <c r="E674" t="s">
        <v>3292</v>
      </c>
    </row>
    <row r="675" spans="1:5" x14ac:dyDescent="0.25">
      <c r="A675" t="s">
        <v>1795</v>
      </c>
      <c r="B675" t="s">
        <v>2792</v>
      </c>
      <c r="C675">
        <v>1987</v>
      </c>
      <c r="E675" t="s">
        <v>3293</v>
      </c>
    </row>
    <row r="676" spans="1:5" x14ac:dyDescent="0.25">
      <c r="A676" t="s">
        <v>1795</v>
      </c>
      <c r="B676" t="s">
        <v>2866</v>
      </c>
      <c r="C676">
        <v>1987</v>
      </c>
      <c r="E676" t="s">
        <v>3294</v>
      </c>
    </row>
    <row r="677" spans="1:5" x14ac:dyDescent="0.25">
      <c r="A677" t="s">
        <v>1813</v>
      </c>
      <c r="B677" t="s">
        <v>1811</v>
      </c>
      <c r="C677">
        <v>2024</v>
      </c>
      <c r="D677" t="s">
        <v>187</v>
      </c>
    </row>
    <row r="678" spans="1:5" x14ac:dyDescent="0.25">
      <c r="A678" t="s">
        <v>1817</v>
      </c>
      <c r="B678" t="s">
        <v>604</v>
      </c>
      <c r="C678">
        <v>2019</v>
      </c>
      <c r="E678" t="s">
        <v>3295</v>
      </c>
    </row>
    <row r="679" spans="1:5" x14ac:dyDescent="0.25">
      <c r="A679" t="s">
        <v>1817</v>
      </c>
      <c r="B679" t="s">
        <v>1594</v>
      </c>
      <c r="C679">
        <v>2019</v>
      </c>
      <c r="E679" t="s">
        <v>3296</v>
      </c>
    </row>
    <row r="680" spans="1:5" x14ac:dyDescent="0.25">
      <c r="A680" t="s">
        <v>1817</v>
      </c>
      <c r="B680" t="s">
        <v>1941</v>
      </c>
      <c r="C680">
        <v>2019</v>
      </c>
      <c r="E680" t="s">
        <v>3297</v>
      </c>
    </row>
    <row r="681" spans="1:5" x14ac:dyDescent="0.25">
      <c r="A681" t="s">
        <v>1817</v>
      </c>
      <c r="B681" t="s">
        <v>2026</v>
      </c>
      <c r="C681">
        <v>2019</v>
      </c>
      <c r="E681" t="s">
        <v>3298</v>
      </c>
    </row>
    <row r="682" spans="1:5" x14ac:dyDescent="0.25">
      <c r="A682" t="s">
        <v>1817</v>
      </c>
      <c r="B682" t="s">
        <v>2496</v>
      </c>
      <c r="C682">
        <v>2019</v>
      </c>
      <c r="E682" t="s">
        <v>3299</v>
      </c>
    </row>
    <row r="683" spans="1:5" x14ac:dyDescent="0.25">
      <c r="A683" t="s">
        <v>1817</v>
      </c>
      <c r="B683" t="s">
        <v>7969</v>
      </c>
      <c r="C683">
        <v>2019</v>
      </c>
      <c r="E683" s="10" t="s">
        <v>7968</v>
      </c>
    </row>
    <row r="684" spans="1:5" x14ac:dyDescent="0.25">
      <c r="A684" t="s">
        <v>1851</v>
      </c>
      <c r="B684" t="s">
        <v>730</v>
      </c>
      <c r="C684">
        <v>2024</v>
      </c>
      <c r="E684" t="s">
        <v>3025</v>
      </c>
    </row>
    <row r="685" spans="1:5" x14ac:dyDescent="0.25">
      <c r="A685" t="s">
        <v>1851</v>
      </c>
      <c r="B685" t="s">
        <v>1955</v>
      </c>
      <c r="C685">
        <v>2024</v>
      </c>
      <c r="E685" t="s">
        <v>3037</v>
      </c>
    </row>
    <row r="686" spans="1:5" x14ac:dyDescent="0.25">
      <c r="A686" t="s">
        <v>1855</v>
      </c>
      <c r="B686" t="s">
        <v>7918</v>
      </c>
      <c r="C686">
        <v>2015</v>
      </c>
      <c r="E686" s="10" t="s">
        <v>7917</v>
      </c>
    </row>
    <row r="687" spans="1:5" x14ac:dyDescent="0.25">
      <c r="A687" t="s">
        <v>1855</v>
      </c>
      <c r="B687" t="s">
        <v>245</v>
      </c>
      <c r="C687">
        <v>2015</v>
      </c>
      <c r="E687" t="s">
        <v>3183</v>
      </c>
    </row>
    <row r="688" spans="1:5" x14ac:dyDescent="0.25">
      <c r="A688" t="s">
        <v>1855</v>
      </c>
      <c r="B688" t="s">
        <v>319</v>
      </c>
      <c r="C688">
        <v>2015</v>
      </c>
      <c r="E688" t="s">
        <v>2982</v>
      </c>
    </row>
    <row r="689" spans="1:5" x14ac:dyDescent="0.25">
      <c r="A689" t="s">
        <v>1855</v>
      </c>
      <c r="B689" t="s">
        <v>333</v>
      </c>
      <c r="C689">
        <v>2015</v>
      </c>
      <c r="E689" t="s">
        <v>3185</v>
      </c>
    </row>
    <row r="690" spans="1:5" x14ac:dyDescent="0.25">
      <c r="A690" t="s">
        <v>1855</v>
      </c>
      <c r="B690" t="s">
        <v>431</v>
      </c>
      <c r="C690">
        <v>2015</v>
      </c>
      <c r="E690" t="s">
        <v>2982</v>
      </c>
    </row>
    <row r="691" spans="1:5" x14ac:dyDescent="0.25">
      <c r="A691" t="s">
        <v>1855</v>
      </c>
      <c r="B691" t="s">
        <v>629</v>
      </c>
      <c r="C691">
        <v>2015</v>
      </c>
      <c r="E691" t="s">
        <v>3300</v>
      </c>
    </row>
    <row r="692" spans="1:5" x14ac:dyDescent="0.25">
      <c r="A692" t="s">
        <v>1855</v>
      </c>
      <c r="B692" t="s">
        <v>763</v>
      </c>
      <c r="C692">
        <v>2015</v>
      </c>
      <c r="E692" t="s">
        <v>3301</v>
      </c>
    </row>
    <row r="693" spans="1:5" x14ac:dyDescent="0.25">
      <c r="A693" t="s">
        <v>1855</v>
      </c>
      <c r="B693" t="s">
        <v>1046</v>
      </c>
      <c r="C693">
        <v>2015</v>
      </c>
      <c r="E693" t="s">
        <v>3302</v>
      </c>
    </row>
    <row r="694" spans="1:5" x14ac:dyDescent="0.25">
      <c r="A694" t="s">
        <v>1855</v>
      </c>
      <c r="B694" t="s">
        <v>1235</v>
      </c>
      <c r="C694">
        <v>2015</v>
      </c>
      <c r="E694" t="s">
        <v>3303</v>
      </c>
    </row>
    <row r="695" spans="1:5" x14ac:dyDescent="0.25">
      <c r="A695" t="s">
        <v>1855</v>
      </c>
      <c r="B695" t="s">
        <v>7711</v>
      </c>
      <c r="C695">
        <v>2015</v>
      </c>
      <c r="E695" t="s">
        <v>7714</v>
      </c>
    </row>
    <row r="696" spans="1:5" x14ac:dyDescent="0.25">
      <c r="A696" t="s">
        <v>1855</v>
      </c>
      <c r="B696" t="s">
        <v>1317</v>
      </c>
      <c r="C696">
        <v>2015</v>
      </c>
      <c r="E696" t="s">
        <v>3009</v>
      </c>
    </row>
    <row r="697" spans="1:5" x14ac:dyDescent="0.25">
      <c r="A697" t="s">
        <v>1855</v>
      </c>
      <c r="B697" t="s">
        <v>1541</v>
      </c>
      <c r="C697">
        <v>2015</v>
      </c>
      <c r="E697" t="s">
        <v>3158</v>
      </c>
    </row>
    <row r="698" spans="1:5" x14ac:dyDescent="0.25">
      <c r="A698" t="s">
        <v>1855</v>
      </c>
      <c r="B698" t="s">
        <v>1771</v>
      </c>
      <c r="C698">
        <v>2015</v>
      </c>
      <c r="E698" t="s">
        <v>3189</v>
      </c>
    </row>
    <row r="699" spans="1:5" x14ac:dyDescent="0.25">
      <c r="A699" t="s">
        <v>1855</v>
      </c>
      <c r="B699" t="s">
        <v>1877</v>
      </c>
      <c r="C699">
        <v>2015</v>
      </c>
      <c r="E699" t="s">
        <v>3190</v>
      </c>
    </row>
    <row r="700" spans="1:5" x14ac:dyDescent="0.25">
      <c r="A700" t="s">
        <v>1855</v>
      </c>
      <c r="B700" t="s">
        <v>1879</v>
      </c>
      <c r="C700">
        <v>2015</v>
      </c>
      <c r="E700" t="s">
        <v>3304</v>
      </c>
    </row>
    <row r="701" spans="1:5" x14ac:dyDescent="0.25">
      <c r="A701" t="s">
        <v>1855</v>
      </c>
      <c r="B701" t="s">
        <v>1895</v>
      </c>
      <c r="C701">
        <v>2015</v>
      </c>
      <c r="E701" t="s">
        <v>3210</v>
      </c>
    </row>
    <row r="702" spans="1:5" x14ac:dyDescent="0.25">
      <c r="A702" t="s">
        <v>1855</v>
      </c>
      <c r="B702" t="s">
        <v>2056</v>
      </c>
      <c r="C702">
        <v>2015</v>
      </c>
      <c r="E702" t="s">
        <v>3192</v>
      </c>
    </row>
    <row r="703" spans="1:5" x14ac:dyDescent="0.25">
      <c r="A703" t="s">
        <v>1855</v>
      </c>
      <c r="B703" t="s">
        <v>2084</v>
      </c>
      <c r="C703">
        <v>2015</v>
      </c>
      <c r="E703" t="s">
        <v>2982</v>
      </c>
    </row>
    <row r="704" spans="1:5" x14ac:dyDescent="0.25">
      <c r="A704" t="s">
        <v>1855</v>
      </c>
      <c r="B704" t="s">
        <v>2146</v>
      </c>
      <c r="C704">
        <v>2015</v>
      </c>
      <c r="E704" t="s">
        <v>3122</v>
      </c>
    </row>
    <row r="705" spans="1:5" x14ac:dyDescent="0.25">
      <c r="A705" t="s">
        <v>1855</v>
      </c>
      <c r="B705" t="s">
        <v>2150</v>
      </c>
      <c r="C705">
        <v>2015</v>
      </c>
      <c r="E705" t="s">
        <v>2982</v>
      </c>
    </row>
    <row r="706" spans="1:5" x14ac:dyDescent="0.25">
      <c r="A706" t="s">
        <v>1855</v>
      </c>
      <c r="B706" t="s">
        <v>2492</v>
      </c>
      <c r="C706">
        <v>2015</v>
      </c>
      <c r="E706" t="s">
        <v>2495</v>
      </c>
    </row>
    <row r="707" spans="1:5" x14ac:dyDescent="0.25">
      <c r="A707" t="s">
        <v>1855</v>
      </c>
      <c r="B707" t="s">
        <v>2698</v>
      </c>
      <c r="C707">
        <v>2015</v>
      </c>
      <c r="E707" t="s">
        <v>3194</v>
      </c>
    </row>
    <row r="708" spans="1:5" x14ac:dyDescent="0.25">
      <c r="A708" t="s">
        <v>1855</v>
      </c>
      <c r="B708" t="s">
        <v>2834</v>
      </c>
      <c r="C708">
        <v>2015</v>
      </c>
      <c r="E708" t="s">
        <v>3305</v>
      </c>
    </row>
    <row r="709" spans="1:5" x14ac:dyDescent="0.25">
      <c r="A709" t="s">
        <v>1863</v>
      </c>
      <c r="B709" t="s">
        <v>7956</v>
      </c>
      <c r="C709">
        <v>2026</v>
      </c>
      <c r="E709" t="s">
        <v>2982</v>
      </c>
    </row>
    <row r="710" spans="1:5" x14ac:dyDescent="0.25">
      <c r="A710" t="s">
        <v>1882</v>
      </c>
      <c r="B710" t="s">
        <v>1420</v>
      </c>
      <c r="C710">
        <v>1987</v>
      </c>
      <c r="E710" t="s">
        <v>2992</v>
      </c>
    </row>
    <row r="711" spans="1:5" x14ac:dyDescent="0.25">
      <c r="A711" t="s">
        <v>1882</v>
      </c>
      <c r="B711" t="s">
        <v>2276</v>
      </c>
      <c r="C711">
        <v>1987</v>
      </c>
      <c r="E711" t="s">
        <v>2996</v>
      </c>
    </row>
    <row r="712" spans="1:5" x14ac:dyDescent="0.25">
      <c r="A712" t="s">
        <v>1882</v>
      </c>
      <c r="B712" t="s">
        <v>2792</v>
      </c>
      <c r="C712">
        <v>1987</v>
      </c>
      <c r="E712" t="s">
        <v>3293</v>
      </c>
    </row>
    <row r="713" spans="1:5" x14ac:dyDescent="0.25">
      <c r="A713" t="s">
        <v>1885</v>
      </c>
      <c r="B713" t="s">
        <v>1891</v>
      </c>
      <c r="C713">
        <v>2015</v>
      </c>
      <c r="D713" t="s">
        <v>187</v>
      </c>
    </row>
    <row r="714" spans="1:5" x14ac:dyDescent="0.25">
      <c r="A714" t="s">
        <v>1891</v>
      </c>
      <c r="B714" t="s">
        <v>1887</v>
      </c>
      <c r="C714">
        <v>2017</v>
      </c>
      <c r="D714" t="s">
        <v>187</v>
      </c>
    </row>
    <row r="715" spans="1:5" x14ac:dyDescent="0.25">
      <c r="A715" t="s">
        <v>1899</v>
      </c>
      <c r="B715" t="s">
        <v>1758</v>
      </c>
      <c r="C715">
        <v>2014</v>
      </c>
      <c r="D715" t="s">
        <v>187</v>
      </c>
    </row>
    <row r="716" spans="1:5" x14ac:dyDescent="0.25">
      <c r="A716" t="s">
        <v>1933</v>
      </c>
      <c r="B716" t="s">
        <v>1475</v>
      </c>
      <c r="C716">
        <v>2021</v>
      </c>
      <c r="E716" t="s">
        <v>2982</v>
      </c>
    </row>
    <row r="717" spans="1:5" x14ac:dyDescent="0.25">
      <c r="A717" t="s">
        <v>1947</v>
      </c>
      <c r="B717" t="s">
        <v>2659</v>
      </c>
      <c r="C717">
        <v>2021</v>
      </c>
      <c r="E717" t="s">
        <v>3256</v>
      </c>
    </row>
    <row r="718" spans="1:5" x14ac:dyDescent="0.25">
      <c r="A718" t="s">
        <v>1951</v>
      </c>
      <c r="B718" t="s">
        <v>299</v>
      </c>
      <c r="C718">
        <v>2022</v>
      </c>
      <c r="E718" t="s">
        <v>3306</v>
      </c>
    </row>
    <row r="719" spans="1:5" x14ac:dyDescent="0.25">
      <c r="A719" t="s">
        <v>1951</v>
      </c>
      <c r="B719" t="s">
        <v>706</v>
      </c>
      <c r="C719">
        <v>2022</v>
      </c>
      <c r="E719" t="s">
        <v>3024</v>
      </c>
    </row>
    <row r="720" spans="1:5" x14ac:dyDescent="0.25">
      <c r="A720" t="s">
        <v>1951</v>
      </c>
      <c r="B720" t="s">
        <v>960</v>
      </c>
      <c r="C720">
        <v>2022</v>
      </c>
      <c r="E720" t="s">
        <v>3144</v>
      </c>
    </row>
    <row r="721" spans="1:5" x14ac:dyDescent="0.25">
      <c r="A721" t="s">
        <v>1951</v>
      </c>
      <c r="B721" t="s">
        <v>1955</v>
      </c>
      <c r="C721">
        <v>2022</v>
      </c>
      <c r="E721" t="s">
        <v>3037</v>
      </c>
    </row>
    <row r="722" spans="1:5" x14ac:dyDescent="0.25">
      <c r="A722" t="s">
        <v>1951</v>
      </c>
      <c r="B722" t="s">
        <v>2229</v>
      </c>
      <c r="C722">
        <v>2022</v>
      </c>
      <c r="E722" t="s">
        <v>3307</v>
      </c>
    </row>
    <row r="723" spans="1:5" x14ac:dyDescent="0.25">
      <c r="A723" t="s">
        <v>1951</v>
      </c>
      <c r="B723" t="s">
        <v>2475</v>
      </c>
      <c r="C723">
        <v>2022</v>
      </c>
      <c r="E723" t="s">
        <v>3049</v>
      </c>
    </row>
    <row r="724" spans="1:5" x14ac:dyDescent="0.25">
      <c r="A724" t="s">
        <v>1970</v>
      </c>
      <c r="B724" t="s">
        <v>1903</v>
      </c>
      <c r="C724">
        <v>2012</v>
      </c>
      <c r="E724" t="s">
        <v>3308</v>
      </c>
    </row>
    <row r="725" spans="1:5" x14ac:dyDescent="0.25">
      <c r="A725" t="s">
        <v>1970</v>
      </c>
      <c r="B725" t="s">
        <v>2286</v>
      </c>
      <c r="C725">
        <v>2012</v>
      </c>
      <c r="D725" t="s">
        <v>187</v>
      </c>
    </row>
    <row r="726" spans="1:5" x14ac:dyDescent="0.25">
      <c r="A726" t="s">
        <v>1995</v>
      </c>
      <c r="B726" t="s">
        <v>1998</v>
      </c>
      <c r="C726">
        <v>2021</v>
      </c>
    </row>
    <row r="727" spans="1:5" x14ac:dyDescent="0.25">
      <c r="A727" t="s">
        <v>2004</v>
      </c>
      <c r="B727" t="s">
        <v>2001</v>
      </c>
      <c r="C727">
        <v>2007</v>
      </c>
      <c r="D727" t="s">
        <v>187</v>
      </c>
    </row>
    <row r="728" spans="1:5" x14ac:dyDescent="0.25">
      <c r="A728" t="s">
        <v>2009</v>
      </c>
      <c r="B728" t="s">
        <v>1925</v>
      </c>
      <c r="C728">
        <v>2005</v>
      </c>
      <c r="E728" t="s">
        <v>3309</v>
      </c>
    </row>
    <row r="729" spans="1:5" x14ac:dyDescent="0.25">
      <c r="A729" t="s">
        <v>2009</v>
      </c>
      <c r="B729" t="s">
        <v>2004</v>
      </c>
      <c r="C729">
        <v>2005</v>
      </c>
      <c r="D729" t="s">
        <v>187</v>
      </c>
    </row>
    <row r="730" spans="1:5" x14ac:dyDescent="0.25">
      <c r="A730" t="s">
        <v>2009</v>
      </c>
      <c r="B730" t="s">
        <v>2007</v>
      </c>
      <c r="C730">
        <v>2005</v>
      </c>
      <c r="D730" t="s">
        <v>187</v>
      </c>
    </row>
    <row r="731" spans="1:5" x14ac:dyDescent="0.25">
      <c r="A731" t="s">
        <v>2009</v>
      </c>
      <c r="B731" t="s">
        <v>2012</v>
      </c>
      <c r="C731">
        <v>2005</v>
      </c>
      <c r="D731" t="s">
        <v>187</v>
      </c>
    </row>
    <row r="732" spans="1:5" x14ac:dyDescent="0.25">
      <c r="A732" t="s">
        <v>2009</v>
      </c>
      <c r="B732" t="s">
        <v>2014</v>
      </c>
      <c r="C732">
        <v>2005</v>
      </c>
      <c r="D732" t="s">
        <v>187</v>
      </c>
    </row>
    <row r="733" spans="1:5" x14ac:dyDescent="0.25">
      <c r="A733" t="s">
        <v>2016</v>
      </c>
      <c r="B733" t="s">
        <v>1704</v>
      </c>
      <c r="C733">
        <v>2024</v>
      </c>
      <c r="E733" t="s">
        <v>2986</v>
      </c>
    </row>
    <row r="734" spans="1:5" x14ac:dyDescent="0.25">
      <c r="A734" t="s">
        <v>2016</v>
      </c>
      <c r="B734" t="s">
        <v>2018</v>
      </c>
      <c r="C734">
        <v>2024</v>
      </c>
      <c r="E734" t="s">
        <v>3247</v>
      </c>
    </row>
    <row r="735" spans="1:5" x14ac:dyDescent="0.25">
      <c r="A735" t="s">
        <v>2021</v>
      </c>
      <c r="B735" t="s">
        <v>233</v>
      </c>
      <c r="C735">
        <v>2020</v>
      </c>
      <c r="E735" t="s">
        <v>3310</v>
      </c>
    </row>
    <row r="736" spans="1:5" x14ac:dyDescent="0.25">
      <c r="A736" t="s">
        <v>2023</v>
      </c>
      <c r="B736" t="s">
        <v>178</v>
      </c>
      <c r="C736">
        <v>2003</v>
      </c>
      <c r="E736" t="s">
        <v>3274</v>
      </c>
    </row>
    <row r="737" spans="1:5" x14ac:dyDescent="0.25">
      <c r="A737" t="s">
        <v>2023</v>
      </c>
      <c r="B737" t="s">
        <v>540</v>
      </c>
      <c r="C737">
        <v>2003</v>
      </c>
      <c r="E737" t="s">
        <v>3257</v>
      </c>
    </row>
    <row r="738" spans="1:5" x14ac:dyDescent="0.25">
      <c r="A738" t="s">
        <v>2023</v>
      </c>
      <c r="B738" t="s">
        <v>1317</v>
      </c>
      <c r="C738">
        <v>2003</v>
      </c>
      <c r="E738" t="s">
        <v>3311</v>
      </c>
    </row>
    <row r="739" spans="1:5" x14ac:dyDescent="0.25">
      <c r="A739" t="s">
        <v>2023</v>
      </c>
      <c r="B739" t="s">
        <v>2634</v>
      </c>
      <c r="C739">
        <v>2003</v>
      </c>
      <c r="E739" t="s">
        <v>3004</v>
      </c>
    </row>
    <row r="740" spans="1:5" x14ac:dyDescent="0.25">
      <c r="A740" t="s">
        <v>2023</v>
      </c>
      <c r="B740" t="s">
        <v>2864</v>
      </c>
      <c r="C740">
        <v>2003</v>
      </c>
      <c r="E740" t="s">
        <v>3312</v>
      </c>
    </row>
    <row r="741" spans="1:5" x14ac:dyDescent="0.25">
      <c r="A741" t="s">
        <v>2053</v>
      </c>
      <c r="B741" t="s">
        <v>1400</v>
      </c>
      <c r="C741">
        <v>1992</v>
      </c>
      <c r="E741" t="s">
        <v>2991</v>
      </c>
    </row>
    <row r="742" spans="1:5" x14ac:dyDescent="0.25">
      <c r="A742" t="s">
        <v>2065</v>
      </c>
      <c r="B742" t="s">
        <v>2281</v>
      </c>
      <c r="C742">
        <v>2023</v>
      </c>
      <c r="E742" t="s">
        <v>3213</v>
      </c>
    </row>
    <row r="743" spans="1:5" x14ac:dyDescent="0.25">
      <c r="A743" t="s">
        <v>2073</v>
      </c>
      <c r="B743" t="s">
        <v>198</v>
      </c>
      <c r="C743">
        <v>2010</v>
      </c>
      <c r="E743" t="s">
        <v>2982</v>
      </c>
    </row>
    <row r="744" spans="1:5" x14ac:dyDescent="0.25">
      <c r="A744" t="s">
        <v>2073</v>
      </c>
      <c r="B744" t="s">
        <v>2567</v>
      </c>
      <c r="C744">
        <v>2010</v>
      </c>
      <c r="E744" t="s">
        <v>2982</v>
      </c>
    </row>
    <row r="745" spans="1:5" x14ac:dyDescent="0.25">
      <c r="A745" t="s">
        <v>2080</v>
      </c>
      <c r="B745" t="s">
        <v>2928</v>
      </c>
      <c r="C745">
        <v>2015</v>
      </c>
      <c r="E745" t="s">
        <v>2982</v>
      </c>
    </row>
    <row r="746" spans="1:5" x14ac:dyDescent="0.25">
      <c r="A746" t="s">
        <v>2095</v>
      </c>
      <c r="B746" t="s">
        <v>741</v>
      </c>
      <c r="C746">
        <v>2023</v>
      </c>
      <c r="E746" t="s">
        <v>3313</v>
      </c>
    </row>
    <row r="747" spans="1:5" x14ac:dyDescent="0.25">
      <c r="A747" t="s">
        <v>2095</v>
      </c>
      <c r="B747" t="s">
        <v>2524</v>
      </c>
      <c r="C747">
        <v>2023</v>
      </c>
      <c r="E747" t="s">
        <v>3314</v>
      </c>
    </row>
    <row r="748" spans="1:5" x14ac:dyDescent="0.25">
      <c r="A748" t="s">
        <v>2107</v>
      </c>
      <c r="B748" t="s">
        <v>1937</v>
      </c>
      <c r="C748">
        <v>2020</v>
      </c>
      <c r="E748" t="s">
        <v>1940</v>
      </c>
    </row>
    <row r="749" spans="1:5" x14ac:dyDescent="0.25">
      <c r="A749" t="s">
        <v>2107</v>
      </c>
      <c r="B749" t="s">
        <v>2111</v>
      </c>
      <c r="C749">
        <v>2020</v>
      </c>
      <c r="D749" t="s">
        <v>187</v>
      </c>
    </row>
    <row r="750" spans="1:5" x14ac:dyDescent="0.25">
      <c r="A750" t="s">
        <v>2111</v>
      </c>
      <c r="B750" t="s">
        <v>2115</v>
      </c>
      <c r="C750">
        <v>2024</v>
      </c>
      <c r="D750" t="s">
        <v>187</v>
      </c>
    </row>
    <row r="751" spans="1:5" x14ac:dyDescent="0.25">
      <c r="A751" t="s">
        <v>2122</v>
      </c>
      <c r="B751" t="s">
        <v>2896</v>
      </c>
      <c r="C751">
        <v>2020</v>
      </c>
      <c r="D751" t="s">
        <v>187</v>
      </c>
    </row>
    <row r="752" spans="1:5" x14ac:dyDescent="0.25">
      <c r="A752" t="s">
        <v>2130</v>
      </c>
      <c r="B752" t="s">
        <v>2254</v>
      </c>
      <c r="C752">
        <v>2017</v>
      </c>
      <c r="E752" t="s">
        <v>2982</v>
      </c>
    </row>
    <row r="753" spans="1:5" x14ac:dyDescent="0.25">
      <c r="A753" t="s">
        <v>2132</v>
      </c>
      <c r="B753" t="s">
        <v>759</v>
      </c>
      <c r="C753">
        <v>2013</v>
      </c>
      <c r="E753" t="s">
        <v>3315</v>
      </c>
    </row>
    <row r="754" spans="1:5" x14ac:dyDescent="0.25">
      <c r="A754" t="s">
        <v>2132</v>
      </c>
      <c r="B754" t="s">
        <v>1417</v>
      </c>
      <c r="C754">
        <v>2013</v>
      </c>
      <c r="E754" t="s">
        <v>3316</v>
      </c>
    </row>
    <row r="755" spans="1:5" x14ac:dyDescent="0.25">
      <c r="A755" t="s">
        <v>2132</v>
      </c>
      <c r="B755" t="s">
        <v>2031</v>
      </c>
      <c r="C755">
        <v>2013</v>
      </c>
      <c r="E755" t="s">
        <v>3234</v>
      </c>
    </row>
    <row r="756" spans="1:5" x14ac:dyDescent="0.25">
      <c r="A756" t="s">
        <v>2132</v>
      </c>
      <c r="B756" t="s">
        <v>2136</v>
      </c>
      <c r="C756">
        <v>2013</v>
      </c>
      <c r="D756" t="s">
        <v>187</v>
      </c>
    </row>
    <row r="757" spans="1:5" x14ac:dyDescent="0.25">
      <c r="A757" t="s">
        <v>2132</v>
      </c>
      <c r="B757" t="s">
        <v>2140</v>
      </c>
      <c r="C757">
        <v>2013</v>
      </c>
      <c r="D757" t="s">
        <v>187</v>
      </c>
    </row>
    <row r="758" spans="1:5" x14ac:dyDescent="0.25">
      <c r="A758" t="s">
        <v>2132</v>
      </c>
      <c r="B758" t="s">
        <v>2281</v>
      </c>
      <c r="C758">
        <v>2013</v>
      </c>
      <c r="E758" t="s">
        <v>3213</v>
      </c>
    </row>
    <row r="759" spans="1:5" x14ac:dyDescent="0.25">
      <c r="A759" t="s">
        <v>2132</v>
      </c>
      <c r="B759" t="s">
        <v>2556</v>
      </c>
      <c r="C759">
        <v>2013</v>
      </c>
      <c r="E759" t="s">
        <v>3317</v>
      </c>
    </row>
    <row r="760" spans="1:5" x14ac:dyDescent="0.25">
      <c r="A760" t="s">
        <v>2132</v>
      </c>
      <c r="B760" t="s">
        <v>2890</v>
      </c>
      <c r="C760">
        <v>2013</v>
      </c>
      <c r="E760" t="s">
        <v>3076</v>
      </c>
    </row>
    <row r="761" spans="1:5" x14ac:dyDescent="0.25">
      <c r="A761" t="s">
        <v>2136</v>
      </c>
      <c r="B761" t="s">
        <v>741</v>
      </c>
      <c r="C761">
        <v>2020</v>
      </c>
      <c r="E761" t="s">
        <v>3133</v>
      </c>
    </row>
    <row r="762" spans="1:5" x14ac:dyDescent="0.25">
      <c r="A762" t="s">
        <v>2136</v>
      </c>
      <c r="B762" t="s">
        <v>7959</v>
      </c>
      <c r="C762">
        <v>2020</v>
      </c>
      <c r="E762" s="10" t="s">
        <v>7962</v>
      </c>
    </row>
    <row r="763" spans="1:5" x14ac:dyDescent="0.25">
      <c r="A763" t="s">
        <v>2136</v>
      </c>
      <c r="B763" t="s">
        <v>1042</v>
      </c>
      <c r="C763">
        <v>2020</v>
      </c>
      <c r="E763" t="s">
        <v>3318</v>
      </c>
    </row>
    <row r="764" spans="1:5" x14ac:dyDescent="0.25">
      <c r="A764" t="s">
        <v>2136</v>
      </c>
      <c r="B764" t="s">
        <v>1059</v>
      </c>
      <c r="C764">
        <v>2020</v>
      </c>
      <c r="E764" t="s">
        <v>2982</v>
      </c>
    </row>
    <row r="765" spans="1:5" x14ac:dyDescent="0.25">
      <c r="A765" t="s">
        <v>2136</v>
      </c>
      <c r="B765" t="s">
        <v>1168</v>
      </c>
      <c r="C765">
        <v>2020</v>
      </c>
      <c r="E765" t="s">
        <v>3013</v>
      </c>
    </row>
    <row r="766" spans="1:5" x14ac:dyDescent="0.25">
      <c r="A766" t="s">
        <v>2136</v>
      </c>
      <c r="B766" t="s">
        <v>1561</v>
      </c>
      <c r="C766">
        <v>2020</v>
      </c>
      <c r="E766" t="s">
        <v>3273</v>
      </c>
    </row>
    <row r="767" spans="1:5" x14ac:dyDescent="0.25">
      <c r="A767" t="s">
        <v>2136</v>
      </c>
      <c r="B767" t="s">
        <v>1621</v>
      </c>
      <c r="C767">
        <v>2020</v>
      </c>
      <c r="E767" t="s">
        <v>2982</v>
      </c>
    </row>
    <row r="768" spans="1:5" x14ac:dyDescent="0.25">
      <c r="A768" t="s">
        <v>2136</v>
      </c>
      <c r="B768" t="s">
        <v>1723</v>
      </c>
      <c r="C768">
        <v>2020</v>
      </c>
      <c r="E768" t="s">
        <v>2982</v>
      </c>
    </row>
    <row r="769" spans="1:5" x14ac:dyDescent="0.25">
      <c r="A769" t="s">
        <v>2136</v>
      </c>
      <c r="B769" t="s">
        <v>1752</v>
      </c>
      <c r="C769">
        <v>2020</v>
      </c>
      <c r="E769" t="s">
        <v>3319</v>
      </c>
    </row>
    <row r="770" spans="1:5" x14ac:dyDescent="0.25">
      <c r="A770" t="s">
        <v>2136</v>
      </c>
      <c r="B770" t="s">
        <v>2016</v>
      </c>
      <c r="C770">
        <v>2020</v>
      </c>
      <c r="E770" t="s">
        <v>2982</v>
      </c>
    </row>
    <row r="771" spans="1:5" x14ac:dyDescent="0.25">
      <c r="A771" t="s">
        <v>2136</v>
      </c>
      <c r="B771" t="s">
        <v>7937</v>
      </c>
      <c r="C771">
        <v>2020</v>
      </c>
      <c r="E771" s="10" t="s">
        <v>7936</v>
      </c>
    </row>
    <row r="772" spans="1:5" x14ac:dyDescent="0.25">
      <c r="A772" t="s">
        <v>2136</v>
      </c>
      <c r="B772" t="s">
        <v>2273</v>
      </c>
      <c r="C772">
        <v>2020</v>
      </c>
      <c r="E772" t="s">
        <v>2982</v>
      </c>
    </row>
    <row r="773" spans="1:5" x14ac:dyDescent="0.25">
      <c r="A773" t="s">
        <v>2136</v>
      </c>
      <c r="B773" t="s">
        <v>2283</v>
      </c>
      <c r="C773">
        <v>2020</v>
      </c>
      <c r="E773" t="s">
        <v>3070</v>
      </c>
    </row>
    <row r="774" spans="1:5" x14ac:dyDescent="0.25">
      <c r="A774" t="s">
        <v>2136</v>
      </c>
      <c r="B774" t="s">
        <v>2524</v>
      </c>
      <c r="C774">
        <v>2020</v>
      </c>
      <c r="E774" t="s">
        <v>3314</v>
      </c>
    </row>
    <row r="775" spans="1:5" x14ac:dyDescent="0.25">
      <c r="A775" t="s">
        <v>2136</v>
      </c>
      <c r="B775" t="s">
        <v>2596</v>
      </c>
      <c r="C775">
        <v>2020</v>
      </c>
      <c r="E775" t="s">
        <v>3320</v>
      </c>
    </row>
    <row r="776" spans="1:5" x14ac:dyDescent="0.25">
      <c r="A776" t="s">
        <v>2136</v>
      </c>
      <c r="B776" t="s">
        <v>2612</v>
      </c>
      <c r="C776">
        <v>2020</v>
      </c>
      <c r="E776" t="s">
        <v>3321</v>
      </c>
    </row>
    <row r="777" spans="1:5" x14ac:dyDescent="0.25">
      <c r="A777" t="s">
        <v>2136</v>
      </c>
      <c r="B777" t="s">
        <v>2812</v>
      </c>
      <c r="C777">
        <v>2020</v>
      </c>
      <c r="E777" t="s">
        <v>3082</v>
      </c>
    </row>
    <row r="778" spans="1:5" x14ac:dyDescent="0.25">
      <c r="A778" t="s">
        <v>2146</v>
      </c>
      <c r="B778" t="s">
        <v>7918</v>
      </c>
      <c r="C778">
        <v>2020</v>
      </c>
      <c r="E778" s="10" t="s">
        <v>7917</v>
      </c>
    </row>
    <row r="779" spans="1:5" x14ac:dyDescent="0.25">
      <c r="A779" t="s">
        <v>2146</v>
      </c>
      <c r="B779" t="s">
        <v>488</v>
      </c>
      <c r="C779">
        <v>2020</v>
      </c>
      <c r="E779" t="s">
        <v>3219</v>
      </c>
    </row>
    <row r="780" spans="1:5" x14ac:dyDescent="0.25">
      <c r="A780" t="s">
        <v>2146</v>
      </c>
      <c r="B780" t="s">
        <v>7959</v>
      </c>
      <c r="C780">
        <v>2020</v>
      </c>
      <c r="E780" s="10" t="s">
        <v>7962</v>
      </c>
    </row>
    <row r="781" spans="1:5" x14ac:dyDescent="0.25">
      <c r="A781" t="s">
        <v>2146</v>
      </c>
      <c r="B781" t="s">
        <v>2524</v>
      </c>
      <c r="C781">
        <v>2020</v>
      </c>
      <c r="E781" t="s">
        <v>3314</v>
      </c>
    </row>
    <row r="782" spans="1:5" x14ac:dyDescent="0.25">
      <c r="A782" t="s">
        <v>2154</v>
      </c>
      <c r="B782" t="s">
        <v>205</v>
      </c>
      <c r="C782">
        <v>1980</v>
      </c>
      <c r="E782" t="s">
        <v>3322</v>
      </c>
    </row>
    <row r="783" spans="1:5" x14ac:dyDescent="0.25">
      <c r="A783" t="s">
        <v>2154</v>
      </c>
      <c r="B783" t="s">
        <v>490</v>
      </c>
      <c r="C783">
        <v>1980</v>
      </c>
      <c r="E783" t="s">
        <v>3323</v>
      </c>
    </row>
    <row r="784" spans="1:5" x14ac:dyDescent="0.25">
      <c r="A784" t="s">
        <v>2154</v>
      </c>
      <c r="B784" t="s">
        <v>522</v>
      </c>
      <c r="C784">
        <v>1980</v>
      </c>
    </row>
    <row r="785" spans="1:5" x14ac:dyDescent="0.25">
      <c r="A785" t="s">
        <v>2154</v>
      </c>
      <c r="B785" t="s">
        <v>546</v>
      </c>
      <c r="C785">
        <v>1980</v>
      </c>
      <c r="E785" t="s">
        <v>3324</v>
      </c>
    </row>
    <row r="786" spans="1:5" x14ac:dyDescent="0.25">
      <c r="A786" t="s">
        <v>2154</v>
      </c>
      <c r="B786" t="s">
        <v>689</v>
      </c>
      <c r="C786">
        <v>1980</v>
      </c>
      <c r="E786" t="s">
        <v>3325</v>
      </c>
    </row>
    <row r="787" spans="1:5" x14ac:dyDescent="0.25">
      <c r="A787" t="s">
        <v>2154</v>
      </c>
      <c r="B787" t="s">
        <v>819</v>
      </c>
      <c r="C787">
        <v>1980</v>
      </c>
      <c r="E787" s="10" t="s">
        <v>7931</v>
      </c>
    </row>
    <row r="788" spans="1:5" x14ac:dyDescent="0.25">
      <c r="A788" t="s">
        <v>2154</v>
      </c>
      <c r="B788" t="s">
        <v>1080</v>
      </c>
      <c r="C788">
        <v>1980</v>
      </c>
      <c r="E788" t="s">
        <v>3326</v>
      </c>
    </row>
    <row r="789" spans="1:5" x14ac:dyDescent="0.25">
      <c r="A789" t="s">
        <v>2154</v>
      </c>
      <c r="B789" t="s">
        <v>1227</v>
      </c>
      <c r="C789">
        <v>1980</v>
      </c>
      <c r="E789" t="s">
        <v>3327</v>
      </c>
    </row>
    <row r="790" spans="1:5" x14ac:dyDescent="0.25">
      <c r="A790" t="s">
        <v>2154</v>
      </c>
      <c r="B790" t="s">
        <v>1284</v>
      </c>
      <c r="C790">
        <v>1980</v>
      </c>
    </row>
    <row r="791" spans="1:5" x14ac:dyDescent="0.25">
      <c r="A791" t="s">
        <v>2154</v>
      </c>
      <c r="B791" t="s">
        <v>1400</v>
      </c>
      <c r="C791">
        <v>1980</v>
      </c>
      <c r="E791" t="s">
        <v>2991</v>
      </c>
    </row>
    <row r="792" spans="1:5" x14ac:dyDescent="0.25">
      <c r="A792" t="s">
        <v>2154</v>
      </c>
      <c r="B792" t="s">
        <v>1425</v>
      </c>
      <c r="C792">
        <v>1980</v>
      </c>
      <c r="E792" t="s">
        <v>2982</v>
      </c>
    </row>
    <row r="793" spans="1:5" x14ac:dyDescent="0.25">
      <c r="A793" t="s">
        <v>2154</v>
      </c>
      <c r="B793" t="s">
        <v>1523</v>
      </c>
      <c r="C793">
        <v>1980</v>
      </c>
      <c r="E793" t="s">
        <v>3328</v>
      </c>
    </row>
    <row r="794" spans="1:5" x14ac:dyDescent="0.25">
      <c r="A794" t="s">
        <v>2154</v>
      </c>
      <c r="B794" t="s">
        <v>8112</v>
      </c>
      <c r="C794">
        <v>1980</v>
      </c>
      <c r="E794" s="10" t="s">
        <v>8133</v>
      </c>
    </row>
    <row r="795" spans="1:5" x14ac:dyDescent="0.25">
      <c r="A795" t="s">
        <v>2154</v>
      </c>
      <c r="B795" t="s">
        <v>1663</v>
      </c>
      <c r="C795">
        <v>1980</v>
      </c>
      <c r="E795" t="s">
        <v>3013</v>
      </c>
    </row>
    <row r="796" spans="1:5" x14ac:dyDescent="0.25">
      <c r="A796" t="s">
        <v>2154</v>
      </c>
      <c r="B796" t="s">
        <v>1725</v>
      </c>
      <c r="C796">
        <v>1980</v>
      </c>
      <c r="E796" t="s">
        <v>3329</v>
      </c>
    </row>
    <row r="797" spans="1:5" x14ac:dyDescent="0.25">
      <c r="A797" t="s">
        <v>2154</v>
      </c>
      <c r="B797" t="s">
        <v>2035</v>
      </c>
      <c r="C797">
        <v>1980</v>
      </c>
      <c r="E797" t="s">
        <v>3152</v>
      </c>
    </row>
    <row r="798" spans="1:5" x14ac:dyDescent="0.25">
      <c r="A798" t="s">
        <v>2154</v>
      </c>
      <c r="B798" t="s">
        <v>2053</v>
      </c>
      <c r="C798">
        <v>1980</v>
      </c>
      <c r="E798" t="s">
        <v>3289</v>
      </c>
    </row>
    <row r="799" spans="1:5" x14ac:dyDescent="0.25">
      <c r="A799" t="s">
        <v>2154</v>
      </c>
      <c r="B799" t="s">
        <v>2077</v>
      </c>
      <c r="C799">
        <v>1980</v>
      </c>
      <c r="E799" t="s">
        <v>3330</v>
      </c>
    </row>
    <row r="800" spans="1:5" x14ac:dyDescent="0.25">
      <c r="A800" t="s">
        <v>2154</v>
      </c>
      <c r="B800" t="s">
        <v>2166</v>
      </c>
      <c r="C800">
        <v>1980</v>
      </c>
      <c r="E800" t="s">
        <v>3331</v>
      </c>
    </row>
    <row r="801" spans="1:5" x14ac:dyDescent="0.25">
      <c r="A801" t="s">
        <v>2154</v>
      </c>
      <c r="B801" t="s">
        <v>2200</v>
      </c>
      <c r="C801">
        <v>1980</v>
      </c>
      <c r="E801" t="s">
        <v>3061</v>
      </c>
    </row>
    <row r="802" spans="1:5" x14ac:dyDescent="0.25">
      <c r="A802" t="s">
        <v>2154</v>
      </c>
      <c r="B802" t="s">
        <v>2204</v>
      </c>
      <c r="C802">
        <v>1980</v>
      </c>
      <c r="E802" t="s">
        <v>3332</v>
      </c>
    </row>
    <row r="803" spans="1:5" x14ac:dyDescent="0.25">
      <c r="A803" t="s">
        <v>2154</v>
      </c>
      <c r="B803" t="s">
        <v>2543</v>
      </c>
      <c r="C803">
        <v>1980</v>
      </c>
      <c r="E803" t="s">
        <v>3292</v>
      </c>
    </row>
    <row r="804" spans="1:5" x14ac:dyDescent="0.25">
      <c r="A804" t="s">
        <v>2154</v>
      </c>
      <c r="B804" t="s">
        <v>2625</v>
      </c>
      <c r="C804">
        <v>1980</v>
      </c>
      <c r="E804" t="s">
        <v>3331</v>
      </c>
    </row>
    <row r="805" spans="1:5" x14ac:dyDescent="0.25">
      <c r="A805" t="s">
        <v>2154</v>
      </c>
      <c r="B805" t="s">
        <v>2706</v>
      </c>
      <c r="C805">
        <v>1980</v>
      </c>
      <c r="E805" t="s">
        <v>3333</v>
      </c>
    </row>
    <row r="806" spans="1:5" x14ac:dyDescent="0.25">
      <c r="A806" t="s">
        <v>2154</v>
      </c>
      <c r="B806" t="s">
        <v>2721</v>
      </c>
      <c r="C806">
        <v>1980</v>
      </c>
      <c r="E806" t="s">
        <v>3334</v>
      </c>
    </row>
    <row r="807" spans="1:5" x14ac:dyDescent="0.25">
      <c r="A807" t="s">
        <v>2173</v>
      </c>
      <c r="B807" t="s">
        <v>689</v>
      </c>
      <c r="C807">
        <v>2013</v>
      </c>
      <c r="E807" t="s">
        <v>3325</v>
      </c>
    </row>
    <row r="808" spans="1:5" x14ac:dyDescent="0.25">
      <c r="A808" t="s">
        <v>2173</v>
      </c>
      <c r="B808" t="s">
        <v>759</v>
      </c>
      <c r="C808">
        <v>2013</v>
      </c>
      <c r="E808" t="s">
        <v>3335</v>
      </c>
    </row>
    <row r="809" spans="1:5" x14ac:dyDescent="0.25">
      <c r="A809" t="s">
        <v>2173</v>
      </c>
      <c r="B809" t="s">
        <v>1002</v>
      </c>
      <c r="C809">
        <v>2013</v>
      </c>
      <c r="E809" t="s">
        <v>3117</v>
      </c>
    </row>
    <row r="810" spans="1:5" x14ac:dyDescent="0.25">
      <c r="A810" t="s">
        <v>2173</v>
      </c>
      <c r="B810" t="s">
        <v>1104</v>
      </c>
      <c r="C810">
        <v>2013</v>
      </c>
      <c r="E810" t="s">
        <v>3336</v>
      </c>
    </row>
    <row r="811" spans="1:5" x14ac:dyDescent="0.25">
      <c r="A811" t="s">
        <v>2173</v>
      </c>
      <c r="B811" t="s">
        <v>1151</v>
      </c>
      <c r="C811">
        <v>2013</v>
      </c>
      <c r="E811" t="s">
        <v>3118</v>
      </c>
    </row>
    <row r="812" spans="1:5" x14ac:dyDescent="0.25">
      <c r="A812" t="s">
        <v>2173</v>
      </c>
      <c r="B812" t="s">
        <v>1413</v>
      </c>
      <c r="C812">
        <v>2013</v>
      </c>
      <c r="E812" t="s">
        <v>3337</v>
      </c>
    </row>
    <row r="813" spans="1:5" x14ac:dyDescent="0.25">
      <c r="A813" t="s">
        <v>2173</v>
      </c>
      <c r="B813" t="s">
        <v>1713</v>
      </c>
      <c r="C813">
        <v>2013</v>
      </c>
      <c r="E813" t="s">
        <v>3338</v>
      </c>
    </row>
    <row r="814" spans="1:5" x14ac:dyDescent="0.25">
      <c r="A814" t="s">
        <v>2173</v>
      </c>
      <c r="B814" t="s">
        <v>2169</v>
      </c>
      <c r="C814">
        <v>2013</v>
      </c>
      <c r="E814" t="s">
        <v>3339</v>
      </c>
    </row>
    <row r="815" spans="1:5" x14ac:dyDescent="0.25">
      <c r="A815" t="s">
        <v>2173</v>
      </c>
      <c r="B815" t="s">
        <v>2177</v>
      </c>
      <c r="C815">
        <v>2013</v>
      </c>
      <c r="D815" t="s">
        <v>187</v>
      </c>
    </row>
    <row r="816" spans="1:5" x14ac:dyDescent="0.25">
      <c r="A816" t="s">
        <v>2173</v>
      </c>
      <c r="B816" t="s">
        <v>2403</v>
      </c>
      <c r="C816">
        <v>2013</v>
      </c>
      <c r="E816" t="s">
        <v>3123</v>
      </c>
    </row>
    <row r="817" spans="1:5" x14ac:dyDescent="0.25">
      <c r="A817" t="s">
        <v>2173</v>
      </c>
      <c r="B817" t="s">
        <v>7860</v>
      </c>
      <c r="C817">
        <v>2013</v>
      </c>
      <c r="E817" t="s">
        <v>7862</v>
      </c>
    </row>
    <row r="818" spans="1:5" x14ac:dyDescent="0.25">
      <c r="A818" t="s">
        <v>2173</v>
      </c>
      <c r="B818" t="s">
        <v>2498</v>
      </c>
      <c r="C818">
        <v>2013</v>
      </c>
      <c r="E818" t="s">
        <v>3340</v>
      </c>
    </row>
    <row r="819" spans="1:5" x14ac:dyDescent="0.25">
      <c r="A819" t="s">
        <v>2173</v>
      </c>
      <c r="B819" t="s">
        <v>2782</v>
      </c>
      <c r="C819">
        <v>2013</v>
      </c>
      <c r="E819" t="s">
        <v>3125</v>
      </c>
    </row>
    <row r="820" spans="1:5" x14ac:dyDescent="0.25">
      <c r="A820" t="s">
        <v>2185</v>
      </c>
      <c r="B820" t="s">
        <v>1833</v>
      </c>
      <c r="C820">
        <v>2022</v>
      </c>
      <c r="E820" t="s">
        <v>2982</v>
      </c>
    </row>
    <row r="821" spans="1:5" x14ac:dyDescent="0.25">
      <c r="A821" t="s">
        <v>2185</v>
      </c>
      <c r="B821" t="s">
        <v>2736</v>
      </c>
      <c r="C821">
        <v>2022</v>
      </c>
      <c r="E821" t="s">
        <v>3341</v>
      </c>
    </row>
    <row r="822" spans="1:5" x14ac:dyDescent="0.25">
      <c r="A822" t="s">
        <v>2196</v>
      </c>
      <c r="B822" t="s">
        <v>865</v>
      </c>
      <c r="C822">
        <v>2021</v>
      </c>
      <c r="E822" t="s">
        <v>3203</v>
      </c>
    </row>
    <row r="823" spans="1:5" x14ac:dyDescent="0.25">
      <c r="A823" t="s">
        <v>2196</v>
      </c>
      <c r="B823" t="s">
        <v>2671</v>
      </c>
      <c r="C823">
        <v>2021</v>
      </c>
      <c r="E823" t="s">
        <v>3342</v>
      </c>
    </row>
    <row r="824" spans="1:5" x14ac:dyDescent="0.25">
      <c r="A824" t="s">
        <v>2211</v>
      </c>
      <c r="B824" t="s">
        <v>2215</v>
      </c>
      <c r="C824">
        <v>2021</v>
      </c>
      <c r="E824" t="s">
        <v>3041</v>
      </c>
    </row>
    <row r="825" spans="1:5" x14ac:dyDescent="0.25">
      <c r="A825" t="s">
        <v>2254</v>
      </c>
      <c r="B825" t="s">
        <v>1159</v>
      </c>
      <c r="C825">
        <v>2020</v>
      </c>
      <c r="E825" t="s">
        <v>2982</v>
      </c>
    </row>
    <row r="826" spans="1:5" x14ac:dyDescent="0.25">
      <c r="A826" t="s">
        <v>2254</v>
      </c>
      <c r="B826" t="s">
        <v>1879</v>
      </c>
      <c r="C826">
        <v>2020</v>
      </c>
      <c r="E826" t="s">
        <v>3304</v>
      </c>
    </row>
    <row r="827" spans="1:5" x14ac:dyDescent="0.25">
      <c r="A827" t="s">
        <v>2269</v>
      </c>
      <c r="B827" t="s">
        <v>209</v>
      </c>
      <c r="C827">
        <v>2022</v>
      </c>
      <c r="D827" t="s">
        <v>187</v>
      </c>
    </row>
    <row r="828" spans="1:5" x14ac:dyDescent="0.25">
      <c r="A828" t="s">
        <v>2286</v>
      </c>
      <c r="B828" t="s">
        <v>1565</v>
      </c>
      <c r="C828">
        <v>2014</v>
      </c>
      <c r="E828" t="s">
        <v>3129</v>
      </c>
    </row>
    <row r="829" spans="1:5" x14ac:dyDescent="0.25">
      <c r="A829" t="s">
        <v>2292</v>
      </c>
      <c r="B829" t="s">
        <v>2298</v>
      </c>
      <c r="C829">
        <v>2008</v>
      </c>
      <c r="D829" t="s">
        <v>187</v>
      </c>
    </row>
    <row r="830" spans="1:5" x14ac:dyDescent="0.25">
      <c r="A830" t="s">
        <v>2295</v>
      </c>
      <c r="B830" t="s">
        <v>2292</v>
      </c>
      <c r="C830">
        <v>2000</v>
      </c>
      <c r="D830" t="s">
        <v>187</v>
      </c>
    </row>
    <row r="831" spans="1:5" x14ac:dyDescent="0.25">
      <c r="A831" t="s">
        <v>2295</v>
      </c>
      <c r="B831" t="s">
        <v>2301</v>
      </c>
      <c r="C831">
        <v>2000</v>
      </c>
      <c r="D831" t="s">
        <v>187</v>
      </c>
    </row>
    <row r="832" spans="1:5" x14ac:dyDescent="0.25">
      <c r="A832" t="s">
        <v>2298</v>
      </c>
      <c r="B832" t="s">
        <v>2314</v>
      </c>
      <c r="C832">
        <v>2010</v>
      </c>
      <c r="D832" t="s">
        <v>187</v>
      </c>
    </row>
    <row r="833" spans="1:5" x14ac:dyDescent="0.25">
      <c r="A833" t="s">
        <v>2304</v>
      </c>
      <c r="B833" t="s">
        <v>2307</v>
      </c>
      <c r="C833">
        <v>1996</v>
      </c>
      <c r="D833" t="s">
        <v>187</v>
      </c>
    </row>
    <row r="834" spans="1:5" x14ac:dyDescent="0.25">
      <c r="A834" t="s">
        <v>2314</v>
      </c>
      <c r="B834" t="s">
        <v>2310</v>
      </c>
      <c r="C834">
        <v>2010</v>
      </c>
      <c r="D834" t="s">
        <v>187</v>
      </c>
    </row>
    <row r="835" spans="1:5" x14ac:dyDescent="0.25">
      <c r="A835" t="s">
        <v>2318</v>
      </c>
      <c r="B835" t="s">
        <v>2686</v>
      </c>
      <c r="C835">
        <v>2023</v>
      </c>
      <c r="E835" t="s">
        <v>2982</v>
      </c>
    </row>
    <row r="836" spans="1:5" x14ac:dyDescent="0.25">
      <c r="A836" t="s">
        <v>2322</v>
      </c>
      <c r="B836" t="s">
        <v>1855</v>
      </c>
      <c r="C836">
        <v>2010</v>
      </c>
      <c r="E836" t="s">
        <v>3343</v>
      </c>
    </row>
    <row r="837" spans="1:5" x14ac:dyDescent="0.25">
      <c r="A837" t="s">
        <v>2324</v>
      </c>
      <c r="B837" t="s">
        <v>421</v>
      </c>
      <c r="C837">
        <v>2022</v>
      </c>
      <c r="E837" t="s">
        <v>2982</v>
      </c>
    </row>
    <row r="838" spans="1:5" x14ac:dyDescent="0.25">
      <c r="A838" t="s">
        <v>2324</v>
      </c>
      <c r="B838" t="s">
        <v>571</v>
      </c>
      <c r="C838">
        <v>2022</v>
      </c>
      <c r="E838" t="s">
        <v>3085</v>
      </c>
    </row>
    <row r="839" spans="1:5" x14ac:dyDescent="0.25">
      <c r="A839" t="s">
        <v>2324</v>
      </c>
      <c r="B839" t="s">
        <v>2659</v>
      </c>
      <c r="C839">
        <v>2022</v>
      </c>
      <c r="E839" t="s">
        <v>3256</v>
      </c>
    </row>
    <row r="840" spans="1:5" x14ac:dyDescent="0.25">
      <c r="A840" t="s">
        <v>2335</v>
      </c>
      <c r="B840" t="s">
        <v>2071</v>
      </c>
      <c r="C840">
        <v>2020</v>
      </c>
      <c r="E840" t="s">
        <v>3235</v>
      </c>
    </row>
    <row r="841" spans="1:5" x14ac:dyDescent="0.25">
      <c r="A841" t="s">
        <v>2348</v>
      </c>
      <c r="B841" t="s">
        <v>1287</v>
      </c>
      <c r="C841">
        <v>2006</v>
      </c>
      <c r="E841" t="s">
        <v>3344</v>
      </c>
    </row>
    <row r="842" spans="1:5" x14ac:dyDescent="0.25">
      <c r="A842" t="s">
        <v>90</v>
      </c>
      <c r="B842" t="s">
        <v>209</v>
      </c>
      <c r="C842">
        <v>2017</v>
      </c>
      <c r="E842" t="s">
        <v>3345</v>
      </c>
    </row>
    <row r="843" spans="1:5" x14ac:dyDescent="0.25">
      <c r="A843" t="s">
        <v>90</v>
      </c>
      <c r="B843" t="s">
        <v>215</v>
      </c>
      <c r="C843">
        <v>2017</v>
      </c>
      <c r="E843" t="s">
        <v>2982</v>
      </c>
    </row>
    <row r="844" spans="1:5" x14ac:dyDescent="0.25">
      <c r="A844" t="s">
        <v>90</v>
      </c>
      <c r="B844" t="s">
        <v>233</v>
      </c>
      <c r="C844">
        <v>2017</v>
      </c>
      <c r="E844" t="s">
        <v>3310</v>
      </c>
    </row>
    <row r="845" spans="1:5" x14ac:dyDescent="0.25">
      <c r="A845" t="s">
        <v>90</v>
      </c>
      <c r="B845" t="s">
        <v>237</v>
      </c>
      <c r="C845">
        <v>2017</v>
      </c>
      <c r="E845" t="s">
        <v>3346</v>
      </c>
    </row>
    <row r="846" spans="1:5" x14ac:dyDescent="0.25">
      <c r="A846" t="s">
        <v>90</v>
      </c>
      <c r="B846" t="s">
        <v>249</v>
      </c>
      <c r="C846">
        <v>2017</v>
      </c>
      <c r="E846" t="s">
        <v>3248</v>
      </c>
    </row>
    <row r="847" spans="1:5" x14ac:dyDescent="0.25">
      <c r="A847" t="s">
        <v>90</v>
      </c>
      <c r="B847" t="s">
        <v>283</v>
      </c>
      <c r="C847">
        <v>2017</v>
      </c>
      <c r="E847" t="s">
        <v>3198</v>
      </c>
    </row>
    <row r="848" spans="1:5" x14ac:dyDescent="0.25">
      <c r="A848" t="s">
        <v>90</v>
      </c>
      <c r="B848" t="s">
        <v>287</v>
      </c>
      <c r="C848">
        <v>2017</v>
      </c>
      <c r="E848" t="s">
        <v>3141</v>
      </c>
    </row>
    <row r="849" spans="1:5" x14ac:dyDescent="0.25">
      <c r="A849" t="s">
        <v>90</v>
      </c>
      <c r="B849" t="s">
        <v>299</v>
      </c>
      <c r="C849">
        <v>2017</v>
      </c>
      <c r="E849" t="s">
        <v>3306</v>
      </c>
    </row>
    <row r="850" spans="1:5" x14ac:dyDescent="0.25">
      <c r="A850" t="s">
        <v>90</v>
      </c>
      <c r="B850" t="s">
        <v>301</v>
      </c>
      <c r="C850">
        <v>2017</v>
      </c>
      <c r="E850" t="s">
        <v>2982</v>
      </c>
    </row>
    <row r="851" spans="1:5" x14ac:dyDescent="0.25">
      <c r="A851" t="s">
        <v>90</v>
      </c>
      <c r="B851" t="s">
        <v>310</v>
      </c>
      <c r="C851">
        <v>2017</v>
      </c>
      <c r="E851" t="s">
        <v>3347</v>
      </c>
    </row>
    <row r="852" spans="1:5" x14ac:dyDescent="0.25">
      <c r="A852" t="s">
        <v>90</v>
      </c>
      <c r="B852" t="s">
        <v>314</v>
      </c>
      <c r="C852">
        <v>2017</v>
      </c>
      <c r="E852" t="s">
        <v>3348</v>
      </c>
    </row>
    <row r="853" spans="1:5" x14ac:dyDescent="0.25">
      <c r="A853" t="s">
        <v>90</v>
      </c>
      <c r="B853" t="s">
        <v>333</v>
      </c>
      <c r="C853">
        <v>2017</v>
      </c>
      <c r="E853" t="s">
        <v>3185</v>
      </c>
    </row>
    <row r="854" spans="1:5" x14ac:dyDescent="0.25">
      <c r="A854" t="s">
        <v>90</v>
      </c>
      <c r="B854" t="s">
        <v>346</v>
      </c>
      <c r="C854">
        <v>2017</v>
      </c>
      <c r="E854" t="s">
        <v>3249</v>
      </c>
    </row>
    <row r="855" spans="1:5" x14ac:dyDescent="0.25">
      <c r="A855" t="s">
        <v>90</v>
      </c>
      <c r="B855" t="s">
        <v>368</v>
      </c>
      <c r="C855">
        <v>2017</v>
      </c>
      <c r="E855" t="s">
        <v>3013</v>
      </c>
    </row>
    <row r="856" spans="1:5" x14ac:dyDescent="0.25">
      <c r="A856" t="s">
        <v>90</v>
      </c>
      <c r="B856" t="s">
        <v>372</v>
      </c>
      <c r="C856">
        <v>2017</v>
      </c>
      <c r="E856" t="s">
        <v>3016</v>
      </c>
    </row>
    <row r="857" spans="1:5" x14ac:dyDescent="0.25">
      <c r="A857" t="s">
        <v>90</v>
      </c>
      <c r="B857" t="s">
        <v>403</v>
      </c>
      <c r="C857">
        <v>2017</v>
      </c>
      <c r="E857" t="s">
        <v>3349</v>
      </c>
    </row>
    <row r="858" spans="1:5" x14ac:dyDescent="0.25">
      <c r="A858" t="s">
        <v>90</v>
      </c>
      <c r="B858" t="s">
        <v>411</v>
      </c>
      <c r="C858">
        <v>2017</v>
      </c>
      <c r="E858" t="s">
        <v>3350</v>
      </c>
    </row>
    <row r="859" spans="1:5" x14ac:dyDescent="0.25">
      <c r="A859" t="s">
        <v>90</v>
      </c>
      <c r="B859" t="s">
        <v>428</v>
      </c>
      <c r="C859">
        <v>2017</v>
      </c>
      <c r="E859" t="s">
        <v>3020</v>
      </c>
    </row>
    <row r="860" spans="1:5" x14ac:dyDescent="0.25">
      <c r="A860" t="s">
        <v>90</v>
      </c>
      <c r="B860" t="s">
        <v>464</v>
      </c>
      <c r="C860">
        <v>2017</v>
      </c>
      <c r="E860" t="s">
        <v>2982</v>
      </c>
    </row>
    <row r="861" spans="1:5" x14ac:dyDescent="0.25">
      <c r="A861" t="s">
        <v>90</v>
      </c>
      <c r="B861" t="s">
        <v>477</v>
      </c>
      <c r="C861">
        <v>2017</v>
      </c>
      <c r="E861" t="s">
        <v>2982</v>
      </c>
    </row>
    <row r="862" spans="1:5" x14ac:dyDescent="0.25">
      <c r="A862" t="s">
        <v>90</v>
      </c>
      <c r="B862" t="s">
        <v>480</v>
      </c>
      <c r="C862">
        <v>2017</v>
      </c>
      <c r="E862" t="s">
        <v>3351</v>
      </c>
    </row>
    <row r="863" spans="1:5" x14ac:dyDescent="0.25">
      <c r="A863" t="s">
        <v>90</v>
      </c>
      <c r="B863" t="s">
        <v>484</v>
      </c>
      <c r="C863">
        <v>2017</v>
      </c>
      <c r="E863" t="s">
        <v>3199</v>
      </c>
    </row>
    <row r="864" spans="1:5" x14ac:dyDescent="0.25">
      <c r="A864" t="s">
        <v>90</v>
      </c>
      <c r="B864" t="s">
        <v>493</v>
      </c>
      <c r="C864">
        <v>2017</v>
      </c>
      <c r="E864" t="s">
        <v>2982</v>
      </c>
    </row>
    <row r="865" spans="1:5" x14ac:dyDescent="0.25">
      <c r="A865" t="s">
        <v>90</v>
      </c>
      <c r="B865" t="s">
        <v>567</v>
      </c>
      <c r="C865">
        <v>2017</v>
      </c>
      <c r="E865" t="s">
        <v>3352</v>
      </c>
    </row>
    <row r="866" spans="1:5" x14ac:dyDescent="0.25">
      <c r="A866" t="s">
        <v>90</v>
      </c>
      <c r="B866" t="s">
        <v>571</v>
      </c>
      <c r="C866">
        <v>2017</v>
      </c>
      <c r="E866" t="s">
        <v>3353</v>
      </c>
    </row>
    <row r="867" spans="1:5" x14ac:dyDescent="0.25">
      <c r="A867" t="s">
        <v>90</v>
      </c>
      <c r="B867" t="s">
        <v>598</v>
      </c>
      <c r="C867">
        <v>2017</v>
      </c>
      <c r="E867" t="s">
        <v>2982</v>
      </c>
    </row>
    <row r="868" spans="1:5" x14ac:dyDescent="0.25">
      <c r="A868" t="s">
        <v>90</v>
      </c>
      <c r="B868" t="s">
        <v>610</v>
      </c>
      <c r="C868">
        <v>2017</v>
      </c>
      <c r="E868" t="s">
        <v>3066</v>
      </c>
    </row>
    <row r="869" spans="1:5" x14ac:dyDescent="0.25">
      <c r="A869" t="s">
        <v>90</v>
      </c>
      <c r="B869" t="s">
        <v>619</v>
      </c>
      <c r="C869">
        <v>2017</v>
      </c>
      <c r="E869" t="s">
        <v>3243</v>
      </c>
    </row>
    <row r="870" spans="1:5" x14ac:dyDescent="0.25">
      <c r="A870" t="s">
        <v>90</v>
      </c>
      <c r="B870" t="s">
        <v>633</v>
      </c>
      <c r="C870">
        <v>2017</v>
      </c>
      <c r="E870" t="s">
        <v>3354</v>
      </c>
    </row>
    <row r="871" spans="1:5" x14ac:dyDescent="0.25">
      <c r="A871" t="s">
        <v>90</v>
      </c>
      <c r="B871" t="s">
        <v>643</v>
      </c>
      <c r="C871">
        <v>2017</v>
      </c>
      <c r="E871" t="s">
        <v>3355</v>
      </c>
    </row>
    <row r="872" spans="1:5" x14ac:dyDescent="0.25">
      <c r="A872" t="s">
        <v>90</v>
      </c>
      <c r="B872" t="s">
        <v>671</v>
      </c>
      <c r="C872">
        <v>2017</v>
      </c>
      <c r="E872" t="s">
        <v>2982</v>
      </c>
    </row>
    <row r="873" spans="1:5" x14ac:dyDescent="0.25">
      <c r="A873" t="s">
        <v>90</v>
      </c>
      <c r="B873" t="s">
        <v>681</v>
      </c>
      <c r="C873">
        <v>2017</v>
      </c>
      <c r="E873" t="s">
        <v>3356</v>
      </c>
    </row>
    <row r="874" spans="1:5" x14ac:dyDescent="0.25">
      <c r="A874" t="s">
        <v>90</v>
      </c>
      <c r="B874" t="s">
        <v>730</v>
      </c>
      <c r="C874">
        <v>2017</v>
      </c>
      <c r="E874" t="s">
        <v>3025</v>
      </c>
    </row>
    <row r="875" spans="1:5" x14ac:dyDescent="0.25">
      <c r="A875" t="s">
        <v>90</v>
      </c>
      <c r="B875" t="s">
        <v>795</v>
      </c>
      <c r="C875">
        <v>2017</v>
      </c>
      <c r="E875" t="s">
        <v>3098</v>
      </c>
    </row>
    <row r="876" spans="1:5" x14ac:dyDescent="0.25">
      <c r="A876" t="s">
        <v>90</v>
      </c>
      <c r="B876" t="s">
        <v>799</v>
      </c>
      <c r="C876">
        <v>2017</v>
      </c>
      <c r="E876" t="s">
        <v>3357</v>
      </c>
    </row>
    <row r="877" spans="1:5" x14ac:dyDescent="0.25">
      <c r="A877" t="s">
        <v>90</v>
      </c>
      <c r="B877" t="s">
        <v>803</v>
      </c>
      <c r="C877">
        <v>2017</v>
      </c>
      <c r="E877" t="s">
        <v>2982</v>
      </c>
    </row>
    <row r="878" spans="1:5" x14ac:dyDescent="0.25">
      <c r="A878" t="s">
        <v>90</v>
      </c>
      <c r="B878" t="s">
        <v>815</v>
      </c>
      <c r="C878">
        <v>2017</v>
      </c>
      <c r="E878" t="s">
        <v>3358</v>
      </c>
    </row>
    <row r="879" spans="1:5" x14ac:dyDescent="0.25">
      <c r="A879" t="s">
        <v>90</v>
      </c>
      <c r="B879" t="s">
        <v>828</v>
      </c>
      <c r="C879">
        <v>2017</v>
      </c>
      <c r="E879" t="s">
        <v>2982</v>
      </c>
    </row>
    <row r="880" spans="1:5" x14ac:dyDescent="0.25">
      <c r="A880" t="s">
        <v>90</v>
      </c>
      <c r="B880" t="s">
        <v>850</v>
      </c>
      <c r="C880">
        <v>2017</v>
      </c>
      <c r="E880" t="s">
        <v>3359</v>
      </c>
    </row>
    <row r="881" spans="1:5" x14ac:dyDescent="0.25">
      <c r="A881" t="s">
        <v>90</v>
      </c>
      <c r="B881" t="s">
        <v>856</v>
      </c>
      <c r="C881">
        <v>2017</v>
      </c>
      <c r="E881" t="s">
        <v>3360</v>
      </c>
    </row>
    <row r="882" spans="1:5" x14ac:dyDescent="0.25">
      <c r="A882" t="s">
        <v>90</v>
      </c>
      <c r="B882" t="s">
        <v>863</v>
      </c>
      <c r="C882">
        <v>2017</v>
      </c>
      <c r="E882" t="s">
        <v>3027</v>
      </c>
    </row>
    <row r="883" spans="1:5" x14ac:dyDescent="0.25">
      <c r="A883" t="s">
        <v>90</v>
      </c>
      <c r="B883" t="s">
        <v>865</v>
      </c>
      <c r="C883">
        <v>2017</v>
      </c>
      <c r="E883" t="s">
        <v>3203</v>
      </c>
    </row>
    <row r="884" spans="1:5" x14ac:dyDescent="0.25">
      <c r="A884" t="s">
        <v>90</v>
      </c>
      <c r="B884" t="s">
        <v>869</v>
      </c>
      <c r="C884">
        <v>2017</v>
      </c>
      <c r="E884" t="s">
        <v>2982</v>
      </c>
    </row>
    <row r="885" spans="1:5" x14ac:dyDescent="0.25">
      <c r="A885" t="s">
        <v>90</v>
      </c>
      <c r="B885" t="s">
        <v>877</v>
      </c>
      <c r="C885">
        <v>2017</v>
      </c>
      <c r="E885" t="s">
        <v>3100</v>
      </c>
    </row>
    <row r="886" spans="1:5" x14ac:dyDescent="0.25">
      <c r="A886" t="s">
        <v>90</v>
      </c>
      <c r="B886" t="s">
        <v>879</v>
      </c>
      <c r="C886">
        <v>2017</v>
      </c>
      <c r="E886" t="s">
        <v>3361</v>
      </c>
    </row>
    <row r="887" spans="1:5" x14ac:dyDescent="0.25">
      <c r="A887" t="s">
        <v>90</v>
      </c>
      <c r="B887" t="s">
        <v>887</v>
      </c>
      <c r="C887">
        <v>2017</v>
      </c>
      <c r="E887" t="s">
        <v>2982</v>
      </c>
    </row>
    <row r="888" spans="1:5" x14ac:dyDescent="0.25">
      <c r="A888" t="s">
        <v>90</v>
      </c>
      <c r="B888" t="s">
        <v>898</v>
      </c>
      <c r="C888">
        <v>2017</v>
      </c>
      <c r="E888" t="s">
        <v>3143</v>
      </c>
    </row>
    <row r="889" spans="1:5" x14ac:dyDescent="0.25">
      <c r="A889" t="s">
        <v>90</v>
      </c>
      <c r="B889" t="s">
        <v>960</v>
      </c>
      <c r="C889">
        <v>2017</v>
      </c>
      <c r="E889" t="s">
        <v>3144</v>
      </c>
    </row>
    <row r="890" spans="1:5" x14ac:dyDescent="0.25">
      <c r="A890" t="s">
        <v>90</v>
      </c>
      <c r="B890" t="s">
        <v>1029</v>
      </c>
      <c r="C890">
        <v>2017</v>
      </c>
      <c r="E890" t="s">
        <v>2982</v>
      </c>
    </row>
    <row r="891" spans="1:5" x14ac:dyDescent="0.25">
      <c r="A891" t="s">
        <v>90</v>
      </c>
      <c r="B891" t="s">
        <v>1034</v>
      </c>
      <c r="C891">
        <v>2017</v>
      </c>
      <c r="E891" t="s">
        <v>3362</v>
      </c>
    </row>
    <row r="892" spans="1:5" x14ac:dyDescent="0.25">
      <c r="A892" t="s">
        <v>90</v>
      </c>
      <c r="B892" t="s">
        <v>1059</v>
      </c>
      <c r="C892">
        <v>2017</v>
      </c>
      <c r="E892" t="s">
        <v>2982</v>
      </c>
    </row>
    <row r="893" spans="1:5" x14ac:dyDescent="0.25">
      <c r="A893" t="s">
        <v>90</v>
      </c>
      <c r="B893" t="s">
        <v>1089</v>
      </c>
      <c r="C893">
        <v>2017</v>
      </c>
      <c r="E893" t="s">
        <v>3251</v>
      </c>
    </row>
    <row r="894" spans="1:5" x14ac:dyDescent="0.25">
      <c r="A894" t="s">
        <v>90</v>
      </c>
      <c r="B894" t="s">
        <v>1108</v>
      </c>
      <c r="C894">
        <v>2017</v>
      </c>
      <c r="E894" t="s">
        <v>3252</v>
      </c>
    </row>
    <row r="895" spans="1:5" x14ac:dyDescent="0.25">
      <c r="A895" t="s">
        <v>90</v>
      </c>
      <c r="B895" t="s">
        <v>1123</v>
      </c>
      <c r="C895">
        <v>2017</v>
      </c>
      <c r="E895" t="s">
        <v>3204</v>
      </c>
    </row>
    <row r="896" spans="1:5" x14ac:dyDescent="0.25">
      <c r="A896" t="s">
        <v>90</v>
      </c>
      <c r="B896" t="s">
        <v>1129</v>
      </c>
      <c r="C896">
        <v>2017</v>
      </c>
      <c r="E896" t="s">
        <v>3228</v>
      </c>
    </row>
    <row r="897" spans="1:5" x14ac:dyDescent="0.25">
      <c r="A897" t="s">
        <v>90</v>
      </c>
      <c r="B897" t="s">
        <v>1231</v>
      </c>
      <c r="C897">
        <v>2022</v>
      </c>
      <c r="E897" t="s">
        <v>3363</v>
      </c>
    </row>
    <row r="898" spans="1:5" x14ac:dyDescent="0.25">
      <c r="A898" t="s">
        <v>90</v>
      </c>
      <c r="B898" t="s">
        <v>1245</v>
      </c>
      <c r="C898">
        <v>2017</v>
      </c>
      <c r="E898" t="s">
        <v>3364</v>
      </c>
    </row>
    <row r="899" spans="1:5" x14ac:dyDescent="0.25">
      <c r="A899" t="s">
        <v>90</v>
      </c>
      <c r="B899" t="s">
        <v>1255</v>
      </c>
      <c r="C899">
        <v>2017</v>
      </c>
      <c r="E899" t="s">
        <v>3365</v>
      </c>
    </row>
    <row r="900" spans="1:5" x14ac:dyDescent="0.25">
      <c r="A900" t="s">
        <v>90</v>
      </c>
      <c r="B900" t="s">
        <v>1290</v>
      </c>
      <c r="C900">
        <v>2017</v>
      </c>
    </row>
    <row r="901" spans="1:5" x14ac:dyDescent="0.25">
      <c r="A901" t="s">
        <v>90</v>
      </c>
      <c r="B901" t="s">
        <v>7864</v>
      </c>
      <c r="C901">
        <v>2017</v>
      </c>
      <c r="E901" t="s">
        <v>7863</v>
      </c>
    </row>
    <row r="902" spans="1:5" x14ac:dyDescent="0.25">
      <c r="A902" t="s">
        <v>90</v>
      </c>
      <c r="B902" t="s">
        <v>1348</v>
      </c>
      <c r="C902">
        <v>2017</v>
      </c>
      <c r="E902" t="s">
        <v>3366</v>
      </c>
    </row>
    <row r="903" spans="1:5" x14ac:dyDescent="0.25">
      <c r="A903" t="s">
        <v>90</v>
      </c>
      <c r="B903" t="s">
        <v>1353</v>
      </c>
      <c r="C903">
        <v>2017</v>
      </c>
      <c r="E903" t="s">
        <v>3057</v>
      </c>
    </row>
    <row r="904" spans="1:5" x14ac:dyDescent="0.25">
      <c r="A904" t="s">
        <v>90</v>
      </c>
      <c r="B904" t="s">
        <v>1376</v>
      </c>
      <c r="C904">
        <v>2017</v>
      </c>
      <c r="E904" t="s">
        <v>2982</v>
      </c>
    </row>
    <row r="905" spans="1:5" x14ac:dyDescent="0.25">
      <c r="A905" t="s">
        <v>90</v>
      </c>
      <c r="B905" t="s">
        <v>1394</v>
      </c>
      <c r="C905">
        <v>2017</v>
      </c>
      <c r="E905" t="s">
        <v>3032</v>
      </c>
    </row>
    <row r="906" spans="1:5" x14ac:dyDescent="0.25">
      <c r="A906" t="s">
        <v>90</v>
      </c>
      <c r="B906" t="s">
        <v>1435</v>
      </c>
      <c r="C906">
        <v>2017</v>
      </c>
      <c r="E906" t="s">
        <v>3271</v>
      </c>
    </row>
    <row r="907" spans="1:5" x14ac:dyDescent="0.25">
      <c r="A907" t="s">
        <v>90</v>
      </c>
      <c r="B907" t="s">
        <v>1447</v>
      </c>
      <c r="C907">
        <v>2017</v>
      </c>
      <c r="E907" t="s">
        <v>2982</v>
      </c>
    </row>
    <row r="908" spans="1:5" x14ac:dyDescent="0.25">
      <c r="A908" t="s">
        <v>90</v>
      </c>
      <c r="B908" t="s">
        <v>1450</v>
      </c>
      <c r="C908">
        <v>2017</v>
      </c>
      <c r="E908" t="s">
        <v>3104</v>
      </c>
    </row>
    <row r="909" spans="1:5" x14ac:dyDescent="0.25">
      <c r="A909" t="s">
        <v>90</v>
      </c>
      <c r="B909" t="s">
        <v>1475</v>
      </c>
      <c r="C909">
        <v>2017</v>
      </c>
      <c r="E909" t="s">
        <v>3367</v>
      </c>
    </row>
    <row r="910" spans="1:5" x14ac:dyDescent="0.25">
      <c r="A910" t="s">
        <v>90</v>
      </c>
      <c r="B910" t="s">
        <v>1511</v>
      </c>
      <c r="C910">
        <v>2017</v>
      </c>
      <c r="E910" t="s">
        <v>2982</v>
      </c>
    </row>
    <row r="911" spans="1:5" x14ac:dyDescent="0.25">
      <c r="A911" t="s">
        <v>90</v>
      </c>
      <c r="B911" t="s">
        <v>1526</v>
      </c>
      <c r="C911">
        <v>2017</v>
      </c>
      <c r="E911" t="s">
        <v>3054</v>
      </c>
    </row>
    <row r="912" spans="1:5" x14ac:dyDescent="0.25">
      <c r="A912" t="s">
        <v>90</v>
      </c>
      <c r="B912" t="s">
        <v>1565</v>
      </c>
      <c r="C912">
        <v>2017</v>
      </c>
      <c r="E912" t="s">
        <v>3129</v>
      </c>
    </row>
    <row r="913" spans="1:5" x14ac:dyDescent="0.25">
      <c r="A913" t="s">
        <v>90</v>
      </c>
      <c r="B913" t="s">
        <v>1568</v>
      </c>
      <c r="C913">
        <v>2017</v>
      </c>
      <c r="E913" t="s">
        <v>3368</v>
      </c>
    </row>
    <row r="914" spans="1:5" x14ac:dyDescent="0.25">
      <c r="A914" t="s">
        <v>90</v>
      </c>
      <c r="B914" t="s">
        <v>1574</v>
      </c>
      <c r="C914">
        <v>2017</v>
      </c>
      <c r="E914" t="s">
        <v>2982</v>
      </c>
    </row>
    <row r="915" spans="1:5" x14ac:dyDescent="0.25">
      <c r="A915" t="s">
        <v>90</v>
      </c>
      <c r="B915" t="s">
        <v>1576</v>
      </c>
      <c r="C915">
        <v>2017</v>
      </c>
      <c r="E915" t="s">
        <v>3369</v>
      </c>
    </row>
    <row r="916" spans="1:5" x14ac:dyDescent="0.25">
      <c r="A916" t="s">
        <v>90</v>
      </c>
      <c r="B916" t="s">
        <v>1594</v>
      </c>
      <c r="C916">
        <v>2017</v>
      </c>
      <c r="E916" t="s">
        <v>3296</v>
      </c>
    </row>
    <row r="917" spans="1:5" x14ac:dyDescent="0.25">
      <c r="A917" t="s">
        <v>90</v>
      </c>
      <c r="B917" t="s">
        <v>1610</v>
      </c>
      <c r="C917">
        <v>2017</v>
      </c>
      <c r="E917" t="s">
        <v>3245</v>
      </c>
    </row>
    <row r="918" spans="1:5" x14ac:dyDescent="0.25">
      <c r="A918" t="s">
        <v>90</v>
      </c>
      <c r="B918" t="s">
        <v>1625</v>
      </c>
      <c r="C918">
        <v>2017</v>
      </c>
      <c r="E918" t="s">
        <v>3370</v>
      </c>
    </row>
    <row r="919" spans="1:5" x14ac:dyDescent="0.25">
      <c r="A919" t="s">
        <v>90</v>
      </c>
      <c r="B919" t="s">
        <v>1627</v>
      </c>
      <c r="C919">
        <v>2017</v>
      </c>
      <c r="E919" t="s">
        <v>3371</v>
      </c>
    </row>
    <row r="920" spans="1:5" x14ac:dyDescent="0.25">
      <c r="A920" t="s">
        <v>90</v>
      </c>
      <c r="B920" t="s">
        <v>1672</v>
      </c>
      <c r="C920">
        <v>2017</v>
      </c>
      <c r="E920" t="s">
        <v>3372</v>
      </c>
    </row>
    <row r="921" spans="1:5" x14ac:dyDescent="0.25">
      <c r="A921" t="s">
        <v>90</v>
      </c>
      <c r="B921" t="s">
        <v>1690</v>
      </c>
      <c r="C921">
        <v>2017</v>
      </c>
      <c r="E921" t="s">
        <v>3013</v>
      </c>
    </row>
    <row r="922" spans="1:5" x14ac:dyDescent="0.25">
      <c r="A922" t="s">
        <v>90</v>
      </c>
      <c r="B922" t="s">
        <v>1704</v>
      </c>
      <c r="C922">
        <v>2017</v>
      </c>
      <c r="E922" t="s">
        <v>3373</v>
      </c>
    </row>
    <row r="923" spans="1:5" x14ac:dyDescent="0.25">
      <c r="A923" t="s">
        <v>90</v>
      </c>
      <c r="B923" t="s">
        <v>1728</v>
      </c>
      <c r="C923">
        <v>2017</v>
      </c>
      <c r="E923" t="s">
        <v>3374</v>
      </c>
    </row>
    <row r="924" spans="1:5" x14ac:dyDescent="0.25">
      <c r="A924" t="s">
        <v>90</v>
      </c>
      <c r="B924" t="s">
        <v>1734</v>
      </c>
      <c r="C924">
        <v>2017</v>
      </c>
      <c r="E924" t="s">
        <v>2982</v>
      </c>
    </row>
    <row r="925" spans="1:5" x14ac:dyDescent="0.25">
      <c r="A925" t="s">
        <v>90</v>
      </c>
      <c r="B925" t="s">
        <v>1768</v>
      </c>
      <c r="C925">
        <v>2017</v>
      </c>
      <c r="E925" t="s">
        <v>3105</v>
      </c>
    </row>
    <row r="926" spans="1:5" x14ac:dyDescent="0.25">
      <c r="A926" t="s">
        <v>90</v>
      </c>
      <c r="B926" t="s">
        <v>1811</v>
      </c>
      <c r="C926">
        <v>2017</v>
      </c>
      <c r="E926" t="s">
        <v>2982</v>
      </c>
    </row>
    <row r="927" spans="1:5" x14ac:dyDescent="0.25">
      <c r="A927" t="s">
        <v>90</v>
      </c>
      <c r="B927" t="s">
        <v>1833</v>
      </c>
      <c r="C927">
        <v>2017</v>
      </c>
      <c r="E927" t="s">
        <v>2982</v>
      </c>
    </row>
    <row r="928" spans="1:5" x14ac:dyDescent="0.25">
      <c r="A928" t="s">
        <v>90</v>
      </c>
      <c r="B928" t="s">
        <v>1867</v>
      </c>
      <c r="C928">
        <v>2017</v>
      </c>
      <c r="E928" t="s">
        <v>3375</v>
      </c>
    </row>
    <row r="929" spans="1:5" x14ac:dyDescent="0.25">
      <c r="A929" t="s">
        <v>90</v>
      </c>
      <c r="B929" t="s">
        <v>1895</v>
      </c>
      <c r="C929">
        <v>2017</v>
      </c>
      <c r="E929" t="s">
        <v>3210</v>
      </c>
    </row>
    <row r="930" spans="1:5" x14ac:dyDescent="0.25">
      <c r="A930" t="s">
        <v>90</v>
      </c>
      <c r="B930" t="s">
        <v>1921</v>
      </c>
      <c r="C930">
        <v>2017</v>
      </c>
      <c r="E930" t="s">
        <v>3013</v>
      </c>
    </row>
    <row r="931" spans="1:5" x14ac:dyDescent="0.25">
      <c r="A931" t="s">
        <v>90</v>
      </c>
      <c r="B931" t="s">
        <v>1947</v>
      </c>
      <c r="C931">
        <v>2017</v>
      </c>
      <c r="E931" t="s">
        <v>3254</v>
      </c>
    </row>
    <row r="932" spans="1:5" x14ac:dyDescent="0.25">
      <c r="A932" t="s">
        <v>90</v>
      </c>
      <c r="B932" t="s">
        <v>1951</v>
      </c>
      <c r="C932">
        <v>2017</v>
      </c>
      <c r="E932" t="s">
        <v>3376</v>
      </c>
    </row>
    <row r="933" spans="1:5" x14ac:dyDescent="0.25">
      <c r="A933" t="s">
        <v>90</v>
      </c>
      <c r="B933" t="s">
        <v>1982</v>
      </c>
      <c r="C933">
        <v>2017</v>
      </c>
      <c r="E933" t="s">
        <v>2982</v>
      </c>
    </row>
    <row r="934" spans="1:5" x14ac:dyDescent="0.25">
      <c r="A934" t="s">
        <v>90</v>
      </c>
      <c r="B934" t="s">
        <v>1992</v>
      </c>
      <c r="C934">
        <v>2017</v>
      </c>
      <c r="E934" t="s">
        <v>3377</v>
      </c>
    </row>
    <row r="935" spans="1:5" x14ac:dyDescent="0.25">
      <c r="A935" t="s">
        <v>90</v>
      </c>
      <c r="B935" t="s">
        <v>1998</v>
      </c>
      <c r="C935">
        <v>2017</v>
      </c>
    </row>
    <row r="936" spans="1:5" x14ac:dyDescent="0.25">
      <c r="A936" t="s">
        <v>90</v>
      </c>
      <c r="B936" t="s">
        <v>2018</v>
      </c>
      <c r="C936">
        <v>2017</v>
      </c>
      <c r="E936" t="s">
        <v>3247</v>
      </c>
    </row>
    <row r="937" spans="1:5" x14ac:dyDescent="0.25">
      <c r="A937" t="s">
        <v>90</v>
      </c>
      <c r="B937" t="s">
        <v>2061</v>
      </c>
      <c r="C937">
        <v>2017</v>
      </c>
      <c r="E937" t="s">
        <v>3013</v>
      </c>
    </row>
    <row r="938" spans="1:5" x14ac:dyDescent="0.25">
      <c r="A938" t="s">
        <v>90</v>
      </c>
      <c r="B938" t="s">
        <v>2088</v>
      </c>
      <c r="C938">
        <v>2017</v>
      </c>
      <c r="E938" t="s">
        <v>3039</v>
      </c>
    </row>
    <row r="939" spans="1:5" x14ac:dyDescent="0.25">
      <c r="A939" t="s">
        <v>90</v>
      </c>
      <c r="B939" t="s">
        <v>2118</v>
      </c>
      <c r="C939">
        <v>2017</v>
      </c>
      <c r="E939" t="s">
        <v>3378</v>
      </c>
    </row>
    <row r="940" spans="1:5" x14ac:dyDescent="0.25">
      <c r="A940" t="s">
        <v>90</v>
      </c>
      <c r="B940" t="s">
        <v>2122</v>
      </c>
      <c r="C940">
        <v>2017</v>
      </c>
      <c r="E940" t="s">
        <v>3379</v>
      </c>
    </row>
    <row r="941" spans="1:5" x14ac:dyDescent="0.25">
      <c r="A941" t="s">
        <v>90</v>
      </c>
      <c r="B941" t="s">
        <v>2158</v>
      </c>
      <c r="C941">
        <v>2017</v>
      </c>
      <c r="E941" t="s">
        <v>2983</v>
      </c>
    </row>
    <row r="942" spans="1:5" x14ac:dyDescent="0.25">
      <c r="A942" t="s">
        <v>90</v>
      </c>
      <c r="B942" t="s">
        <v>2181</v>
      </c>
      <c r="C942">
        <v>2017</v>
      </c>
    </row>
    <row r="943" spans="1:5" x14ac:dyDescent="0.25">
      <c r="A943" t="s">
        <v>90</v>
      </c>
      <c r="B943" t="s">
        <v>2187</v>
      </c>
      <c r="C943">
        <v>2017</v>
      </c>
      <c r="E943" t="s">
        <v>3017</v>
      </c>
    </row>
    <row r="944" spans="1:5" x14ac:dyDescent="0.25">
      <c r="A944" t="s">
        <v>90</v>
      </c>
      <c r="B944" t="s">
        <v>2196</v>
      </c>
      <c r="C944">
        <v>2017</v>
      </c>
      <c r="E944" t="s">
        <v>3380</v>
      </c>
    </row>
    <row r="945" spans="1:5" x14ac:dyDescent="0.25">
      <c r="A945" t="s">
        <v>90</v>
      </c>
      <c r="B945" t="s">
        <v>2202</v>
      </c>
      <c r="C945">
        <v>2017</v>
      </c>
      <c r="E945" t="s">
        <v>3040</v>
      </c>
    </row>
    <row r="946" spans="1:5" x14ac:dyDescent="0.25">
      <c r="A946" t="s">
        <v>90</v>
      </c>
      <c r="B946" t="s">
        <v>2222</v>
      </c>
      <c r="C946">
        <v>2017</v>
      </c>
      <c r="E946" t="s">
        <v>3042</v>
      </c>
    </row>
    <row r="947" spans="1:5" x14ac:dyDescent="0.25">
      <c r="A947" t="s">
        <v>90</v>
      </c>
      <c r="B947" t="s">
        <v>2236</v>
      </c>
      <c r="C947">
        <v>2017</v>
      </c>
      <c r="E947" t="s">
        <v>3044</v>
      </c>
    </row>
    <row r="948" spans="1:5" x14ac:dyDescent="0.25">
      <c r="A948" t="s">
        <v>90</v>
      </c>
      <c r="B948" t="s">
        <v>2239</v>
      </c>
      <c r="C948">
        <v>2017</v>
      </c>
      <c r="E948" t="s">
        <v>2241</v>
      </c>
    </row>
    <row r="949" spans="1:5" x14ac:dyDescent="0.25">
      <c r="A949" t="s">
        <v>90</v>
      </c>
      <c r="B949" t="s">
        <v>2264</v>
      </c>
      <c r="C949">
        <v>2017</v>
      </c>
      <c r="E949" t="s">
        <v>3381</v>
      </c>
    </row>
    <row r="950" spans="1:5" x14ac:dyDescent="0.25">
      <c r="A950" t="s">
        <v>90</v>
      </c>
      <c r="B950" t="s">
        <v>2279</v>
      </c>
      <c r="C950">
        <v>2017</v>
      </c>
      <c r="E950" t="s">
        <v>3106</v>
      </c>
    </row>
    <row r="951" spans="1:5" x14ac:dyDescent="0.25">
      <c r="A951" t="s">
        <v>90</v>
      </c>
      <c r="B951" t="s">
        <v>2318</v>
      </c>
      <c r="C951">
        <v>2017</v>
      </c>
      <c r="E951" t="s">
        <v>3088</v>
      </c>
    </row>
    <row r="952" spans="1:5" x14ac:dyDescent="0.25">
      <c r="A952" t="s">
        <v>90</v>
      </c>
      <c r="B952" t="s">
        <v>7952</v>
      </c>
      <c r="C952">
        <v>2017</v>
      </c>
      <c r="E952" s="10" t="s">
        <v>7951</v>
      </c>
    </row>
    <row r="953" spans="1:5" x14ac:dyDescent="0.25">
      <c r="A953" t="s">
        <v>90</v>
      </c>
      <c r="B953" t="s">
        <v>38</v>
      </c>
      <c r="C953">
        <v>2017</v>
      </c>
      <c r="D953" t="s">
        <v>187</v>
      </c>
    </row>
    <row r="954" spans="1:5" x14ac:dyDescent="0.25">
      <c r="A954" t="s">
        <v>90</v>
      </c>
      <c r="B954" t="s">
        <v>2361</v>
      </c>
      <c r="C954">
        <v>2017</v>
      </c>
      <c r="E954" t="s">
        <v>2982</v>
      </c>
    </row>
    <row r="955" spans="1:5" x14ac:dyDescent="0.25">
      <c r="A955" t="s">
        <v>90</v>
      </c>
      <c r="B955" t="s">
        <v>2369</v>
      </c>
      <c r="C955">
        <v>2017</v>
      </c>
      <c r="E955" t="s">
        <v>3262</v>
      </c>
    </row>
    <row r="956" spans="1:5" x14ac:dyDescent="0.25">
      <c r="A956" t="s">
        <v>90</v>
      </c>
      <c r="B956" t="s">
        <v>2371</v>
      </c>
      <c r="C956">
        <v>2017</v>
      </c>
      <c r="E956" t="s">
        <v>3046</v>
      </c>
    </row>
    <row r="957" spans="1:5" x14ac:dyDescent="0.25">
      <c r="A957" t="s">
        <v>90</v>
      </c>
      <c r="B957" t="s">
        <v>2416</v>
      </c>
      <c r="C957">
        <v>2017</v>
      </c>
      <c r="E957" t="s">
        <v>2982</v>
      </c>
    </row>
    <row r="958" spans="1:5" x14ac:dyDescent="0.25">
      <c r="A958" t="s">
        <v>90</v>
      </c>
      <c r="B958" t="s">
        <v>2431</v>
      </c>
      <c r="C958">
        <v>2017</v>
      </c>
      <c r="E958" t="s">
        <v>2982</v>
      </c>
    </row>
    <row r="959" spans="1:5" x14ac:dyDescent="0.25">
      <c r="A959" t="s">
        <v>90</v>
      </c>
      <c r="B959" t="s">
        <v>2439</v>
      </c>
      <c r="C959">
        <v>2017</v>
      </c>
      <c r="E959" t="s">
        <v>2982</v>
      </c>
    </row>
    <row r="960" spans="1:5" x14ac:dyDescent="0.25">
      <c r="A960" t="s">
        <v>90</v>
      </c>
      <c r="B960" t="s">
        <v>2471</v>
      </c>
      <c r="C960">
        <v>2017</v>
      </c>
      <c r="E960" s="10" t="s">
        <v>3382</v>
      </c>
    </row>
    <row r="961" spans="1:5" x14ac:dyDescent="0.25">
      <c r="A961" t="s">
        <v>90</v>
      </c>
      <c r="B961" t="s">
        <v>2560</v>
      </c>
      <c r="C961">
        <v>2017</v>
      </c>
      <c r="E961" t="s">
        <v>3383</v>
      </c>
    </row>
    <row r="962" spans="1:5" x14ac:dyDescent="0.25">
      <c r="A962" t="s">
        <v>90</v>
      </c>
      <c r="B962" t="s">
        <v>2563</v>
      </c>
      <c r="C962">
        <v>2017</v>
      </c>
      <c r="E962" t="s">
        <v>3384</v>
      </c>
    </row>
    <row r="963" spans="1:5" x14ac:dyDescent="0.25">
      <c r="A963" t="s">
        <v>90</v>
      </c>
      <c r="B963" t="s">
        <v>2575</v>
      </c>
      <c r="C963">
        <v>2017</v>
      </c>
      <c r="E963" t="s">
        <v>3385</v>
      </c>
    </row>
    <row r="964" spans="1:5" x14ac:dyDescent="0.25">
      <c r="A964" t="s">
        <v>90</v>
      </c>
      <c r="B964" t="s">
        <v>2590</v>
      </c>
      <c r="C964">
        <v>2017</v>
      </c>
      <c r="E964" t="s">
        <v>3239</v>
      </c>
    </row>
    <row r="965" spans="1:5" x14ac:dyDescent="0.25">
      <c r="A965" t="s">
        <v>90</v>
      </c>
      <c r="B965" t="s">
        <v>2643</v>
      </c>
      <c r="C965">
        <v>2017</v>
      </c>
      <c r="E965" t="s">
        <v>3386</v>
      </c>
    </row>
    <row r="966" spans="1:5" x14ac:dyDescent="0.25">
      <c r="A966" t="s">
        <v>90</v>
      </c>
      <c r="B966" t="s">
        <v>2648</v>
      </c>
      <c r="C966">
        <v>2017</v>
      </c>
      <c r="E966" t="s">
        <v>3055</v>
      </c>
    </row>
    <row r="967" spans="1:5" x14ac:dyDescent="0.25">
      <c r="A967" t="s">
        <v>90</v>
      </c>
      <c r="B967" t="s">
        <v>2659</v>
      </c>
      <c r="C967">
        <v>2017</v>
      </c>
      <c r="E967" t="s">
        <v>3256</v>
      </c>
    </row>
    <row r="968" spans="1:5" x14ac:dyDescent="0.25">
      <c r="A968" t="s">
        <v>90</v>
      </c>
      <c r="B968" t="s">
        <v>2667</v>
      </c>
      <c r="C968">
        <v>2017</v>
      </c>
      <c r="E968" t="s">
        <v>2985</v>
      </c>
    </row>
    <row r="969" spans="1:5" x14ac:dyDescent="0.25">
      <c r="A969" t="s">
        <v>90</v>
      </c>
      <c r="B969" t="s">
        <v>2671</v>
      </c>
      <c r="C969">
        <v>2017</v>
      </c>
      <c r="E969" t="s">
        <v>2982</v>
      </c>
    </row>
    <row r="970" spans="1:5" x14ac:dyDescent="0.25">
      <c r="A970" t="s">
        <v>90</v>
      </c>
      <c r="B970" t="s">
        <v>2686</v>
      </c>
      <c r="C970">
        <v>2017</v>
      </c>
      <c r="E970" t="s">
        <v>2982</v>
      </c>
    </row>
    <row r="971" spans="1:5" x14ac:dyDescent="0.25">
      <c r="A971" t="s">
        <v>90</v>
      </c>
      <c r="B971" t="s">
        <v>7969</v>
      </c>
      <c r="C971">
        <v>2017</v>
      </c>
      <c r="E971" s="10" t="s">
        <v>7968</v>
      </c>
    </row>
    <row r="972" spans="1:5" x14ac:dyDescent="0.25">
      <c r="A972" t="s">
        <v>90</v>
      </c>
      <c r="B972" t="s">
        <v>2734</v>
      </c>
      <c r="C972">
        <v>2017</v>
      </c>
      <c r="E972" t="s">
        <v>3387</v>
      </c>
    </row>
    <row r="973" spans="1:5" x14ac:dyDescent="0.25">
      <c r="A973" t="s">
        <v>90</v>
      </c>
      <c r="B973" t="s">
        <v>2738</v>
      </c>
      <c r="C973">
        <v>2017</v>
      </c>
      <c r="E973" t="s">
        <v>2982</v>
      </c>
    </row>
    <row r="974" spans="1:5" x14ac:dyDescent="0.25">
      <c r="A974" t="s">
        <v>90</v>
      </c>
      <c r="B974" t="s">
        <v>2751</v>
      </c>
      <c r="C974">
        <v>2017</v>
      </c>
      <c r="E974" t="s">
        <v>2982</v>
      </c>
    </row>
    <row r="975" spans="1:5" x14ac:dyDescent="0.25">
      <c r="A975" t="s">
        <v>90</v>
      </c>
      <c r="B975" t="s">
        <v>2782</v>
      </c>
      <c r="C975">
        <v>2017</v>
      </c>
      <c r="E975" t="s">
        <v>3125</v>
      </c>
    </row>
    <row r="976" spans="1:5" x14ac:dyDescent="0.25">
      <c r="A976" t="s">
        <v>90</v>
      </c>
      <c r="B976" t="s">
        <v>2808</v>
      </c>
      <c r="C976">
        <v>2017</v>
      </c>
      <c r="E976" t="s">
        <v>3388</v>
      </c>
    </row>
    <row r="977" spans="1:5" x14ac:dyDescent="0.25">
      <c r="A977" t="s">
        <v>90</v>
      </c>
      <c r="B977" t="s">
        <v>2818</v>
      </c>
      <c r="C977">
        <v>2017</v>
      </c>
      <c r="E977" t="s">
        <v>3156</v>
      </c>
    </row>
    <row r="978" spans="1:5" x14ac:dyDescent="0.25">
      <c r="A978" t="s">
        <v>90</v>
      </c>
      <c r="B978" t="s">
        <v>2822</v>
      </c>
      <c r="C978">
        <v>2017</v>
      </c>
      <c r="E978" t="s">
        <v>2982</v>
      </c>
    </row>
    <row r="979" spans="1:5" x14ac:dyDescent="0.25">
      <c r="A979" t="s">
        <v>90</v>
      </c>
      <c r="B979" t="s">
        <v>2856</v>
      </c>
      <c r="C979">
        <v>2017</v>
      </c>
      <c r="E979" t="s">
        <v>3389</v>
      </c>
    </row>
    <row r="980" spans="1:5" x14ac:dyDescent="0.25">
      <c r="A980" t="s">
        <v>90</v>
      </c>
      <c r="B980" t="s">
        <v>2890</v>
      </c>
      <c r="C980">
        <v>2017</v>
      </c>
      <c r="E980" t="s">
        <v>3076</v>
      </c>
    </row>
    <row r="981" spans="1:5" x14ac:dyDescent="0.25">
      <c r="A981" t="s">
        <v>90</v>
      </c>
      <c r="B981" t="s">
        <v>2896</v>
      </c>
      <c r="C981">
        <v>2017</v>
      </c>
      <c r="E981" t="s">
        <v>3390</v>
      </c>
    </row>
    <row r="982" spans="1:5" x14ac:dyDescent="0.25">
      <c r="A982" t="s">
        <v>90</v>
      </c>
      <c r="B982" t="s">
        <v>2904</v>
      </c>
      <c r="C982">
        <v>2017</v>
      </c>
      <c r="E982" t="s">
        <v>3391</v>
      </c>
    </row>
    <row r="983" spans="1:5" x14ac:dyDescent="0.25">
      <c r="A983" t="s">
        <v>90</v>
      </c>
      <c r="B983" t="s">
        <v>2924</v>
      </c>
      <c r="C983">
        <v>2017</v>
      </c>
      <c r="E983" t="s">
        <v>3392</v>
      </c>
    </row>
    <row r="984" spans="1:5" x14ac:dyDescent="0.25">
      <c r="A984" t="s">
        <v>90</v>
      </c>
      <c r="B984" t="s">
        <v>2937</v>
      </c>
      <c r="C984">
        <v>2017</v>
      </c>
      <c r="E984" t="s">
        <v>3013</v>
      </c>
    </row>
    <row r="985" spans="1:5" x14ac:dyDescent="0.25">
      <c r="A985" t="s">
        <v>90</v>
      </c>
      <c r="B985" t="s">
        <v>2950</v>
      </c>
      <c r="C985">
        <v>2017</v>
      </c>
      <c r="E985" t="s">
        <v>2982</v>
      </c>
    </row>
    <row r="986" spans="1:5" x14ac:dyDescent="0.25">
      <c r="A986" t="s">
        <v>90</v>
      </c>
      <c r="B986" t="s">
        <v>2965</v>
      </c>
      <c r="C986">
        <v>2017</v>
      </c>
      <c r="E986" t="s">
        <v>3218</v>
      </c>
    </row>
    <row r="987" spans="1:5" x14ac:dyDescent="0.25">
      <c r="A987" t="s">
        <v>2361</v>
      </c>
      <c r="B987" t="s">
        <v>543</v>
      </c>
      <c r="C987">
        <v>2018</v>
      </c>
      <c r="E987" t="s">
        <v>3021</v>
      </c>
    </row>
    <row r="988" spans="1:5" x14ac:dyDescent="0.25">
      <c r="A988" t="s">
        <v>2361</v>
      </c>
      <c r="B988" t="s">
        <v>1574</v>
      </c>
      <c r="C988">
        <v>2018</v>
      </c>
      <c r="E988" t="s">
        <v>2982</v>
      </c>
    </row>
    <row r="989" spans="1:5" x14ac:dyDescent="0.25">
      <c r="A989" t="s">
        <v>2365</v>
      </c>
      <c r="B989" t="s">
        <v>2339</v>
      </c>
      <c r="C989">
        <v>2023</v>
      </c>
      <c r="E989" t="s">
        <v>2982</v>
      </c>
    </row>
    <row r="990" spans="1:5" x14ac:dyDescent="0.25">
      <c r="A990" t="s">
        <v>2377</v>
      </c>
      <c r="B990" t="s">
        <v>563</v>
      </c>
      <c r="C990">
        <v>2021</v>
      </c>
      <c r="E990" t="s">
        <v>566</v>
      </c>
    </row>
    <row r="991" spans="1:5" x14ac:dyDescent="0.25">
      <c r="A991" t="s">
        <v>2377</v>
      </c>
      <c r="B991" t="s">
        <v>1100</v>
      </c>
      <c r="C991">
        <v>2021</v>
      </c>
      <c r="E991" t="s">
        <v>3013</v>
      </c>
    </row>
    <row r="992" spans="1:5" x14ac:dyDescent="0.25">
      <c r="A992" t="s">
        <v>2377</v>
      </c>
      <c r="B992" t="s">
        <v>1471</v>
      </c>
      <c r="C992">
        <v>2021</v>
      </c>
      <c r="E992" t="s">
        <v>3013</v>
      </c>
    </row>
    <row r="993" spans="1:5" x14ac:dyDescent="0.25">
      <c r="A993" t="s">
        <v>2377</v>
      </c>
      <c r="B993" t="s">
        <v>1541</v>
      </c>
      <c r="C993">
        <v>2021</v>
      </c>
      <c r="E993" t="s">
        <v>3158</v>
      </c>
    </row>
    <row r="994" spans="1:5" x14ac:dyDescent="0.25">
      <c r="A994" t="s">
        <v>2377</v>
      </c>
      <c r="B994" t="s">
        <v>1811</v>
      </c>
      <c r="C994">
        <v>2021</v>
      </c>
      <c r="E994" t="s">
        <v>2982</v>
      </c>
    </row>
    <row r="995" spans="1:5" x14ac:dyDescent="0.25">
      <c r="A995" t="s">
        <v>2377</v>
      </c>
      <c r="B995" t="s">
        <v>8130</v>
      </c>
      <c r="C995">
        <v>2021</v>
      </c>
      <c r="E995" s="10" t="s">
        <v>8138</v>
      </c>
    </row>
    <row r="996" spans="1:5" x14ac:dyDescent="0.25">
      <c r="A996" t="s">
        <v>2377</v>
      </c>
      <c r="B996" t="s">
        <v>2455</v>
      </c>
      <c r="C996">
        <v>2021</v>
      </c>
      <c r="E996" t="s">
        <v>2982</v>
      </c>
    </row>
    <row r="997" spans="1:5" x14ac:dyDescent="0.25">
      <c r="A997" t="s">
        <v>2393</v>
      </c>
      <c r="B997" t="s">
        <v>2395</v>
      </c>
      <c r="C997">
        <v>2022</v>
      </c>
      <c r="D997" t="s">
        <v>187</v>
      </c>
    </row>
    <row r="998" spans="1:5" x14ac:dyDescent="0.25">
      <c r="A998" t="s">
        <v>2403</v>
      </c>
      <c r="B998" t="s">
        <v>497</v>
      </c>
      <c r="C998">
        <v>2019</v>
      </c>
      <c r="D998" t="s">
        <v>187</v>
      </c>
    </row>
    <row r="999" spans="1:5" x14ac:dyDescent="0.25">
      <c r="A999" t="s">
        <v>2420</v>
      </c>
      <c r="B999" t="s">
        <v>2424</v>
      </c>
      <c r="C999">
        <v>2012</v>
      </c>
      <c r="D999" t="s">
        <v>187</v>
      </c>
    </row>
    <row r="1000" spans="1:5" x14ac:dyDescent="0.25">
      <c r="A1000" t="s">
        <v>2428</v>
      </c>
      <c r="B1000" t="s">
        <v>213</v>
      </c>
      <c r="C1000">
        <v>2008</v>
      </c>
      <c r="E1000" t="s">
        <v>3393</v>
      </c>
    </row>
    <row r="1001" spans="1:5" x14ac:dyDescent="0.25">
      <c r="A1001" t="s">
        <v>2428</v>
      </c>
      <c r="B1001" t="s">
        <v>375</v>
      </c>
      <c r="C1001">
        <v>2008</v>
      </c>
      <c r="E1001" t="s">
        <v>3278</v>
      </c>
    </row>
    <row r="1002" spans="1:5" x14ac:dyDescent="0.25">
      <c r="A1002" t="s">
        <v>2428</v>
      </c>
      <c r="B1002" t="s">
        <v>431</v>
      </c>
      <c r="C1002">
        <v>2008</v>
      </c>
      <c r="E1002" t="s">
        <v>2982</v>
      </c>
    </row>
    <row r="1003" spans="1:5" x14ac:dyDescent="0.25">
      <c r="A1003" t="s">
        <v>2428</v>
      </c>
      <c r="B1003" t="s">
        <v>540</v>
      </c>
      <c r="C1003">
        <v>2008</v>
      </c>
      <c r="E1003" t="s">
        <v>3257</v>
      </c>
    </row>
    <row r="1004" spans="1:5" x14ac:dyDescent="0.25">
      <c r="A1004" t="s">
        <v>2428</v>
      </c>
      <c r="B1004" t="s">
        <v>549</v>
      </c>
      <c r="C1004">
        <v>2008</v>
      </c>
      <c r="E1004" t="s">
        <v>3394</v>
      </c>
    </row>
    <row r="1005" spans="1:5" x14ac:dyDescent="0.25">
      <c r="A1005" t="s">
        <v>2428</v>
      </c>
      <c r="B1005" t="s">
        <v>604</v>
      </c>
      <c r="C1005">
        <v>2008</v>
      </c>
      <c r="E1005" t="s">
        <v>3145</v>
      </c>
    </row>
    <row r="1006" spans="1:5" x14ac:dyDescent="0.25">
      <c r="A1006" t="s">
        <v>2428</v>
      </c>
      <c r="B1006" t="s">
        <v>625</v>
      </c>
      <c r="C1006">
        <v>2008</v>
      </c>
      <c r="E1006" t="s">
        <v>3395</v>
      </c>
    </row>
    <row r="1007" spans="1:5" x14ac:dyDescent="0.25">
      <c r="A1007" t="s">
        <v>2428</v>
      </c>
      <c r="B1007" t="s">
        <v>689</v>
      </c>
      <c r="C1007">
        <v>2008</v>
      </c>
      <c r="E1007" t="s">
        <v>3325</v>
      </c>
    </row>
    <row r="1008" spans="1:5" x14ac:dyDescent="0.25">
      <c r="A1008" t="s">
        <v>2428</v>
      </c>
      <c r="B1008" t="s">
        <v>865</v>
      </c>
      <c r="C1008">
        <v>2008</v>
      </c>
      <c r="E1008" t="s">
        <v>3203</v>
      </c>
    </row>
    <row r="1009" spans="1:5" x14ac:dyDescent="0.25">
      <c r="A1009" t="s">
        <v>2428</v>
      </c>
      <c r="B1009" t="s">
        <v>930</v>
      </c>
      <c r="C1009">
        <v>2008</v>
      </c>
      <c r="E1009" t="s">
        <v>3396</v>
      </c>
    </row>
    <row r="1010" spans="1:5" x14ac:dyDescent="0.25">
      <c r="A1010" t="s">
        <v>2428</v>
      </c>
      <c r="B1010" t="s">
        <v>1002</v>
      </c>
      <c r="C1010">
        <v>2008</v>
      </c>
      <c r="E1010" t="s">
        <v>3117</v>
      </c>
    </row>
    <row r="1011" spans="1:5" x14ac:dyDescent="0.25">
      <c r="A1011" t="s">
        <v>2428</v>
      </c>
      <c r="B1011" t="s">
        <v>1014</v>
      </c>
      <c r="C1011">
        <v>2008</v>
      </c>
      <c r="E1011" t="s">
        <v>3397</v>
      </c>
    </row>
    <row r="1012" spans="1:5" x14ac:dyDescent="0.25">
      <c r="A1012" t="s">
        <v>2428</v>
      </c>
      <c r="B1012" t="s">
        <v>1046</v>
      </c>
      <c r="C1012">
        <v>2008</v>
      </c>
      <c r="E1012" t="s">
        <v>3302</v>
      </c>
    </row>
    <row r="1013" spans="1:5" x14ac:dyDescent="0.25">
      <c r="A1013" t="s">
        <v>2428</v>
      </c>
      <c r="B1013" t="s">
        <v>1085</v>
      </c>
      <c r="C1013">
        <v>2008</v>
      </c>
      <c r="E1013" t="s">
        <v>1088</v>
      </c>
    </row>
    <row r="1014" spans="1:5" x14ac:dyDescent="0.25">
      <c r="A1014" t="s">
        <v>2428</v>
      </c>
      <c r="B1014" t="s">
        <v>1104</v>
      </c>
      <c r="C1014">
        <v>2008</v>
      </c>
      <c r="E1014" t="s">
        <v>3336</v>
      </c>
    </row>
    <row r="1015" spans="1:5" x14ac:dyDescent="0.25">
      <c r="A1015" t="s">
        <v>2428</v>
      </c>
      <c r="B1015" t="s">
        <v>1144</v>
      </c>
      <c r="C1015">
        <v>2008</v>
      </c>
      <c r="E1015" t="s">
        <v>3398</v>
      </c>
    </row>
    <row r="1016" spans="1:5" x14ac:dyDescent="0.25">
      <c r="A1016" t="s">
        <v>2428</v>
      </c>
      <c r="B1016" t="s">
        <v>1219</v>
      </c>
      <c r="C1016">
        <v>2008</v>
      </c>
      <c r="E1016" t="s">
        <v>2982</v>
      </c>
    </row>
    <row r="1017" spans="1:5" x14ac:dyDescent="0.25">
      <c r="A1017" t="s">
        <v>2428</v>
      </c>
      <c r="B1017" t="s">
        <v>1235</v>
      </c>
      <c r="C1017">
        <v>2008</v>
      </c>
      <c r="E1017" t="s">
        <v>3303</v>
      </c>
    </row>
    <row r="1018" spans="1:5" x14ac:dyDescent="0.25">
      <c r="A1018" t="s">
        <v>2428</v>
      </c>
      <c r="B1018" t="s">
        <v>1553</v>
      </c>
      <c r="C1018">
        <v>2008</v>
      </c>
      <c r="E1018" t="s">
        <v>3159</v>
      </c>
    </row>
    <row r="1019" spans="1:5" x14ac:dyDescent="0.25">
      <c r="A1019" t="s">
        <v>2428</v>
      </c>
      <c r="B1019" t="s">
        <v>1602</v>
      </c>
      <c r="C1019">
        <v>2008</v>
      </c>
      <c r="E1019" t="s">
        <v>3399</v>
      </c>
    </row>
    <row r="1020" spans="1:5" x14ac:dyDescent="0.25">
      <c r="A1020" t="s">
        <v>2428</v>
      </c>
      <c r="B1020" t="s">
        <v>1700</v>
      </c>
      <c r="C1020">
        <v>2008</v>
      </c>
      <c r="E1020" t="s">
        <v>3208</v>
      </c>
    </row>
    <row r="1021" spans="1:5" x14ac:dyDescent="0.25">
      <c r="A1021" t="s">
        <v>2428</v>
      </c>
      <c r="B1021" t="s">
        <v>1748</v>
      </c>
      <c r="C1021">
        <v>2008</v>
      </c>
      <c r="E1021" t="s">
        <v>3400</v>
      </c>
    </row>
    <row r="1022" spans="1:5" x14ac:dyDescent="0.25">
      <c r="A1022" t="s">
        <v>2428</v>
      </c>
      <c r="B1022" t="s">
        <v>1817</v>
      </c>
      <c r="C1022">
        <v>2008</v>
      </c>
      <c r="E1022" t="s">
        <v>2982</v>
      </c>
    </row>
    <row r="1023" spans="1:5" x14ac:dyDescent="0.25">
      <c r="A1023" t="s">
        <v>2428</v>
      </c>
      <c r="B1023" t="s">
        <v>2077</v>
      </c>
      <c r="C1023">
        <v>2008</v>
      </c>
      <c r="E1023" t="s">
        <v>3330</v>
      </c>
    </row>
    <row r="1024" spans="1:5" x14ac:dyDescent="0.25">
      <c r="A1024" t="s">
        <v>2428</v>
      </c>
      <c r="B1024" t="s">
        <v>2173</v>
      </c>
      <c r="C1024">
        <v>2008</v>
      </c>
      <c r="E1024" t="s">
        <v>3401</v>
      </c>
    </row>
    <row r="1025" spans="1:5" x14ac:dyDescent="0.25">
      <c r="A1025" t="s">
        <v>2428</v>
      </c>
      <c r="B1025" t="s">
        <v>2328</v>
      </c>
      <c r="C1025">
        <v>2008</v>
      </c>
      <c r="E1025" t="s">
        <v>3161</v>
      </c>
    </row>
    <row r="1026" spans="1:5" x14ac:dyDescent="0.25">
      <c r="A1026" t="s">
        <v>2428</v>
      </c>
      <c r="B1026" t="s">
        <v>2341</v>
      </c>
      <c r="C1026">
        <v>2008</v>
      </c>
      <c r="E1026" t="s">
        <v>2982</v>
      </c>
    </row>
    <row r="1027" spans="1:5" x14ac:dyDescent="0.25">
      <c r="A1027" t="s">
        <v>2428</v>
      </c>
      <c r="B1027" t="s">
        <v>2420</v>
      </c>
      <c r="C1027">
        <v>2008</v>
      </c>
      <c r="D1027" t="s">
        <v>187</v>
      </c>
    </row>
    <row r="1028" spans="1:5" x14ac:dyDescent="0.25">
      <c r="A1028" t="s">
        <v>2428</v>
      </c>
      <c r="B1028" t="s">
        <v>2443</v>
      </c>
      <c r="C1028">
        <v>2008</v>
      </c>
      <c r="E1028" t="s">
        <v>2446</v>
      </c>
    </row>
    <row r="1029" spans="1:5" x14ac:dyDescent="0.25">
      <c r="A1029" t="s">
        <v>2428</v>
      </c>
      <c r="B1029" t="s">
        <v>2485</v>
      </c>
      <c r="C1029">
        <v>2008</v>
      </c>
      <c r="E1029" t="s">
        <v>3402</v>
      </c>
    </row>
    <row r="1030" spans="1:5" x14ac:dyDescent="0.25">
      <c r="A1030" t="s">
        <v>2428</v>
      </c>
      <c r="B1030" t="s">
        <v>2492</v>
      </c>
      <c r="C1030">
        <v>2008</v>
      </c>
      <c r="E1030" t="s">
        <v>3403</v>
      </c>
    </row>
    <row r="1031" spans="1:5" x14ac:dyDescent="0.25">
      <c r="A1031" t="s">
        <v>2428</v>
      </c>
      <c r="B1031" t="s">
        <v>2530</v>
      </c>
      <c r="C1031">
        <v>2008</v>
      </c>
      <c r="E1031" t="s">
        <v>3216</v>
      </c>
    </row>
    <row r="1032" spans="1:5" x14ac:dyDescent="0.25">
      <c r="A1032" t="s">
        <v>2428</v>
      </c>
      <c r="B1032" t="s">
        <v>160</v>
      </c>
      <c r="C1032">
        <v>2008</v>
      </c>
      <c r="E1032" t="s">
        <v>3130</v>
      </c>
    </row>
    <row r="1033" spans="1:5" x14ac:dyDescent="0.25">
      <c r="A1033" t="s">
        <v>2428</v>
      </c>
      <c r="B1033" t="s">
        <v>2760</v>
      </c>
      <c r="C1033">
        <v>2008</v>
      </c>
      <c r="E1033" t="s">
        <v>3163</v>
      </c>
    </row>
    <row r="1034" spans="1:5" x14ac:dyDescent="0.25">
      <c r="A1034" t="s">
        <v>2428</v>
      </c>
      <c r="B1034" t="s">
        <v>2796</v>
      </c>
      <c r="C1034">
        <v>2018</v>
      </c>
      <c r="E1034" t="s">
        <v>3169</v>
      </c>
    </row>
    <row r="1035" spans="1:5" x14ac:dyDescent="0.25">
      <c r="A1035" t="s">
        <v>2428</v>
      </c>
      <c r="B1035" t="s">
        <v>2890</v>
      </c>
      <c r="C1035">
        <v>2008</v>
      </c>
      <c r="E1035" t="s">
        <v>3076</v>
      </c>
    </row>
    <row r="1036" spans="1:5" x14ac:dyDescent="0.25">
      <c r="A1036" t="s">
        <v>2443</v>
      </c>
      <c r="B1036" t="s">
        <v>457</v>
      </c>
      <c r="C1036">
        <v>2019</v>
      </c>
      <c r="D1036" t="s">
        <v>187</v>
      </c>
    </row>
    <row r="1037" spans="1:5" x14ac:dyDescent="0.25">
      <c r="A1037" t="s">
        <v>2447</v>
      </c>
      <c r="B1037" t="s">
        <v>2941</v>
      </c>
      <c r="C1037">
        <v>2014</v>
      </c>
      <c r="E1037" t="s">
        <v>3404</v>
      </c>
    </row>
    <row r="1038" spans="1:5" x14ac:dyDescent="0.25">
      <c r="A1038" t="s">
        <v>2459</v>
      </c>
      <c r="B1038" t="s">
        <v>2254</v>
      </c>
      <c r="C1038">
        <v>2017</v>
      </c>
      <c r="E1038" t="s">
        <v>2982</v>
      </c>
    </row>
    <row r="1039" spans="1:5" x14ac:dyDescent="0.25">
      <c r="A1039" t="s">
        <v>2481</v>
      </c>
      <c r="B1039" t="s">
        <v>1050</v>
      </c>
      <c r="C1039">
        <v>2020</v>
      </c>
      <c r="E1039" t="s">
        <v>3058</v>
      </c>
    </row>
    <row r="1040" spans="1:5" x14ac:dyDescent="0.25">
      <c r="A1040" t="s">
        <v>2489</v>
      </c>
      <c r="B1040" t="s">
        <v>2874</v>
      </c>
      <c r="C1040">
        <v>2002</v>
      </c>
      <c r="D1040" t="s">
        <v>187</v>
      </c>
    </row>
    <row r="1041" spans="1:5" x14ac:dyDescent="0.25">
      <c r="A1041" t="s">
        <v>2498</v>
      </c>
      <c r="B1041" t="s">
        <v>198</v>
      </c>
      <c r="C1041">
        <v>2017</v>
      </c>
      <c r="D1041" t="s">
        <v>187</v>
      </c>
    </row>
    <row r="1042" spans="1:5" x14ac:dyDescent="0.25">
      <c r="A1042" t="s">
        <v>2502</v>
      </c>
      <c r="B1042" t="s">
        <v>713</v>
      </c>
      <c r="C1042">
        <v>2015</v>
      </c>
      <c r="D1042" t="s">
        <v>187</v>
      </c>
    </row>
    <row r="1043" spans="1:5" x14ac:dyDescent="0.25">
      <c r="A1043" t="s">
        <v>2506</v>
      </c>
      <c r="B1043" t="s">
        <v>344</v>
      </c>
      <c r="C1043">
        <v>2021</v>
      </c>
      <c r="E1043" t="s">
        <v>2982</v>
      </c>
    </row>
    <row r="1044" spans="1:5" x14ac:dyDescent="0.25">
      <c r="A1044" t="s">
        <v>2506</v>
      </c>
      <c r="B1044" t="s">
        <v>730</v>
      </c>
      <c r="C1044">
        <v>2021</v>
      </c>
      <c r="E1044" t="s">
        <v>3025</v>
      </c>
    </row>
    <row r="1045" spans="1:5" x14ac:dyDescent="0.25">
      <c r="A1045" t="s">
        <v>2506</v>
      </c>
      <c r="B1045" t="s">
        <v>1071</v>
      </c>
      <c r="C1045">
        <v>2021</v>
      </c>
      <c r="E1045" t="s">
        <v>3013</v>
      </c>
    </row>
    <row r="1046" spans="1:5" x14ac:dyDescent="0.25">
      <c r="A1046" t="s">
        <v>2506</v>
      </c>
      <c r="B1046" t="s">
        <v>1475</v>
      </c>
      <c r="C1046">
        <v>2021</v>
      </c>
      <c r="E1046" t="s">
        <v>2982</v>
      </c>
    </row>
    <row r="1047" spans="1:5" x14ac:dyDescent="0.25">
      <c r="A1047" t="s">
        <v>2506</v>
      </c>
      <c r="B1047" t="s">
        <v>1503</v>
      </c>
      <c r="C1047">
        <v>2021</v>
      </c>
      <c r="E1047" t="s">
        <v>3011</v>
      </c>
    </row>
    <row r="1048" spans="1:5" x14ac:dyDescent="0.25">
      <c r="A1048" t="s">
        <v>2506</v>
      </c>
      <c r="B1048" t="s">
        <v>1587</v>
      </c>
      <c r="C1048">
        <v>2021</v>
      </c>
      <c r="E1048" t="s">
        <v>2982</v>
      </c>
    </row>
    <row r="1049" spans="1:5" x14ac:dyDescent="0.25">
      <c r="A1049" t="s">
        <v>2506</v>
      </c>
      <c r="B1049" t="s">
        <v>1633</v>
      </c>
      <c r="C1049">
        <v>2021</v>
      </c>
      <c r="E1049" t="s">
        <v>2982</v>
      </c>
    </row>
    <row r="1050" spans="1:5" x14ac:dyDescent="0.25">
      <c r="A1050" t="s">
        <v>2506</v>
      </c>
      <c r="B1050" t="s">
        <v>1851</v>
      </c>
      <c r="C1050">
        <v>2021</v>
      </c>
      <c r="E1050" t="s">
        <v>2982</v>
      </c>
    </row>
    <row r="1051" spans="1:5" x14ac:dyDescent="0.25">
      <c r="A1051" t="s">
        <v>2506</v>
      </c>
      <c r="B1051" t="s">
        <v>1863</v>
      </c>
      <c r="C1051">
        <v>2021</v>
      </c>
      <c r="E1051" t="s">
        <v>2982</v>
      </c>
    </row>
    <row r="1052" spans="1:5" x14ac:dyDescent="0.25">
      <c r="A1052" t="s">
        <v>2506</v>
      </c>
      <c r="B1052" t="s">
        <v>7841</v>
      </c>
      <c r="C1052">
        <v>2021</v>
      </c>
      <c r="E1052" t="s">
        <v>7826</v>
      </c>
    </row>
    <row r="1053" spans="1:5" x14ac:dyDescent="0.25">
      <c r="A1053" t="s">
        <v>2506</v>
      </c>
      <c r="B1053" t="s">
        <v>2222</v>
      </c>
      <c r="C1053">
        <v>2021</v>
      </c>
      <c r="E1053" t="s">
        <v>3042</v>
      </c>
    </row>
    <row r="1054" spans="1:5" x14ac:dyDescent="0.25">
      <c r="A1054" t="s">
        <v>2506</v>
      </c>
      <c r="B1054" t="s">
        <v>2695</v>
      </c>
      <c r="C1054">
        <v>2021</v>
      </c>
      <c r="E1054" t="s">
        <v>2984</v>
      </c>
    </row>
    <row r="1055" spans="1:5" x14ac:dyDescent="0.25">
      <c r="A1055" t="s">
        <v>2506</v>
      </c>
      <c r="B1055" t="s">
        <v>7709</v>
      </c>
      <c r="C1055">
        <v>2021</v>
      </c>
      <c r="E1055" t="s">
        <v>7708</v>
      </c>
    </row>
    <row r="1056" spans="1:5" x14ac:dyDescent="0.25">
      <c r="A1056" t="s">
        <v>2518</v>
      </c>
      <c r="B1056" t="s">
        <v>1235</v>
      </c>
      <c r="C1056">
        <v>2013</v>
      </c>
      <c r="E1056" t="s">
        <v>3303</v>
      </c>
    </row>
    <row r="1057" spans="1:5" x14ac:dyDescent="0.25">
      <c r="A1057" t="s">
        <v>2522</v>
      </c>
      <c r="B1057" t="s">
        <v>1811</v>
      </c>
      <c r="C1057">
        <v>2025</v>
      </c>
      <c r="E1057" t="s">
        <v>2982</v>
      </c>
    </row>
    <row r="1058" spans="1:5" x14ac:dyDescent="0.25">
      <c r="A1058" t="s">
        <v>2534</v>
      </c>
      <c r="B1058" t="s">
        <v>2190</v>
      </c>
      <c r="C1058">
        <v>1982</v>
      </c>
      <c r="E1058" t="s">
        <v>3172</v>
      </c>
    </row>
    <row r="1059" spans="1:5" x14ac:dyDescent="0.25">
      <c r="A1059" t="s">
        <v>2537</v>
      </c>
      <c r="B1059" t="s">
        <v>2540</v>
      </c>
      <c r="C1059">
        <v>2021</v>
      </c>
      <c r="D1059" t="s">
        <v>187</v>
      </c>
    </row>
    <row r="1060" spans="1:5" x14ac:dyDescent="0.25">
      <c r="A1060" t="s">
        <v>2556</v>
      </c>
      <c r="B1060" t="s">
        <v>2554</v>
      </c>
      <c r="C1060">
        <v>2018</v>
      </c>
      <c r="D1060" t="s">
        <v>187</v>
      </c>
    </row>
    <row r="1061" spans="1:5" x14ac:dyDescent="0.25">
      <c r="A1061" t="s">
        <v>2571</v>
      </c>
      <c r="B1061" t="s">
        <v>517</v>
      </c>
      <c r="C1061">
        <v>1998</v>
      </c>
      <c r="E1061" t="s">
        <v>3150</v>
      </c>
    </row>
    <row r="1062" spans="1:5" x14ac:dyDescent="0.25">
      <c r="A1062" t="s">
        <v>2571</v>
      </c>
      <c r="B1062" t="s">
        <v>984</v>
      </c>
      <c r="C1062">
        <v>1998</v>
      </c>
      <c r="E1062" t="s">
        <v>2988</v>
      </c>
    </row>
    <row r="1063" spans="1:5" x14ac:dyDescent="0.25">
      <c r="A1063" t="s">
        <v>2571</v>
      </c>
      <c r="B1063" t="s">
        <v>1420</v>
      </c>
      <c r="C1063">
        <v>1998</v>
      </c>
      <c r="E1063" t="s">
        <v>2992</v>
      </c>
    </row>
    <row r="1064" spans="1:5" x14ac:dyDescent="0.25">
      <c r="A1064" t="s">
        <v>2571</v>
      </c>
      <c r="B1064" t="s">
        <v>1513</v>
      </c>
      <c r="C1064">
        <v>1998</v>
      </c>
      <c r="E1064" t="s">
        <v>3059</v>
      </c>
    </row>
    <row r="1065" spans="1:5" x14ac:dyDescent="0.25">
      <c r="A1065" t="s">
        <v>2571</v>
      </c>
      <c r="B1065" t="s">
        <v>1937</v>
      </c>
      <c r="C1065">
        <v>1998</v>
      </c>
      <c r="E1065" t="s">
        <v>1940</v>
      </c>
    </row>
    <row r="1066" spans="1:5" x14ac:dyDescent="0.25">
      <c r="A1066" t="s">
        <v>2571</v>
      </c>
      <c r="B1066" t="s">
        <v>2107</v>
      </c>
      <c r="C1066">
        <v>1998</v>
      </c>
      <c r="E1066" t="s">
        <v>3139</v>
      </c>
    </row>
    <row r="1067" spans="1:5" x14ac:dyDescent="0.25">
      <c r="A1067" t="s">
        <v>2571</v>
      </c>
      <c r="B1067" t="s">
        <v>2160</v>
      </c>
      <c r="C1067">
        <v>1998</v>
      </c>
      <c r="E1067" t="s">
        <v>2995</v>
      </c>
    </row>
    <row r="1068" spans="1:5" x14ac:dyDescent="0.25">
      <c r="A1068" t="s">
        <v>2571</v>
      </c>
      <c r="B1068" t="s">
        <v>2578</v>
      </c>
      <c r="C1068">
        <v>1998</v>
      </c>
      <c r="E1068" t="s">
        <v>3170</v>
      </c>
    </row>
    <row r="1069" spans="1:5" x14ac:dyDescent="0.25">
      <c r="A1069" t="s">
        <v>2578</v>
      </c>
      <c r="B1069" t="s">
        <v>1513</v>
      </c>
      <c r="C1069">
        <v>2017</v>
      </c>
      <c r="E1069" t="s">
        <v>3059</v>
      </c>
    </row>
    <row r="1070" spans="1:5" x14ac:dyDescent="0.25">
      <c r="A1070" t="s">
        <v>2594</v>
      </c>
      <c r="B1070" t="s">
        <v>7956</v>
      </c>
      <c r="C1070">
        <v>2019</v>
      </c>
      <c r="E1070" t="s">
        <v>2982</v>
      </c>
    </row>
    <row r="1071" spans="1:5" x14ac:dyDescent="0.25">
      <c r="A1071" t="s">
        <v>2594</v>
      </c>
      <c r="B1071" t="s">
        <v>1008</v>
      </c>
      <c r="C1071">
        <v>2019</v>
      </c>
      <c r="E1071" t="s">
        <v>2982</v>
      </c>
    </row>
    <row r="1072" spans="1:5" x14ac:dyDescent="0.25">
      <c r="A1072" t="s">
        <v>2594</v>
      </c>
      <c r="B1072" t="s">
        <v>1503</v>
      </c>
      <c r="C1072">
        <v>2019</v>
      </c>
      <c r="E1072" t="s">
        <v>3011</v>
      </c>
    </row>
    <row r="1073" spans="1:5" x14ac:dyDescent="0.25">
      <c r="A1073" t="s">
        <v>2594</v>
      </c>
      <c r="B1073" t="s">
        <v>2264</v>
      </c>
      <c r="C1073">
        <v>2019</v>
      </c>
      <c r="E1073" t="s">
        <v>3381</v>
      </c>
    </row>
    <row r="1074" spans="1:5" x14ac:dyDescent="0.25">
      <c r="A1074" t="s">
        <v>2594</v>
      </c>
      <c r="B1074" t="s">
        <v>2614</v>
      </c>
      <c r="C1074">
        <v>2019</v>
      </c>
      <c r="E1074" t="s">
        <v>3155</v>
      </c>
    </row>
    <row r="1075" spans="1:5" x14ac:dyDescent="0.25">
      <c r="A1075" t="s">
        <v>2594</v>
      </c>
      <c r="B1075" t="s">
        <v>2695</v>
      </c>
      <c r="C1075">
        <v>2019</v>
      </c>
      <c r="E1075" t="s">
        <v>2984</v>
      </c>
    </row>
    <row r="1076" spans="1:5" x14ac:dyDescent="0.25">
      <c r="A1076" t="s">
        <v>2614</v>
      </c>
      <c r="B1076" t="s">
        <v>7956</v>
      </c>
      <c r="C1076">
        <v>2025</v>
      </c>
      <c r="E1076" s="10" t="s">
        <v>7955</v>
      </c>
    </row>
    <row r="1077" spans="1:5" x14ac:dyDescent="0.25">
      <c r="A1077" t="s">
        <v>2614</v>
      </c>
      <c r="B1077" t="s">
        <v>1863</v>
      </c>
      <c r="C1077">
        <v>2025</v>
      </c>
      <c r="E1077" t="s">
        <v>2982</v>
      </c>
    </row>
    <row r="1078" spans="1:5" x14ac:dyDescent="0.25">
      <c r="A1078" t="s">
        <v>2614</v>
      </c>
      <c r="B1078" t="s">
        <v>2763</v>
      </c>
      <c r="C1078">
        <v>2025</v>
      </c>
      <c r="E1078" t="s">
        <v>3014</v>
      </c>
    </row>
    <row r="1079" spans="1:5" x14ac:dyDescent="0.25">
      <c r="A1079" t="s">
        <v>160</v>
      </c>
      <c r="B1079" t="s">
        <v>190</v>
      </c>
      <c r="C1079">
        <v>2011</v>
      </c>
      <c r="E1079" t="s">
        <v>3083</v>
      </c>
    </row>
    <row r="1080" spans="1:5" x14ac:dyDescent="0.25">
      <c r="A1080" t="s">
        <v>160</v>
      </c>
      <c r="B1080" t="s">
        <v>213</v>
      </c>
      <c r="C1080">
        <v>2011</v>
      </c>
      <c r="E1080" t="s">
        <v>3393</v>
      </c>
    </row>
    <row r="1081" spans="1:5" x14ac:dyDescent="0.25">
      <c r="A1081" t="s">
        <v>160</v>
      </c>
      <c r="B1081" t="s">
        <v>217</v>
      </c>
      <c r="C1081">
        <v>2011</v>
      </c>
      <c r="E1081" t="s">
        <v>3405</v>
      </c>
    </row>
    <row r="1082" spans="1:5" x14ac:dyDescent="0.25">
      <c r="A1082" t="s">
        <v>160</v>
      </c>
      <c r="B1082" t="s">
        <v>253</v>
      </c>
      <c r="C1082">
        <v>2011</v>
      </c>
      <c r="E1082" t="s">
        <v>3111</v>
      </c>
    </row>
    <row r="1083" spans="1:5" x14ac:dyDescent="0.25">
      <c r="A1083" t="s">
        <v>160</v>
      </c>
      <c r="B1083" t="s">
        <v>308</v>
      </c>
      <c r="C1083">
        <v>2011</v>
      </c>
      <c r="E1083" t="s">
        <v>3184</v>
      </c>
    </row>
    <row r="1084" spans="1:5" x14ac:dyDescent="0.25">
      <c r="A1084" t="s">
        <v>160</v>
      </c>
      <c r="B1084" t="s">
        <v>415</v>
      </c>
      <c r="C1084">
        <v>2011</v>
      </c>
      <c r="E1084" t="s">
        <v>3186</v>
      </c>
    </row>
    <row r="1085" spans="1:5" x14ac:dyDescent="0.25">
      <c r="A1085" t="s">
        <v>160</v>
      </c>
      <c r="B1085" t="s">
        <v>431</v>
      </c>
      <c r="C1085">
        <v>2011</v>
      </c>
      <c r="E1085" t="s">
        <v>2982</v>
      </c>
    </row>
    <row r="1086" spans="1:5" x14ac:dyDescent="0.25">
      <c r="A1086" t="s">
        <v>160</v>
      </c>
      <c r="B1086" t="s">
        <v>501</v>
      </c>
      <c r="C1086">
        <v>2011</v>
      </c>
      <c r="E1086" t="s">
        <v>3187</v>
      </c>
    </row>
    <row r="1087" spans="1:5" x14ac:dyDescent="0.25">
      <c r="A1087" t="s">
        <v>160</v>
      </c>
      <c r="B1087" t="s">
        <v>557</v>
      </c>
      <c r="C1087">
        <v>2011</v>
      </c>
      <c r="E1087" t="s">
        <v>3406</v>
      </c>
    </row>
    <row r="1088" spans="1:5" x14ac:dyDescent="0.25">
      <c r="A1088" t="s">
        <v>160</v>
      </c>
      <c r="B1088" t="s">
        <v>610</v>
      </c>
      <c r="C1088">
        <v>2011</v>
      </c>
      <c r="E1088" t="s">
        <v>3066</v>
      </c>
    </row>
    <row r="1089" spans="1:5" x14ac:dyDescent="0.25">
      <c r="A1089" t="s">
        <v>160</v>
      </c>
      <c r="B1089" t="s">
        <v>635</v>
      </c>
      <c r="C1089">
        <v>2011</v>
      </c>
      <c r="E1089" t="s">
        <v>3407</v>
      </c>
    </row>
    <row r="1090" spans="1:5" x14ac:dyDescent="0.25">
      <c r="A1090" t="s">
        <v>160</v>
      </c>
      <c r="B1090" t="s">
        <v>689</v>
      </c>
      <c r="C1090">
        <v>2011</v>
      </c>
      <c r="E1090" t="s">
        <v>3325</v>
      </c>
    </row>
    <row r="1091" spans="1:5" x14ac:dyDescent="0.25">
      <c r="A1091" t="s">
        <v>160</v>
      </c>
      <c r="B1091" t="s">
        <v>709</v>
      </c>
      <c r="C1091">
        <v>2011</v>
      </c>
      <c r="E1091" t="s">
        <v>3114</v>
      </c>
    </row>
    <row r="1092" spans="1:5" x14ac:dyDescent="0.25">
      <c r="A1092" t="s">
        <v>160</v>
      </c>
      <c r="B1092" t="s">
        <v>759</v>
      </c>
      <c r="C1092">
        <v>2011</v>
      </c>
      <c r="E1092" t="s">
        <v>3315</v>
      </c>
    </row>
    <row r="1093" spans="1:5" x14ac:dyDescent="0.25">
      <c r="A1093" t="s">
        <v>160</v>
      </c>
      <c r="B1093" t="s">
        <v>763</v>
      </c>
      <c r="C1093">
        <v>2011</v>
      </c>
      <c r="E1093" t="s">
        <v>3408</v>
      </c>
    </row>
    <row r="1094" spans="1:5" x14ac:dyDescent="0.25">
      <c r="A1094" t="s">
        <v>160</v>
      </c>
      <c r="B1094" t="s">
        <v>845</v>
      </c>
      <c r="C1094">
        <v>2011</v>
      </c>
      <c r="E1094" t="s">
        <v>3115</v>
      </c>
    </row>
    <row r="1095" spans="1:5" x14ac:dyDescent="0.25">
      <c r="A1095" t="s">
        <v>160</v>
      </c>
      <c r="B1095" t="s">
        <v>854</v>
      </c>
      <c r="C1095">
        <v>2011</v>
      </c>
      <c r="E1095" t="s">
        <v>3409</v>
      </c>
    </row>
    <row r="1096" spans="1:5" x14ac:dyDescent="0.25">
      <c r="A1096" t="s">
        <v>160</v>
      </c>
      <c r="B1096" t="s">
        <v>948</v>
      </c>
      <c r="C1096">
        <v>2011</v>
      </c>
      <c r="E1096" t="s">
        <v>3116</v>
      </c>
    </row>
    <row r="1097" spans="1:5" x14ac:dyDescent="0.25">
      <c r="A1097" t="s">
        <v>160</v>
      </c>
      <c r="B1097" t="s">
        <v>992</v>
      </c>
      <c r="C1097">
        <v>2011</v>
      </c>
      <c r="E1097" t="s">
        <v>2982</v>
      </c>
    </row>
    <row r="1098" spans="1:5" x14ac:dyDescent="0.25">
      <c r="A1098" t="s">
        <v>160</v>
      </c>
      <c r="B1098" t="s">
        <v>1029</v>
      </c>
      <c r="C1098">
        <v>2011</v>
      </c>
      <c r="E1098" t="s">
        <v>2982</v>
      </c>
    </row>
    <row r="1099" spans="1:5" x14ac:dyDescent="0.25">
      <c r="A1099" t="s">
        <v>160</v>
      </c>
      <c r="B1099" t="s">
        <v>1046</v>
      </c>
      <c r="C1099">
        <v>2011</v>
      </c>
      <c r="E1099" t="s">
        <v>3302</v>
      </c>
    </row>
    <row r="1100" spans="1:5" x14ac:dyDescent="0.25">
      <c r="A1100" t="s">
        <v>160</v>
      </c>
      <c r="B1100" t="s">
        <v>1133</v>
      </c>
      <c r="C1100">
        <v>2011</v>
      </c>
      <c r="E1100" t="s">
        <v>3013</v>
      </c>
    </row>
    <row r="1101" spans="1:5" x14ac:dyDescent="0.25">
      <c r="A1101" t="s">
        <v>160</v>
      </c>
      <c r="B1101" t="s">
        <v>1148</v>
      </c>
      <c r="C1101">
        <v>2011</v>
      </c>
      <c r="E1101" t="s">
        <v>3410</v>
      </c>
    </row>
    <row r="1102" spans="1:5" x14ac:dyDescent="0.25">
      <c r="A1102" t="s">
        <v>160</v>
      </c>
      <c r="B1102" t="s">
        <v>1219</v>
      </c>
      <c r="C1102">
        <v>2011</v>
      </c>
      <c r="E1102" t="s">
        <v>2982</v>
      </c>
    </row>
    <row r="1103" spans="1:5" x14ac:dyDescent="0.25">
      <c r="A1103" t="s">
        <v>160</v>
      </c>
      <c r="B1103" t="s">
        <v>1227</v>
      </c>
      <c r="C1103">
        <v>2011</v>
      </c>
      <c r="E1103" t="s">
        <v>3327</v>
      </c>
    </row>
    <row r="1104" spans="1:5" x14ac:dyDescent="0.25">
      <c r="A1104" t="s">
        <v>160</v>
      </c>
      <c r="B1104" t="s">
        <v>1320</v>
      </c>
      <c r="C1104">
        <v>2011</v>
      </c>
      <c r="E1104" t="s">
        <v>3206</v>
      </c>
    </row>
    <row r="1105" spans="1:5" x14ac:dyDescent="0.25">
      <c r="A1105" t="s">
        <v>160</v>
      </c>
      <c r="B1105" t="s">
        <v>1516</v>
      </c>
      <c r="C1105">
        <v>2011</v>
      </c>
      <c r="E1105" t="s">
        <v>2982</v>
      </c>
    </row>
    <row r="1106" spans="1:5" x14ac:dyDescent="0.25">
      <c r="A1106" t="s">
        <v>160</v>
      </c>
      <c r="B1106" t="s">
        <v>1563</v>
      </c>
      <c r="C1106">
        <v>2011</v>
      </c>
      <c r="E1106" t="s">
        <v>2982</v>
      </c>
    </row>
    <row r="1107" spans="1:5" x14ac:dyDescent="0.25">
      <c r="A1107" t="s">
        <v>160</v>
      </c>
      <c r="B1107" t="s">
        <v>1594</v>
      </c>
      <c r="C1107">
        <v>2011</v>
      </c>
      <c r="E1107" t="s">
        <v>3296</v>
      </c>
    </row>
    <row r="1108" spans="1:5" x14ac:dyDescent="0.25">
      <c r="A1108" t="s">
        <v>160</v>
      </c>
      <c r="B1108" t="s">
        <v>1602</v>
      </c>
      <c r="C1108">
        <v>2011</v>
      </c>
      <c r="E1108" t="s">
        <v>3399</v>
      </c>
    </row>
    <row r="1109" spans="1:5" x14ac:dyDescent="0.25">
      <c r="A1109" t="s">
        <v>160</v>
      </c>
      <c r="B1109" t="s">
        <v>1606</v>
      </c>
      <c r="C1109">
        <v>2011</v>
      </c>
      <c r="E1109" t="s">
        <v>3233</v>
      </c>
    </row>
    <row r="1110" spans="1:5" x14ac:dyDescent="0.25">
      <c r="A1110" t="s">
        <v>160</v>
      </c>
      <c r="B1110" t="s">
        <v>1649</v>
      </c>
      <c r="C1110">
        <v>2011</v>
      </c>
      <c r="D1110" t="s">
        <v>187</v>
      </c>
    </row>
    <row r="1111" spans="1:5" x14ac:dyDescent="0.25">
      <c r="A1111" t="s">
        <v>160</v>
      </c>
      <c r="B1111" t="s">
        <v>1700</v>
      </c>
      <c r="C1111">
        <v>2011</v>
      </c>
      <c r="E1111" t="s">
        <v>3208</v>
      </c>
    </row>
    <row r="1112" spans="1:5" x14ac:dyDescent="0.25">
      <c r="A1112" t="s">
        <v>160</v>
      </c>
      <c r="B1112" t="s">
        <v>1713</v>
      </c>
      <c r="C1112">
        <v>2011</v>
      </c>
      <c r="E1112" t="s">
        <v>3338</v>
      </c>
    </row>
    <row r="1113" spans="1:5" x14ac:dyDescent="0.25">
      <c r="A1113" t="s">
        <v>160</v>
      </c>
      <c r="B1113" t="s">
        <v>1787</v>
      </c>
      <c r="C1113">
        <v>2011</v>
      </c>
      <c r="E1113" t="s">
        <v>2982</v>
      </c>
    </row>
    <row r="1114" spans="1:5" x14ac:dyDescent="0.25">
      <c r="A1114" t="s">
        <v>160</v>
      </c>
      <c r="B1114" t="s">
        <v>1825</v>
      </c>
      <c r="C1114">
        <v>2011</v>
      </c>
      <c r="E1114" t="s">
        <v>1828</v>
      </c>
    </row>
    <row r="1115" spans="1:5" x14ac:dyDescent="0.25">
      <c r="A1115" t="s">
        <v>160</v>
      </c>
      <c r="B1115" t="s">
        <v>1843</v>
      </c>
      <c r="C1115">
        <v>2011</v>
      </c>
      <c r="E1115" t="s">
        <v>3411</v>
      </c>
    </row>
    <row r="1116" spans="1:5" x14ac:dyDescent="0.25">
      <c r="A1116" t="s">
        <v>160</v>
      </c>
      <c r="B1116" t="s">
        <v>1851</v>
      </c>
      <c r="C1116">
        <v>2011</v>
      </c>
      <c r="E1116" t="s">
        <v>2982</v>
      </c>
    </row>
    <row r="1117" spans="1:5" x14ac:dyDescent="0.25">
      <c r="A1117" t="s">
        <v>160</v>
      </c>
      <c r="B1117" t="s">
        <v>1867</v>
      </c>
      <c r="C1117">
        <v>2011</v>
      </c>
      <c r="E1117" t="s">
        <v>3375</v>
      </c>
    </row>
    <row r="1118" spans="1:5" x14ac:dyDescent="0.25">
      <c r="A1118" t="s">
        <v>160</v>
      </c>
      <c r="B1118" t="s">
        <v>1911</v>
      </c>
      <c r="C1118">
        <v>2011</v>
      </c>
      <c r="E1118" t="s">
        <v>3211</v>
      </c>
    </row>
    <row r="1119" spans="1:5" x14ac:dyDescent="0.25">
      <c r="A1119" t="s">
        <v>160</v>
      </c>
      <c r="B1119" t="s">
        <v>1927</v>
      </c>
      <c r="C1119">
        <v>2011</v>
      </c>
      <c r="E1119" t="s">
        <v>2982</v>
      </c>
    </row>
    <row r="1120" spans="1:5" x14ac:dyDescent="0.25">
      <c r="A1120" t="s">
        <v>160</v>
      </c>
      <c r="B1120" t="s">
        <v>1933</v>
      </c>
      <c r="C1120">
        <v>2011</v>
      </c>
      <c r="E1120" t="s">
        <v>3412</v>
      </c>
    </row>
    <row r="1121" spans="1:5" x14ac:dyDescent="0.25">
      <c r="A1121" t="s">
        <v>160</v>
      </c>
      <c r="B1121" t="s">
        <v>1941</v>
      </c>
      <c r="C1121">
        <v>2011</v>
      </c>
      <c r="E1121" t="s">
        <v>3413</v>
      </c>
    </row>
    <row r="1122" spans="1:5" x14ac:dyDescent="0.25">
      <c r="A1122" t="s">
        <v>160</v>
      </c>
      <c r="B1122" t="s">
        <v>7656</v>
      </c>
      <c r="C1122">
        <v>2011</v>
      </c>
      <c r="E1122" t="s">
        <v>7659</v>
      </c>
    </row>
    <row r="1123" spans="1:5" x14ac:dyDescent="0.25">
      <c r="A1123" t="s">
        <v>160</v>
      </c>
      <c r="B1123" t="s">
        <v>2028</v>
      </c>
      <c r="C1123">
        <v>2011</v>
      </c>
      <c r="E1123" t="s">
        <v>3414</v>
      </c>
    </row>
    <row r="1124" spans="1:5" x14ac:dyDescent="0.25">
      <c r="A1124" t="s">
        <v>160</v>
      </c>
      <c r="B1124" t="s">
        <v>2058</v>
      </c>
      <c r="C1124">
        <v>2011</v>
      </c>
      <c r="E1124" t="s">
        <v>3415</v>
      </c>
    </row>
    <row r="1125" spans="1:5" x14ac:dyDescent="0.25">
      <c r="A1125" t="s">
        <v>160</v>
      </c>
      <c r="B1125" t="s">
        <v>2099</v>
      </c>
      <c r="C1125">
        <v>2011</v>
      </c>
      <c r="E1125" t="s">
        <v>3416</v>
      </c>
    </row>
    <row r="1126" spans="1:5" x14ac:dyDescent="0.25">
      <c r="A1126" t="s">
        <v>160</v>
      </c>
      <c r="B1126" t="s">
        <v>2173</v>
      </c>
      <c r="C1126">
        <v>2011</v>
      </c>
      <c r="E1126" t="s">
        <v>3401</v>
      </c>
    </row>
    <row r="1127" spans="1:5" x14ac:dyDescent="0.25">
      <c r="A1127" t="s">
        <v>160</v>
      </c>
      <c r="B1127" t="s">
        <v>2251</v>
      </c>
      <c r="C1127">
        <v>2011</v>
      </c>
      <c r="E1127" t="s">
        <v>2982</v>
      </c>
    </row>
    <row r="1128" spans="1:5" x14ac:dyDescent="0.25">
      <c r="A1128" t="s">
        <v>160</v>
      </c>
      <c r="B1128" t="s">
        <v>2288</v>
      </c>
      <c r="C1128">
        <v>2011</v>
      </c>
      <c r="E1128" t="s">
        <v>2982</v>
      </c>
    </row>
    <row r="1129" spans="1:5" x14ac:dyDescent="0.25">
      <c r="A1129" t="s">
        <v>160</v>
      </c>
      <c r="B1129" t="s">
        <v>90</v>
      </c>
      <c r="C1129">
        <v>2011</v>
      </c>
      <c r="E1129" t="s">
        <v>3166</v>
      </c>
    </row>
    <row r="1130" spans="1:5" x14ac:dyDescent="0.25">
      <c r="A1130" t="s">
        <v>160</v>
      </c>
      <c r="B1130" t="s">
        <v>2403</v>
      </c>
      <c r="C1130">
        <v>2011</v>
      </c>
      <c r="E1130" t="s">
        <v>3123</v>
      </c>
    </row>
    <row r="1131" spans="1:5" x14ac:dyDescent="0.25">
      <c r="A1131" t="s">
        <v>160</v>
      </c>
      <c r="B1131" t="s">
        <v>7860</v>
      </c>
      <c r="C1131">
        <v>2011</v>
      </c>
      <c r="E1131" t="s">
        <v>7859</v>
      </c>
    </row>
    <row r="1132" spans="1:5" x14ac:dyDescent="0.25">
      <c r="A1132" t="s">
        <v>160</v>
      </c>
      <c r="B1132" t="s">
        <v>2459</v>
      </c>
      <c r="C1132">
        <v>2011</v>
      </c>
      <c r="E1132" t="s">
        <v>3417</v>
      </c>
    </row>
    <row r="1133" spans="1:5" x14ac:dyDescent="0.25">
      <c r="A1133" t="s">
        <v>160</v>
      </c>
      <c r="B1133" t="s">
        <v>2492</v>
      </c>
      <c r="C1133">
        <v>2011</v>
      </c>
      <c r="E1133" t="s">
        <v>3403</v>
      </c>
    </row>
    <row r="1134" spans="1:5" x14ac:dyDescent="0.25">
      <c r="A1134" t="s">
        <v>160</v>
      </c>
      <c r="B1134" t="s">
        <v>2530</v>
      </c>
      <c r="C1134">
        <v>2011</v>
      </c>
      <c r="E1134" t="s">
        <v>3216</v>
      </c>
    </row>
    <row r="1135" spans="1:5" x14ac:dyDescent="0.25">
      <c r="A1135" t="s">
        <v>160</v>
      </c>
      <c r="B1135" t="s">
        <v>2567</v>
      </c>
      <c r="C1135">
        <v>2011</v>
      </c>
      <c r="E1135" t="s">
        <v>2982</v>
      </c>
    </row>
    <row r="1136" spans="1:5" x14ac:dyDescent="0.25">
      <c r="A1136" t="s">
        <v>160</v>
      </c>
      <c r="B1136" t="s">
        <v>2619</v>
      </c>
      <c r="C1136">
        <v>2011</v>
      </c>
      <c r="D1136" t="s">
        <v>187</v>
      </c>
    </row>
    <row r="1137" spans="1:5" x14ac:dyDescent="0.25">
      <c r="A1137" t="s">
        <v>160</v>
      </c>
      <c r="B1137" t="s">
        <v>2645</v>
      </c>
      <c r="C1137">
        <v>2011</v>
      </c>
      <c r="E1137" t="s">
        <v>3418</v>
      </c>
    </row>
    <row r="1138" spans="1:5" x14ac:dyDescent="0.25">
      <c r="A1138" t="s">
        <v>160</v>
      </c>
      <c r="B1138" t="s">
        <v>2652</v>
      </c>
      <c r="C1138">
        <v>2011</v>
      </c>
      <c r="D1138" t="s">
        <v>187</v>
      </c>
    </row>
    <row r="1139" spans="1:5" x14ac:dyDescent="0.25">
      <c r="A1139" t="s">
        <v>160</v>
      </c>
      <c r="B1139" t="s">
        <v>2679</v>
      </c>
      <c r="C1139">
        <v>2011</v>
      </c>
      <c r="E1139" t="s">
        <v>3419</v>
      </c>
    </row>
    <row r="1140" spans="1:5" x14ac:dyDescent="0.25">
      <c r="A1140" t="s">
        <v>160</v>
      </c>
      <c r="B1140" t="s">
        <v>2698</v>
      </c>
      <c r="C1140">
        <v>2011</v>
      </c>
      <c r="E1140" t="s">
        <v>3194</v>
      </c>
    </row>
    <row r="1141" spans="1:5" x14ac:dyDescent="0.25">
      <c r="A1141" t="s">
        <v>160</v>
      </c>
      <c r="B1141" t="s">
        <v>2711</v>
      </c>
      <c r="C1141">
        <v>2011</v>
      </c>
      <c r="E1141" t="s">
        <v>3195</v>
      </c>
    </row>
    <row r="1142" spans="1:5" x14ac:dyDescent="0.25">
      <c r="A1142" t="s">
        <v>160</v>
      </c>
      <c r="B1142" t="s">
        <v>2747</v>
      </c>
      <c r="C1142">
        <v>2011</v>
      </c>
      <c r="E1142" t="s">
        <v>3420</v>
      </c>
    </row>
    <row r="1143" spans="1:5" x14ac:dyDescent="0.25">
      <c r="A1143" t="s">
        <v>160</v>
      </c>
      <c r="B1143" t="s">
        <v>2760</v>
      </c>
      <c r="C1143">
        <v>2011</v>
      </c>
      <c r="E1143" t="s">
        <v>3163</v>
      </c>
    </row>
    <row r="1144" spans="1:5" x14ac:dyDescent="0.25">
      <c r="A1144" t="s">
        <v>160</v>
      </c>
      <c r="B1144" t="s">
        <v>2769</v>
      </c>
      <c r="C1144">
        <v>2011</v>
      </c>
      <c r="E1144" t="s">
        <v>3177</v>
      </c>
    </row>
    <row r="1145" spans="1:5" x14ac:dyDescent="0.25">
      <c r="A1145" t="s">
        <v>160</v>
      </c>
      <c r="B1145" t="s">
        <v>2782</v>
      </c>
      <c r="C1145">
        <v>2011</v>
      </c>
      <c r="E1145" t="s">
        <v>3125</v>
      </c>
    </row>
    <row r="1146" spans="1:5" x14ac:dyDescent="0.25">
      <c r="A1146" t="s">
        <v>160</v>
      </c>
      <c r="B1146" t="s">
        <v>2890</v>
      </c>
      <c r="C1146">
        <v>2011</v>
      </c>
      <c r="E1146" t="s">
        <v>3076</v>
      </c>
    </row>
    <row r="1147" spans="1:5" x14ac:dyDescent="0.25">
      <c r="A1147" t="s">
        <v>160</v>
      </c>
      <c r="B1147" t="s">
        <v>2914</v>
      </c>
      <c r="C1147">
        <v>2011</v>
      </c>
      <c r="E1147" t="s">
        <v>2982</v>
      </c>
    </row>
    <row r="1148" spans="1:5" x14ac:dyDescent="0.25">
      <c r="A1148" t="s">
        <v>2625</v>
      </c>
      <c r="B1148" t="s">
        <v>1052</v>
      </c>
      <c r="C1148">
        <v>2000</v>
      </c>
      <c r="D1148" t="s">
        <v>187</v>
      </c>
      <c r="E1148" t="s">
        <v>3331</v>
      </c>
    </row>
    <row r="1149" spans="1:5" x14ac:dyDescent="0.25">
      <c r="A1149" t="s">
        <v>2625</v>
      </c>
      <c r="B1149" t="s">
        <v>2166</v>
      </c>
      <c r="C1149">
        <v>2000</v>
      </c>
      <c r="D1149" t="s">
        <v>187</v>
      </c>
    </row>
    <row r="1150" spans="1:5" x14ac:dyDescent="0.25">
      <c r="A1150" t="s">
        <v>2634</v>
      </c>
      <c r="B1150" t="s">
        <v>2962</v>
      </c>
      <c r="C1150">
        <v>2014</v>
      </c>
      <c r="E1150" t="s">
        <v>3006</v>
      </c>
    </row>
    <row r="1151" spans="1:5" x14ac:dyDescent="0.25">
      <c r="A1151" t="s">
        <v>2652</v>
      </c>
      <c r="B1151" t="s">
        <v>501</v>
      </c>
      <c r="C1151">
        <v>2019</v>
      </c>
      <c r="E1151" t="s">
        <v>3187</v>
      </c>
    </row>
    <row r="1152" spans="1:5" x14ac:dyDescent="0.25">
      <c r="A1152" t="s">
        <v>2652</v>
      </c>
      <c r="B1152" t="s">
        <v>2028</v>
      </c>
      <c r="C1152">
        <v>2019</v>
      </c>
      <c r="E1152" t="s">
        <v>3421</v>
      </c>
    </row>
    <row r="1153" spans="1:5" x14ac:dyDescent="0.25">
      <c r="A1153" t="s">
        <v>2675</v>
      </c>
      <c r="B1153" t="s">
        <v>394</v>
      </c>
      <c r="C1153">
        <v>2022</v>
      </c>
      <c r="E1153" t="s">
        <v>3056</v>
      </c>
    </row>
    <row r="1154" spans="1:5" x14ac:dyDescent="0.25">
      <c r="A1154" t="s">
        <v>2695</v>
      </c>
      <c r="B1154" t="s">
        <v>2332</v>
      </c>
      <c r="C1154">
        <v>2025</v>
      </c>
      <c r="D1154" t="s">
        <v>187</v>
      </c>
    </row>
    <row r="1155" spans="1:5" x14ac:dyDescent="0.25">
      <c r="A1155" t="s">
        <v>2698</v>
      </c>
      <c r="B1155" t="s">
        <v>2645</v>
      </c>
      <c r="C1155">
        <v>2022</v>
      </c>
      <c r="E1155" t="s">
        <v>3418</v>
      </c>
    </row>
    <row r="1156" spans="1:5" x14ac:dyDescent="0.25">
      <c r="A1156" t="s">
        <v>2706</v>
      </c>
      <c r="B1156" t="s">
        <v>358</v>
      </c>
      <c r="C1156">
        <v>1991</v>
      </c>
      <c r="E1156" t="s">
        <v>3422</v>
      </c>
    </row>
    <row r="1157" spans="1:5" x14ac:dyDescent="0.25">
      <c r="A1157" t="s">
        <v>2706</v>
      </c>
      <c r="B1157" t="s">
        <v>2709</v>
      </c>
      <c r="C1157">
        <v>1991</v>
      </c>
      <c r="D1157" t="s">
        <v>187</v>
      </c>
    </row>
    <row r="1158" spans="1:5" x14ac:dyDescent="0.25">
      <c r="A1158" t="s">
        <v>2715</v>
      </c>
      <c r="B1158" t="s">
        <v>1155</v>
      </c>
      <c r="C1158">
        <v>1999</v>
      </c>
      <c r="E1158" t="s">
        <v>3423</v>
      </c>
    </row>
    <row r="1159" spans="1:5" x14ac:dyDescent="0.25">
      <c r="A1159" t="s">
        <v>2715</v>
      </c>
      <c r="B1159" t="s">
        <v>2718</v>
      </c>
      <c r="C1159">
        <v>1999</v>
      </c>
      <c r="D1159" t="s">
        <v>187</v>
      </c>
    </row>
    <row r="1160" spans="1:5" x14ac:dyDescent="0.25">
      <c r="A1160" t="s">
        <v>2721</v>
      </c>
      <c r="B1160" t="s">
        <v>341</v>
      </c>
      <c r="C1160">
        <v>1993</v>
      </c>
      <c r="E1160" t="s">
        <v>3013</v>
      </c>
    </row>
    <row r="1161" spans="1:5" x14ac:dyDescent="0.25">
      <c r="A1161" t="s">
        <v>2721</v>
      </c>
      <c r="B1161" t="s">
        <v>379</v>
      </c>
      <c r="C1161">
        <v>1993</v>
      </c>
      <c r="E1161" t="s">
        <v>3424</v>
      </c>
    </row>
    <row r="1162" spans="1:5" x14ac:dyDescent="0.25">
      <c r="A1162" t="s">
        <v>2721</v>
      </c>
      <c r="B1162" t="s">
        <v>581</v>
      </c>
      <c r="C1162">
        <v>1993</v>
      </c>
      <c r="D1162" t="s">
        <v>187</v>
      </c>
      <c r="E1162" t="s">
        <v>3032</v>
      </c>
    </row>
    <row r="1163" spans="1:5" x14ac:dyDescent="0.25">
      <c r="A1163" t="s">
        <v>2721</v>
      </c>
      <c r="B1163" t="s">
        <v>754</v>
      </c>
      <c r="C1163">
        <v>1993</v>
      </c>
      <c r="E1163" t="s">
        <v>3425</v>
      </c>
    </row>
    <row r="1164" spans="1:5" x14ac:dyDescent="0.25">
      <c r="A1164" t="s">
        <v>2721</v>
      </c>
      <c r="B1164" t="s">
        <v>7853</v>
      </c>
      <c r="C1164">
        <v>1993</v>
      </c>
      <c r="D1164" t="s">
        <v>187</v>
      </c>
    </row>
    <row r="1165" spans="1:5" x14ac:dyDescent="0.25">
      <c r="A1165" t="s">
        <v>2721</v>
      </c>
      <c r="B1165" t="s">
        <v>937</v>
      </c>
      <c r="C1165">
        <v>1993</v>
      </c>
      <c r="D1165" t="s">
        <v>187</v>
      </c>
    </row>
    <row r="1166" spans="1:5" x14ac:dyDescent="0.25">
      <c r="A1166" t="s">
        <v>2721</v>
      </c>
      <c r="B1166" t="s">
        <v>971</v>
      </c>
      <c r="C1166">
        <v>1993</v>
      </c>
      <c r="E1166" t="s">
        <v>2982</v>
      </c>
    </row>
    <row r="1167" spans="1:5" x14ac:dyDescent="0.25">
      <c r="A1167" t="s">
        <v>2721</v>
      </c>
      <c r="B1167" t="s">
        <v>977</v>
      </c>
      <c r="C1167">
        <v>1993</v>
      </c>
      <c r="E1167" t="s">
        <v>3013</v>
      </c>
    </row>
    <row r="1168" spans="1:5" x14ac:dyDescent="0.25">
      <c r="A1168" t="s">
        <v>2721</v>
      </c>
      <c r="B1168" t="s">
        <v>1055</v>
      </c>
      <c r="C1168">
        <v>1993</v>
      </c>
      <c r="D1168" t="s">
        <v>187</v>
      </c>
    </row>
    <row r="1169" spans="1:5" x14ac:dyDescent="0.25">
      <c r="A1169" t="s">
        <v>2721</v>
      </c>
      <c r="B1169" t="s">
        <v>1382</v>
      </c>
      <c r="C1169">
        <v>1993</v>
      </c>
      <c r="E1169" t="s">
        <v>3013</v>
      </c>
    </row>
    <row r="1170" spans="1:5" x14ac:dyDescent="0.25">
      <c r="A1170" t="s">
        <v>2721</v>
      </c>
      <c r="B1170" t="s">
        <v>1388</v>
      </c>
      <c r="C1170">
        <v>1993</v>
      </c>
      <c r="E1170" t="s">
        <v>3275</v>
      </c>
    </row>
    <row r="1171" spans="1:5" x14ac:dyDescent="0.25">
      <c r="A1171" t="s">
        <v>2721</v>
      </c>
      <c r="B1171" t="s">
        <v>1460</v>
      </c>
      <c r="C1171">
        <v>1993</v>
      </c>
      <c r="E1171" t="s">
        <v>3013</v>
      </c>
    </row>
    <row r="1172" spans="1:5" x14ac:dyDescent="0.25">
      <c r="A1172" t="s">
        <v>2721</v>
      </c>
      <c r="B1172" t="s">
        <v>1666</v>
      </c>
      <c r="C1172">
        <v>1993</v>
      </c>
      <c r="E1172" t="s">
        <v>1669</v>
      </c>
    </row>
    <row r="1173" spans="1:5" x14ac:dyDescent="0.25">
      <c r="A1173" t="s">
        <v>2721</v>
      </c>
      <c r="B1173" t="s">
        <v>1676</v>
      </c>
      <c r="C1173">
        <v>1993</v>
      </c>
      <c r="E1173" t="s">
        <v>3013</v>
      </c>
    </row>
    <row r="1174" spans="1:5" x14ac:dyDescent="0.25">
      <c r="A1174" t="s">
        <v>2721</v>
      </c>
      <c r="B1174" t="s">
        <v>1682</v>
      </c>
      <c r="C1174">
        <v>1993</v>
      </c>
      <c r="E1174" t="s">
        <v>3426</v>
      </c>
    </row>
    <row r="1175" spans="1:5" x14ac:dyDescent="0.25">
      <c r="A1175" t="s">
        <v>2721</v>
      </c>
      <c r="B1175" t="s">
        <v>1761</v>
      </c>
      <c r="C1175">
        <v>1993</v>
      </c>
      <c r="D1175" t="s">
        <v>187</v>
      </c>
      <c r="E1175" t="s">
        <v>3032</v>
      </c>
    </row>
    <row r="1176" spans="1:5" x14ac:dyDescent="0.25">
      <c r="A1176" t="s">
        <v>2721</v>
      </c>
      <c r="B1176" t="s">
        <v>1885</v>
      </c>
      <c r="C1176">
        <v>1993</v>
      </c>
      <c r="D1176" t="s">
        <v>187</v>
      </c>
    </row>
    <row r="1177" spans="1:5" x14ac:dyDescent="0.25">
      <c r="A1177" t="s">
        <v>2721</v>
      </c>
      <c r="B1177" t="s">
        <v>1899</v>
      </c>
      <c r="C1177">
        <v>1993</v>
      </c>
      <c r="E1177" t="s">
        <v>3276</v>
      </c>
    </row>
    <row r="1178" spans="1:5" x14ac:dyDescent="0.25">
      <c r="A1178" t="s">
        <v>2721</v>
      </c>
      <c r="B1178" t="s">
        <v>2009</v>
      </c>
      <c r="C1178">
        <v>1993</v>
      </c>
      <c r="D1178" t="s">
        <v>187</v>
      </c>
    </row>
    <row r="1179" spans="1:5" x14ac:dyDescent="0.25">
      <c r="A1179" t="s">
        <v>2721</v>
      </c>
      <c r="B1179" t="s">
        <v>2625</v>
      </c>
      <c r="C1179">
        <v>1993</v>
      </c>
      <c r="E1179" t="s">
        <v>3427</v>
      </c>
    </row>
    <row r="1180" spans="1:5" x14ac:dyDescent="0.25">
      <c r="A1180" t="s">
        <v>2721</v>
      </c>
      <c r="B1180" t="s">
        <v>2656</v>
      </c>
      <c r="C1180">
        <v>1993</v>
      </c>
      <c r="D1180" t="s">
        <v>187</v>
      </c>
    </row>
    <row r="1181" spans="1:5" x14ac:dyDescent="0.25">
      <c r="A1181" t="s">
        <v>2721</v>
      </c>
      <c r="B1181" t="s">
        <v>2681</v>
      </c>
      <c r="C1181">
        <v>1993</v>
      </c>
      <c r="E1181" t="s">
        <v>3428</v>
      </c>
    </row>
    <row r="1182" spans="1:5" x14ac:dyDescent="0.25">
      <c r="A1182" t="s">
        <v>2721</v>
      </c>
      <c r="B1182" t="s">
        <v>2715</v>
      </c>
      <c r="C1182">
        <v>1993</v>
      </c>
      <c r="D1182" t="s">
        <v>187</v>
      </c>
    </row>
    <row r="1183" spans="1:5" x14ac:dyDescent="0.25">
      <c r="A1183" t="s">
        <v>2721</v>
      </c>
      <c r="B1183" t="s">
        <v>2818</v>
      </c>
      <c r="C1183">
        <v>1993</v>
      </c>
      <c r="E1183" t="s">
        <v>3156</v>
      </c>
    </row>
    <row r="1184" spans="1:5" x14ac:dyDescent="0.25">
      <c r="A1184" t="s">
        <v>2721</v>
      </c>
      <c r="B1184" t="s">
        <v>2843</v>
      </c>
      <c r="C1184">
        <v>1993</v>
      </c>
      <c r="E1184" t="s">
        <v>3013</v>
      </c>
    </row>
    <row r="1185" spans="1:5" x14ac:dyDescent="0.25">
      <c r="A1185" t="s">
        <v>2721</v>
      </c>
      <c r="B1185" t="s">
        <v>2943</v>
      </c>
      <c r="C1185">
        <v>1993</v>
      </c>
      <c r="E1185" t="s">
        <v>3429</v>
      </c>
    </row>
    <row r="1186" spans="1:5" x14ac:dyDescent="0.25">
      <c r="A1186" t="s">
        <v>2747</v>
      </c>
      <c r="B1186" t="s">
        <v>1738</v>
      </c>
      <c r="C1186">
        <v>2014</v>
      </c>
      <c r="D1186" t="s">
        <v>187</v>
      </c>
    </row>
    <row r="1187" spans="1:5" x14ac:dyDescent="0.25">
      <c r="A1187" t="s">
        <v>2751</v>
      </c>
      <c r="B1187" t="s">
        <v>477</v>
      </c>
      <c r="C1187">
        <v>2021</v>
      </c>
      <c r="D1187" t="s">
        <v>187</v>
      </c>
    </row>
    <row r="1188" spans="1:5" x14ac:dyDescent="0.25">
      <c r="A1188" t="s">
        <v>2782</v>
      </c>
      <c r="B1188" t="s">
        <v>2786</v>
      </c>
      <c r="C1188">
        <v>2019</v>
      </c>
      <c r="D1188" t="s">
        <v>187</v>
      </c>
    </row>
    <row r="1189" spans="1:5" x14ac:dyDescent="0.25">
      <c r="A1189" t="s">
        <v>2788</v>
      </c>
      <c r="B1189" t="s">
        <v>1719</v>
      </c>
      <c r="C1189">
        <v>2017</v>
      </c>
      <c r="E1189" t="s">
        <v>2982</v>
      </c>
    </row>
    <row r="1190" spans="1:5" x14ac:dyDescent="0.25">
      <c r="A1190" t="s">
        <v>2788</v>
      </c>
      <c r="B1190" t="s">
        <v>2790</v>
      </c>
      <c r="C1190">
        <v>2017</v>
      </c>
      <c r="D1190" t="s">
        <v>187</v>
      </c>
    </row>
    <row r="1191" spans="1:5" x14ac:dyDescent="0.25">
      <c r="A1191" t="s">
        <v>2792</v>
      </c>
      <c r="B1191" t="s">
        <v>2393</v>
      </c>
      <c r="C1191">
        <v>1992</v>
      </c>
      <c r="E1191" t="s">
        <v>2997</v>
      </c>
    </row>
    <row r="1192" spans="1:5" x14ac:dyDescent="0.25">
      <c r="A1192" t="s">
        <v>2804</v>
      </c>
      <c r="B1192" t="s">
        <v>185</v>
      </c>
      <c r="C1192">
        <v>2021</v>
      </c>
      <c r="E1192" t="s">
        <v>3013</v>
      </c>
    </row>
    <row r="1193" spans="1:5" x14ac:dyDescent="0.25">
      <c r="A1193" t="s">
        <v>2804</v>
      </c>
      <c r="B1193" t="s">
        <v>290</v>
      </c>
      <c r="C1193">
        <v>2021</v>
      </c>
      <c r="E1193" t="s">
        <v>3013</v>
      </c>
    </row>
    <row r="1194" spans="1:5" x14ac:dyDescent="0.25">
      <c r="A1194" t="s">
        <v>2804</v>
      </c>
      <c r="B1194" t="s">
        <v>294</v>
      </c>
      <c r="C1194">
        <v>2021</v>
      </c>
      <c r="E1194" t="s">
        <v>3065</v>
      </c>
    </row>
    <row r="1195" spans="1:5" x14ac:dyDescent="0.25">
      <c r="A1195" t="s">
        <v>2804</v>
      </c>
      <c r="B1195" t="s">
        <v>297</v>
      </c>
      <c r="C1195">
        <v>2021</v>
      </c>
      <c r="E1195" t="s">
        <v>2982</v>
      </c>
    </row>
    <row r="1196" spans="1:5" x14ac:dyDescent="0.25">
      <c r="A1196" t="s">
        <v>2804</v>
      </c>
      <c r="B1196" t="s">
        <v>303</v>
      </c>
      <c r="C1196">
        <v>2021</v>
      </c>
      <c r="E1196" t="s">
        <v>3013</v>
      </c>
    </row>
    <row r="1197" spans="1:5" x14ac:dyDescent="0.25">
      <c r="A1197" t="s">
        <v>2804</v>
      </c>
      <c r="B1197" t="s">
        <v>319</v>
      </c>
      <c r="C1197">
        <v>2021</v>
      </c>
      <c r="E1197" t="s">
        <v>2982</v>
      </c>
    </row>
    <row r="1198" spans="1:5" x14ac:dyDescent="0.25">
      <c r="A1198" t="s">
        <v>2804</v>
      </c>
      <c r="B1198" t="s">
        <v>360</v>
      </c>
      <c r="C1198">
        <v>2021</v>
      </c>
      <c r="E1198" t="s">
        <v>7660</v>
      </c>
    </row>
    <row r="1199" spans="1:5" x14ac:dyDescent="0.25">
      <c r="A1199" t="s">
        <v>2804</v>
      </c>
      <c r="B1199" t="s">
        <v>394</v>
      </c>
      <c r="C1199">
        <v>2021</v>
      </c>
      <c r="E1199" t="s">
        <v>3056</v>
      </c>
    </row>
    <row r="1200" spans="1:5" x14ac:dyDescent="0.25">
      <c r="A1200" t="s">
        <v>2804</v>
      </c>
      <c r="B1200" t="s">
        <v>425</v>
      </c>
      <c r="C1200">
        <v>2021</v>
      </c>
      <c r="E1200" t="s">
        <v>3013</v>
      </c>
    </row>
    <row r="1201" spans="1:5" x14ac:dyDescent="0.25">
      <c r="A1201" t="s">
        <v>2804</v>
      </c>
      <c r="B1201" t="s">
        <v>428</v>
      </c>
      <c r="C1201">
        <v>2021</v>
      </c>
      <c r="E1201" t="s">
        <v>3020</v>
      </c>
    </row>
    <row r="1202" spans="1:5" x14ac:dyDescent="0.25">
      <c r="A1202" t="s">
        <v>2804</v>
      </c>
      <c r="B1202" t="s">
        <v>447</v>
      </c>
      <c r="C1202">
        <v>2021</v>
      </c>
      <c r="E1202" t="s">
        <v>3013</v>
      </c>
    </row>
    <row r="1203" spans="1:5" x14ac:dyDescent="0.25">
      <c r="A1203" t="s">
        <v>2804</v>
      </c>
      <c r="B1203" t="s">
        <v>449</v>
      </c>
      <c r="C1203">
        <v>2021</v>
      </c>
      <c r="E1203" t="s">
        <v>3013</v>
      </c>
    </row>
    <row r="1204" spans="1:5" x14ac:dyDescent="0.25">
      <c r="A1204" t="s">
        <v>2804</v>
      </c>
      <c r="B1204" t="s">
        <v>457</v>
      </c>
      <c r="C1204">
        <v>2021</v>
      </c>
      <c r="E1204" t="s">
        <v>3013</v>
      </c>
    </row>
    <row r="1205" spans="1:5" x14ac:dyDescent="0.25">
      <c r="A1205" t="s">
        <v>2804</v>
      </c>
      <c r="B1205" t="s">
        <v>464</v>
      </c>
      <c r="C1205">
        <v>2021</v>
      </c>
      <c r="E1205" t="s">
        <v>3013</v>
      </c>
    </row>
    <row r="1206" spans="1:5" x14ac:dyDescent="0.25">
      <c r="A1206" t="s">
        <v>2804</v>
      </c>
      <c r="B1206" t="s">
        <v>497</v>
      </c>
      <c r="C1206">
        <v>2021</v>
      </c>
      <c r="E1206" t="s">
        <v>3013</v>
      </c>
    </row>
    <row r="1207" spans="1:5" x14ac:dyDescent="0.25">
      <c r="A1207" t="s">
        <v>2804</v>
      </c>
      <c r="B1207" t="s">
        <v>571</v>
      </c>
      <c r="C1207">
        <v>2021</v>
      </c>
      <c r="E1207" t="s">
        <v>3085</v>
      </c>
    </row>
    <row r="1208" spans="1:5" x14ac:dyDescent="0.25">
      <c r="A1208" t="s">
        <v>2804</v>
      </c>
      <c r="B1208" t="s">
        <v>586</v>
      </c>
      <c r="C1208">
        <v>2021</v>
      </c>
      <c r="E1208" t="s">
        <v>3013</v>
      </c>
    </row>
    <row r="1209" spans="1:5" x14ac:dyDescent="0.25">
      <c r="A1209" t="s">
        <v>2804</v>
      </c>
      <c r="B1209" t="s">
        <v>659</v>
      </c>
      <c r="C1209">
        <v>2021</v>
      </c>
      <c r="E1209" t="s">
        <v>3013</v>
      </c>
    </row>
    <row r="1210" spans="1:5" x14ac:dyDescent="0.25">
      <c r="A1210" t="s">
        <v>2804</v>
      </c>
      <c r="B1210" t="s">
        <v>7838</v>
      </c>
      <c r="C1210">
        <v>2021</v>
      </c>
      <c r="E1210" t="s">
        <v>7840</v>
      </c>
    </row>
    <row r="1211" spans="1:5" x14ac:dyDescent="0.25">
      <c r="A1211" t="s">
        <v>2804</v>
      </c>
      <c r="B1211" t="s">
        <v>741</v>
      </c>
      <c r="C1211">
        <v>2021</v>
      </c>
      <c r="E1211" t="s">
        <v>3430</v>
      </c>
    </row>
    <row r="1212" spans="1:5" x14ac:dyDescent="0.25">
      <c r="A1212" t="s">
        <v>2804</v>
      </c>
      <c r="B1212" t="s">
        <v>778</v>
      </c>
      <c r="C1212">
        <v>2021</v>
      </c>
      <c r="E1212" t="s">
        <v>3134</v>
      </c>
    </row>
    <row r="1213" spans="1:5" x14ac:dyDescent="0.25">
      <c r="A1213" t="s">
        <v>2804</v>
      </c>
      <c r="B1213" t="s">
        <v>811</v>
      </c>
      <c r="C1213">
        <v>2021</v>
      </c>
      <c r="E1213" t="s">
        <v>3013</v>
      </c>
    </row>
    <row r="1214" spans="1:5" x14ac:dyDescent="0.25">
      <c r="A1214" t="s">
        <v>2804</v>
      </c>
      <c r="B1214" t="s">
        <v>838</v>
      </c>
      <c r="C1214">
        <v>2021</v>
      </c>
      <c r="E1214" t="s">
        <v>3431</v>
      </c>
    </row>
    <row r="1215" spans="1:5" x14ac:dyDescent="0.25">
      <c r="A1215" t="s">
        <v>2804</v>
      </c>
      <c r="B1215" t="s">
        <v>889</v>
      </c>
      <c r="C1215">
        <v>2021</v>
      </c>
      <c r="E1215" t="s">
        <v>2982</v>
      </c>
    </row>
    <row r="1216" spans="1:5" x14ac:dyDescent="0.25">
      <c r="A1216" t="s">
        <v>2804</v>
      </c>
      <c r="B1216" t="s">
        <v>1017</v>
      </c>
      <c r="C1216">
        <v>2021</v>
      </c>
      <c r="E1216" t="s">
        <v>3013</v>
      </c>
    </row>
    <row r="1217" spans="1:5" x14ac:dyDescent="0.25">
      <c r="A1217" t="s">
        <v>2804</v>
      </c>
      <c r="B1217" t="s">
        <v>1021</v>
      </c>
      <c r="C1217">
        <v>2021</v>
      </c>
      <c r="E1217" t="s">
        <v>3013</v>
      </c>
    </row>
    <row r="1218" spans="1:5" x14ac:dyDescent="0.25">
      <c r="A1218" t="s">
        <v>2804</v>
      </c>
      <c r="B1218" t="s">
        <v>1096</v>
      </c>
      <c r="C1218">
        <v>2021</v>
      </c>
      <c r="E1218" t="s">
        <v>1099</v>
      </c>
    </row>
    <row r="1219" spans="1:5" x14ac:dyDescent="0.25">
      <c r="A1219" t="s">
        <v>2804</v>
      </c>
      <c r="B1219" t="s">
        <v>1180</v>
      </c>
      <c r="C1219">
        <v>2021</v>
      </c>
      <c r="E1219" t="s">
        <v>2982</v>
      </c>
    </row>
    <row r="1220" spans="1:5" x14ac:dyDescent="0.25">
      <c r="A1220" t="s">
        <v>2804</v>
      </c>
      <c r="B1220" t="s">
        <v>1195</v>
      </c>
      <c r="C1220">
        <v>2021</v>
      </c>
      <c r="E1220" t="s">
        <v>3432</v>
      </c>
    </row>
    <row r="1221" spans="1:5" x14ac:dyDescent="0.25">
      <c r="A1221" t="s">
        <v>2804</v>
      </c>
      <c r="B1221" t="s">
        <v>1211</v>
      </c>
      <c r="C1221">
        <v>2021</v>
      </c>
      <c r="E1221" t="s">
        <v>3013</v>
      </c>
    </row>
    <row r="1222" spans="1:5" x14ac:dyDescent="0.25">
      <c r="A1222" t="s">
        <v>2804</v>
      </c>
      <c r="B1222" t="s">
        <v>1243</v>
      </c>
      <c r="C1222">
        <v>2021</v>
      </c>
      <c r="E1222" t="s">
        <v>3013</v>
      </c>
    </row>
    <row r="1223" spans="1:5" x14ac:dyDescent="0.25">
      <c r="A1223" t="s">
        <v>2804</v>
      </c>
      <c r="B1223" t="s">
        <v>1251</v>
      </c>
      <c r="C1223">
        <v>2021</v>
      </c>
      <c r="E1223" t="s">
        <v>1254</v>
      </c>
    </row>
    <row r="1224" spans="1:5" x14ac:dyDescent="0.25">
      <c r="A1224" t="s">
        <v>2804</v>
      </c>
      <c r="B1224" t="s">
        <v>1276</v>
      </c>
      <c r="C1224">
        <v>2021</v>
      </c>
      <c r="E1224" t="s">
        <v>2982</v>
      </c>
    </row>
    <row r="1225" spans="1:5" x14ac:dyDescent="0.25">
      <c r="A1225" t="s">
        <v>2804</v>
      </c>
      <c r="B1225" t="s">
        <v>1302</v>
      </c>
      <c r="C1225">
        <v>2021</v>
      </c>
      <c r="E1225" t="s">
        <v>3013</v>
      </c>
    </row>
    <row r="1226" spans="1:5" x14ac:dyDescent="0.25">
      <c r="A1226" t="s">
        <v>2804</v>
      </c>
      <c r="B1226" t="s">
        <v>1348</v>
      </c>
      <c r="C1226">
        <v>2021</v>
      </c>
      <c r="E1226" t="s">
        <v>3241</v>
      </c>
    </row>
    <row r="1227" spans="1:5" x14ac:dyDescent="0.25">
      <c r="A1227" t="s">
        <v>2804</v>
      </c>
      <c r="B1227" t="s">
        <v>1361</v>
      </c>
      <c r="C1227">
        <v>2021</v>
      </c>
      <c r="E1227" t="s">
        <v>3013</v>
      </c>
    </row>
    <row r="1228" spans="1:5" x14ac:dyDescent="0.25">
      <c r="A1228" t="s">
        <v>2804</v>
      </c>
      <c r="B1228" t="s">
        <v>1378</v>
      </c>
      <c r="C1228">
        <v>2021</v>
      </c>
      <c r="E1228" s="10" t="s">
        <v>1381</v>
      </c>
    </row>
    <row r="1229" spans="1:5" x14ac:dyDescent="0.25">
      <c r="A1229" t="s">
        <v>2804</v>
      </c>
      <c r="B1229" t="s">
        <v>1396</v>
      </c>
      <c r="C1229">
        <v>2021</v>
      </c>
      <c r="E1229" t="s">
        <v>3013</v>
      </c>
    </row>
    <row r="1230" spans="1:5" x14ac:dyDescent="0.25">
      <c r="A1230" t="s">
        <v>2804</v>
      </c>
      <c r="B1230" t="s">
        <v>1403</v>
      </c>
      <c r="C1230">
        <v>2021</v>
      </c>
      <c r="E1230" t="s">
        <v>3013</v>
      </c>
    </row>
    <row r="1231" spans="1:5" x14ac:dyDescent="0.25">
      <c r="A1231" t="s">
        <v>2804</v>
      </c>
      <c r="B1231" t="s">
        <v>1409</v>
      </c>
      <c r="C1231">
        <v>2021</v>
      </c>
      <c r="E1231" t="s">
        <v>3433</v>
      </c>
    </row>
    <row r="1232" spans="1:5" x14ac:dyDescent="0.25">
      <c r="A1232" t="s">
        <v>2804</v>
      </c>
      <c r="B1232" t="s">
        <v>1463</v>
      </c>
      <c r="C1232">
        <v>2021</v>
      </c>
      <c r="E1232" t="s">
        <v>3127</v>
      </c>
    </row>
    <row r="1233" spans="1:5" x14ac:dyDescent="0.25">
      <c r="A1233" t="s">
        <v>2804</v>
      </c>
      <c r="B1233" t="s">
        <v>1486</v>
      </c>
      <c r="C1233">
        <v>2021</v>
      </c>
      <c r="E1233" t="s">
        <v>3013</v>
      </c>
    </row>
    <row r="1234" spans="1:5" x14ac:dyDescent="0.25">
      <c r="A1234" t="s">
        <v>2804</v>
      </c>
      <c r="B1234" t="s">
        <v>1492</v>
      </c>
      <c r="C1234">
        <v>2021</v>
      </c>
      <c r="E1234" t="s">
        <v>3087</v>
      </c>
    </row>
    <row r="1235" spans="1:5" x14ac:dyDescent="0.25">
      <c r="A1235" t="s">
        <v>2804</v>
      </c>
      <c r="B1235" t="s">
        <v>1500</v>
      </c>
      <c r="C1235">
        <v>2021</v>
      </c>
      <c r="E1235" t="s">
        <v>3013</v>
      </c>
    </row>
    <row r="1236" spans="1:5" x14ac:dyDescent="0.25">
      <c r="A1236" t="s">
        <v>2804</v>
      </c>
      <c r="B1236" t="s">
        <v>7965</v>
      </c>
      <c r="C1236">
        <v>2021</v>
      </c>
      <c r="E1236" s="10" t="s">
        <v>7964</v>
      </c>
    </row>
    <row r="1237" spans="1:5" x14ac:dyDescent="0.25">
      <c r="A1237" t="s">
        <v>2804</v>
      </c>
      <c r="B1237" t="s">
        <v>1530</v>
      </c>
      <c r="C1237">
        <v>2021</v>
      </c>
      <c r="E1237" t="s">
        <v>3013</v>
      </c>
    </row>
    <row r="1238" spans="1:5" x14ac:dyDescent="0.25">
      <c r="A1238" t="s">
        <v>2804</v>
      </c>
      <c r="B1238" t="s">
        <v>1613</v>
      </c>
      <c r="C1238">
        <v>2021</v>
      </c>
      <c r="E1238" t="s">
        <v>3434</v>
      </c>
    </row>
    <row r="1239" spans="1:5" x14ac:dyDescent="0.25">
      <c r="A1239" t="s">
        <v>2804</v>
      </c>
      <c r="B1239" t="s">
        <v>1621</v>
      </c>
      <c r="C1239">
        <v>2021</v>
      </c>
      <c r="E1239" t="s">
        <v>2982</v>
      </c>
    </row>
    <row r="1240" spans="1:5" x14ac:dyDescent="0.25">
      <c r="A1240" t="s">
        <v>2804</v>
      </c>
      <c r="B1240" t="s">
        <v>1670</v>
      </c>
      <c r="C1240">
        <v>2021</v>
      </c>
      <c r="E1240" t="s">
        <v>3013</v>
      </c>
    </row>
    <row r="1241" spans="1:5" x14ac:dyDescent="0.25">
      <c r="A1241" t="s">
        <v>2804</v>
      </c>
      <c r="B1241" t="s">
        <v>1696</v>
      </c>
      <c r="C1241">
        <v>2021</v>
      </c>
      <c r="E1241" t="s">
        <v>3146</v>
      </c>
    </row>
    <row r="1242" spans="1:5" x14ac:dyDescent="0.25">
      <c r="A1242" t="s">
        <v>2804</v>
      </c>
      <c r="B1242" t="s">
        <v>1734</v>
      </c>
      <c r="C1242">
        <v>2021</v>
      </c>
      <c r="E1242" t="s">
        <v>2982</v>
      </c>
    </row>
    <row r="1243" spans="1:5" x14ac:dyDescent="0.25">
      <c r="A1243" t="s">
        <v>2804</v>
      </c>
      <c r="B1243" t="s">
        <v>1764</v>
      </c>
      <c r="C1243">
        <v>2021</v>
      </c>
      <c r="E1243" t="s">
        <v>3013</v>
      </c>
    </row>
    <row r="1244" spans="1:5" x14ac:dyDescent="0.25">
      <c r="A1244" t="s">
        <v>2804</v>
      </c>
      <c r="B1244" t="s">
        <v>1793</v>
      </c>
      <c r="C1244">
        <v>2021</v>
      </c>
      <c r="E1244" t="s">
        <v>3013</v>
      </c>
    </row>
    <row r="1245" spans="1:5" x14ac:dyDescent="0.25">
      <c r="A1245" t="s">
        <v>2804</v>
      </c>
      <c r="B1245" t="s">
        <v>1804</v>
      </c>
      <c r="C1245">
        <v>2021</v>
      </c>
      <c r="E1245" t="s">
        <v>3013</v>
      </c>
    </row>
    <row r="1246" spans="1:5" x14ac:dyDescent="0.25">
      <c r="A1246" t="s">
        <v>2804</v>
      </c>
      <c r="B1246" t="s">
        <v>1809</v>
      </c>
      <c r="C1246">
        <v>2021</v>
      </c>
      <c r="E1246" t="s">
        <v>2982</v>
      </c>
    </row>
    <row r="1247" spans="1:5" x14ac:dyDescent="0.25">
      <c r="A1247" t="s">
        <v>2804</v>
      </c>
      <c r="B1247" t="s">
        <v>1821</v>
      </c>
      <c r="C1247">
        <v>2021</v>
      </c>
      <c r="E1247" t="s">
        <v>3013</v>
      </c>
    </row>
    <row r="1248" spans="1:5" x14ac:dyDescent="0.25">
      <c r="A1248" t="s">
        <v>2804</v>
      </c>
      <c r="B1248" t="s">
        <v>1829</v>
      </c>
      <c r="C1248">
        <v>2021</v>
      </c>
      <c r="E1248" t="s">
        <v>3013</v>
      </c>
    </row>
    <row r="1249" spans="1:5" x14ac:dyDescent="0.25">
      <c r="A1249" t="s">
        <v>2804</v>
      </c>
      <c r="B1249" t="s">
        <v>1837</v>
      </c>
      <c r="C1249">
        <v>2021</v>
      </c>
      <c r="E1249" t="s">
        <v>3013</v>
      </c>
    </row>
    <row r="1250" spans="1:5" x14ac:dyDescent="0.25">
      <c r="A1250" t="s">
        <v>2804</v>
      </c>
      <c r="B1250" t="s">
        <v>1851</v>
      </c>
      <c r="C1250">
        <v>2021</v>
      </c>
      <c r="E1250" t="s">
        <v>2982</v>
      </c>
    </row>
    <row r="1251" spans="1:5" x14ac:dyDescent="0.25">
      <c r="A1251" t="s">
        <v>2804</v>
      </c>
      <c r="B1251" t="s">
        <v>1958</v>
      </c>
      <c r="C1251">
        <v>2021</v>
      </c>
      <c r="E1251" s="10" t="s">
        <v>1961</v>
      </c>
    </row>
    <row r="1252" spans="1:5" x14ac:dyDescent="0.25">
      <c r="A1252" t="s">
        <v>2804</v>
      </c>
      <c r="B1252" t="s">
        <v>1962</v>
      </c>
      <c r="C1252">
        <v>2021</v>
      </c>
      <c r="E1252" t="s">
        <v>3013</v>
      </c>
    </row>
    <row r="1253" spans="1:5" x14ac:dyDescent="0.25">
      <c r="A1253" t="s">
        <v>2804</v>
      </c>
      <c r="B1253" t="s">
        <v>7947</v>
      </c>
      <c r="C1253">
        <v>2021</v>
      </c>
      <c r="E1253" s="10" t="s">
        <v>7950</v>
      </c>
    </row>
    <row r="1254" spans="1:5" x14ac:dyDescent="0.25">
      <c r="A1254" t="s">
        <v>2804</v>
      </c>
      <c r="B1254" t="s">
        <v>2091</v>
      </c>
      <c r="C1254">
        <v>2021</v>
      </c>
      <c r="E1254" t="s">
        <v>3013</v>
      </c>
    </row>
    <row r="1255" spans="1:5" x14ac:dyDescent="0.25">
      <c r="A1255" t="s">
        <v>2804</v>
      </c>
      <c r="B1255" t="s">
        <v>2103</v>
      </c>
      <c r="C1255">
        <v>2021</v>
      </c>
      <c r="E1255" t="s">
        <v>3013</v>
      </c>
    </row>
    <row r="1256" spans="1:5" x14ac:dyDescent="0.25">
      <c r="A1256" t="s">
        <v>2804</v>
      </c>
      <c r="B1256" t="s">
        <v>7937</v>
      </c>
      <c r="C1256">
        <v>2021</v>
      </c>
      <c r="E1256" s="10" t="s">
        <v>7936</v>
      </c>
    </row>
    <row r="1257" spans="1:5" x14ac:dyDescent="0.25">
      <c r="A1257" t="s">
        <v>2804</v>
      </c>
      <c r="B1257" t="s">
        <v>2162</v>
      </c>
      <c r="C1257">
        <v>2021</v>
      </c>
      <c r="E1257" t="s">
        <v>2982</v>
      </c>
    </row>
    <row r="1258" spans="1:5" x14ac:dyDescent="0.25">
      <c r="A1258" t="s">
        <v>2804</v>
      </c>
      <c r="B1258" t="s">
        <v>2192</v>
      </c>
      <c r="C1258">
        <v>2021</v>
      </c>
      <c r="E1258" s="10" t="s">
        <v>8387</v>
      </c>
    </row>
    <row r="1259" spans="1:5" x14ac:dyDescent="0.25">
      <c r="A1259" t="s">
        <v>2804</v>
      </c>
      <c r="B1259" t="s">
        <v>2247</v>
      </c>
      <c r="C1259">
        <v>2021</v>
      </c>
      <c r="E1259" t="s">
        <v>3013</v>
      </c>
    </row>
    <row r="1260" spans="1:5" x14ac:dyDescent="0.25">
      <c r="A1260" t="s">
        <v>2804</v>
      </c>
      <c r="B1260" t="s">
        <v>2258</v>
      </c>
      <c r="C1260">
        <v>2021</v>
      </c>
      <c r="E1260" t="s">
        <v>3013</v>
      </c>
    </row>
    <row r="1261" spans="1:5" x14ac:dyDescent="0.25">
      <c r="A1261" t="s">
        <v>2804</v>
      </c>
      <c r="B1261" t="s">
        <v>2365</v>
      </c>
      <c r="C1261">
        <v>2021</v>
      </c>
      <c r="E1261" s="10" t="s">
        <v>8392</v>
      </c>
    </row>
    <row r="1262" spans="1:5" x14ac:dyDescent="0.25">
      <c r="A1262" t="s">
        <v>2804</v>
      </c>
      <c r="B1262" t="s">
        <v>2381</v>
      </c>
      <c r="C1262">
        <v>2021</v>
      </c>
      <c r="E1262" t="s">
        <v>2982</v>
      </c>
    </row>
    <row r="1263" spans="1:5" x14ac:dyDescent="0.25">
      <c r="A1263" t="s">
        <v>2804</v>
      </c>
      <c r="B1263" t="s">
        <v>2397</v>
      </c>
      <c r="C1263">
        <v>2021</v>
      </c>
      <c r="E1263" t="s">
        <v>3236</v>
      </c>
    </row>
    <row r="1264" spans="1:5" x14ac:dyDescent="0.25">
      <c r="A1264" t="s">
        <v>2804</v>
      </c>
      <c r="B1264" t="s">
        <v>2410</v>
      </c>
      <c r="C1264">
        <v>2021</v>
      </c>
      <c r="E1264" t="s">
        <v>3013</v>
      </c>
    </row>
    <row r="1265" spans="1:5" x14ac:dyDescent="0.25">
      <c r="A1265" t="s">
        <v>2804</v>
      </c>
      <c r="B1265" t="s">
        <v>2435</v>
      </c>
      <c r="C1265">
        <v>2021</v>
      </c>
      <c r="E1265" t="s">
        <v>3013</v>
      </c>
    </row>
    <row r="1266" spans="1:5" x14ac:dyDescent="0.25">
      <c r="A1266" t="s">
        <v>2804</v>
      </c>
      <c r="B1266" t="s">
        <v>2463</v>
      </c>
      <c r="C1266">
        <v>2021</v>
      </c>
      <c r="E1266" s="10" t="s">
        <v>2466</v>
      </c>
    </row>
    <row r="1267" spans="1:5" x14ac:dyDescent="0.25">
      <c r="A1267" t="s">
        <v>2804</v>
      </c>
      <c r="B1267" t="s">
        <v>8115</v>
      </c>
      <c r="C1267">
        <v>2021</v>
      </c>
      <c r="E1267" s="10" t="s">
        <v>8134</v>
      </c>
    </row>
    <row r="1268" spans="1:5" x14ac:dyDescent="0.25">
      <c r="A1268" t="s">
        <v>2804</v>
      </c>
      <c r="B1268" t="s">
        <v>2526</v>
      </c>
      <c r="C1268">
        <v>2021</v>
      </c>
      <c r="E1268" t="s">
        <v>3435</v>
      </c>
    </row>
    <row r="1269" spans="1:5" x14ac:dyDescent="0.25">
      <c r="A1269" t="s">
        <v>2804</v>
      </c>
      <c r="B1269" t="s">
        <v>2603</v>
      </c>
      <c r="C1269">
        <v>2021</v>
      </c>
      <c r="E1269" t="s">
        <v>3013</v>
      </c>
    </row>
    <row r="1270" spans="1:5" x14ac:dyDescent="0.25">
      <c r="A1270" t="s">
        <v>2804</v>
      </c>
      <c r="B1270" t="s">
        <v>2609</v>
      </c>
      <c r="C1270">
        <v>2021</v>
      </c>
      <c r="E1270" t="s">
        <v>3436</v>
      </c>
    </row>
    <row r="1271" spans="1:5" x14ac:dyDescent="0.25">
      <c r="A1271" t="s">
        <v>2804</v>
      </c>
      <c r="B1271" t="s">
        <v>2669</v>
      </c>
      <c r="C1271">
        <v>2021</v>
      </c>
      <c r="E1271" t="s">
        <v>3013</v>
      </c>
    </row>
    <row r="1272" spans="1:5" x14ac:dyDescent="0.25">
      <c r="A1272" t="s">
        <v>2804</v>
      </c>
      <c r="B1272" t="s">
        <v>2688</v>
      </c>
      <c r="C1272">
        <v>2021</v>
      </c>
      <c r="E1272" t="s">
        <v>3437</v>
      </c>
    </row>
    <row r="1273" spans="1:5" x14ac:dyDescent="0.25">
      <c r="A1273" t="s">
        <v>2804</v>
      </c>
      <c r="B1273" t="s">
        <v>2691</v>
      </c>
      <c r="C1273">
        <v>2021</v>
      </c>
      <c r="E1273" t="s">
        <v>3013</v>
      </c>
    </row>
    <row r="1274" spans="1:5" x14ac:dyDescent="0.25">
      <c r="A1274" t="s">
        <v>2804</v>
      </c>
      <c r="B1274" t="s">
        <v>2698</v>
      </c>
      <c r="C1274">
        <v>2021</v>
      </c>
      <c r="E1274" t="s">
        <v>3194</v>
      </c>
    </row>
    <row r="1275" spans="1:5" x14ac:dyDescent="0.25">
      <c r="A1275" t="s">
        <v>2804</v>
      </c>
      <c r="B1275" t="s">
        <v>2742</v>
      </c>
      <c r="C1275">
        <v>2021</v>
      </c>
      <c r="E1275" t="s">
        <v>2982</v>
      </c>
    </row>
    <row r="1276" spans="1:5" x14ac:dyDescent="0.25">
      <c r="A1276" t="s">
        <v>2804</v>
      </c>
      <c r="B1276" t="s">
        <v>2798</v>
      </c>
      <c r="C1276">
        <v>2021</v>
      </c>
      <c r="D1276" t="s">
        <v>187</v>
      </c>
    </row>
    <row r="1277" spans="1:5" x14ac:dyDescent="0.25">
      <c r="A1277" t="s">
        <v>2804</v>
      </c>
      <c r="B1277" t="s">
        <v>2800</v>
      </c>
      <c r="C1277">
        <v>2021</v>
      </c>
      <c r="E1277" t="s">
        <v>2982</v>
      </c>
    </row>
    <row r="1278" spans="1:5" x14ac:dyDescent="0.25">
      <c r="A1278" t="s">
        <v>2804</v>
      </c>
      <c r="B1278" t="s">
        <v>2814</v>
      </c>
      <c r="C1278">
        <v>2021</v>
      </c>
      <c r="E1278" t="s">
        <v>2982</v>
      </c>
    </row>
    <row r="1279" spans="1:5" x14ac:dyDescent="0.25">
      <c r="A1279" t="s">
        <v>2804</v>
      </c>
      <c r="B1279" t="s">
        <v>2828</v>
      </c>
      <c r="C1279">
        <v>2021</v>
      </c>
      <c r="E1279" t="s">
        <v>2982</v>
      </c>
    </row>
    <row r="1280" spans="1:5" x14ac:dyDescent="0.25">
      <c r="A1280" t="s">
        <v>2804</v>
      </c>
      <c r="B1280" t="s">
        <v>7855</v>
      </c>
      <c r="C1280">
        <v>2021</v>
      </c>
      <c r="E1280" t="s">
        <v>7858</v>
      </c>
    </row>
    <row r="1281" spans="1:5" x14ac:dyDescent="0.25">
      <c r="A1281" t="s">
        <v>2804</v>
      </c>
      <c r="B1281" t="s">
        <v>2852</v>
      </c>
      <c r="C1281">
        <v>2021</v>
      </c>
      <c r="D1281" t="s">
        <v>187</v>
      </c>
      <c r="E1281" t="s">
        <v>3438</v>
      </c>
    </row>
    <row r="1282" spans="1:5" x14ac:dyDescent="0.25">
      <c r="A1282" t="s">
        <v>2804</v>
      </c>
      <c r="B1282" t="s">
        <v>2882</v>
      </c>
      <c r="C1282">
        <v>2021</v>
      </c>
      <c r="E1282" t="s">
        <v>3439</v>
      </c>
    </row>
    <row r="1283" spans="1:5" x14ac:dyDescent="0.25">
      <c r="A1283" t="s">
        <v>2804</v>
      </c>
      <c r="B1283" t="s">
        <v>2933</v>
      </c>
      <c r="C1283">
        <v>2021</v>
      </c>
      <c r="E1283" t="s">
        <v>3013</v>
      </c>
    </row>
    <row r="1284" spans="1:5" x14ac:dyDescent="0.25">
      <c r="A1284" t="s">
        <v>2818</v>
      </c>
      <c r="B1284" t="s">
        <v>2820</v>
      </c>
      <c r="C1284">
        <v>2021</v>
      </c>
      <c r="D1284" t="s">
        <v>187</v>
      </c>
    </row>
    <row r="1285" spans="1:5" x14ac:dyDescent="0.25">
      <c r="A1285" t="s">
        <v>2824</v>
      </c>
      <c r="B1285" t="s">
        <v>2886</v>
      </c>
      <c r="C1285">
        <v>2019</v>
      </c>
      <c r="D1285" t="s">
        <v>187</v>
      </c>
    </row>
    <row r="1286" spans="1:5" x14ac:dyDescent="0.25">
      <c r="A1286" t="s">
        <v>2828</v>
      </c>
      <c r="B1286" t="s">
        <v>2339</v>
      </c>
      <c r="C1286">
        <v>2022</v>
      </c>
      <c r="D1286" t="s">
        <v>187</v>
      </c>
    </row>
    <row r="1287" spans="1:5" x14ac:dyDescent="0.25">
      <c r="A1287" t="s">
        <v>2846</v>
      </c>
      <c r="B1287" t="s">
        <v>2850</v>
      </c>
      <c r="C1287">
        <v>2023</v>
      </c>
      <c r="D1287" t="s">
        <v>187</v>
      </c>
    </row>
    <row r="1288" spans="1:5" x14ac:dyDescent="0.25">
      <c r="A1288" t="s">
        <v>2874</v>
      </c>
      <c r="B1288" t="s">
        <v>1423</v>
      </c>
      <c r="C1288">
        <v>2005</v>
      </c>
      <c r="D1288" t="s">
        <v>187</v>
      </c>
    </row>
    <row r="1289" spans="1:5" x14ac:dyDescent="0.25">
      <c r="A1289" t="s">
        <v>2878</v>
      </c>
      <c r="B1289" t="s">
        <v>1351</v>
      </c>
      <c r="C1289">
        <v>2020</v>
      </c>
      <c r="D1289" t="s">
        <v>187</v>
      </c>
    </row>
    <row r="1290" spans="1:5" x14ac:dyDescent="0.25">
      <c r="A1290" t="s">
        <v>2890</v>
      </c>
      <c r="B1290" t="s">
        <v>803</v>
      </c>
      <c r="C1290">
        <v>2023</v>
      </c>
      <c r="E1290" t="s">
        <v>2982</v>
      </c>
    </row>
    <row r="1291" spans="1:5" x14ac:dyDescent="0.25">
      <c r="A1291" t="s">
        <v>2890</v>
      </c>
      <c r="B1291" t="s">
        <v>1394</v>
      </c>
      <c r="C1291">
        <v>2023</v>
      </c>
      <c r="E1291" t="s">
        <v>3032</v>
      </c>
    </row>
    <row r="1292" spans="1:5" x14ac:dyDescent="0.25">
      <c r="A1292" t="s">
        <v>2901</v>
      </c>
      <c r="B1292" t="s">
        <v>7959</v>
      </c>
      <c r="C1292">
        <v>2023</v>
      </c>
      <c r="E1292" s="10" t="s">
        <v>7962</v>
      </c>
    </row>
    <row r="1293" spans="1:5" x14ac:dyDescent="0.25">
      <c r="A1293" t="s">
        <v>2901</v>
      </c>
      <c r="B1293" t="s">
        <v>2840</v>
      </c>
      <c r="C1293">
        <v>2023</v>
      </c>
      <c r="E1293" t="s">
        <v>3440</v>
      </c>
    </row>
    <row r="1294" spans="1:5" x14ac:dyDescent="0.25">
      <c r="A1294" t="s">
        <v>2906</v>
      </c>
      <c r="B1294" t="s">
        <v>226</v>
      </c>
      <c r="C1294">
        <v>2018</v>
      </c>
      <c r="E1294" t="s">
        <v>3182</v>
      </c>
    </row>
    <row r="1295" spans="1:5" x14ac:dyDescent="0.25">
      <c r="A1295" t="s">
        <v>2906</v>
      </c>
      <c r="B1295" t="s">
        <v>310</v>
      </c>
      <c r="C1295">
        <v>2018</v>
      </c>
      <c r="E1295" t="s">
        <v>3077</v>
      </c>
    </row>
    <row r="1296" spans="1:5" x14ac:dyDescent="0.25">
      <c r="A1296" t="s">
        <v>2906</v>
      </c>
      <c r="B1296" t="s">
        <v>2031</v>
      </c>
      <c r="C1296">
        <v>2018</v>
      </c>
      <c r="E1296" t="s">
        <v>3234</v>
      </c>
    </row>
    <row r="1297" spans="1:5" x14ac:dyDescent="0.25">
      <c r="A1297" t="s">
        <v>2906</v>
      </c>
      <c r="B1297" t="s">
        <v>2910</v>
      </c>
      <c r="C1297">
        <v>2018</v>
      </c>
      <c r="D1297" t="s">
        <v>187</v>
      </c>
    </row>
    <row r="1298" spans="1:5" x14ac:dyDescent="0.25">
      <c r="A1298" t="s">
        <v>2943</v>
      </c>
      <c r="B1298" t="s">
        <v>2637</v>
      </c>
      <c r="C1298">
        <v>2010</v>
      </c>
      <c r="D1298" t="s">
        <v>187</v>
      </c>
      <c r="E1298" t="s">
        <v>3441</v>
      </c>
    </row>
    <row r="1299" spans="1:5" x14ac:dyDescent="0.25">
      <c r="A1299" t="s">
        <v>2947</v>
      </c>
      <c r="B1299" t="s">
        <v>698</v>
      </c>
      <c r="C1299">
        <v>1994</v>
      </c>
      <c r="E1299" t="s">
        <v>3442</v>
      </c>
    </row>
    <row r="1300" spans="1:5" x14ac:dyDescent="0.25">
      <c r="A1300" t="s">
        <v>2947</v>
      </c>
      <c r="B1300" t="s">
        <v>2571</v>
      </c>
      <c r="C1300">
        <v>1994</v>
      </c>
      <c r="E1300" t="s">
        <v>3443</v>
      </c>
    </row>
    <row r="1301" spans="1:5" x14ac:dyDescent="0.25">
      <c r="A1301" t="s">
        <v>2947</v>
      </c>
      <c r="B1301" t="s">
        <v>2962</v>
      </c>
      <c r="C1301">
        <v>1994</v>
      </c>
      <c r="E1301" t="s">
        <v>3006</v>
      </c>
    </row>
    <row r="1302" spans="1:5" x14ac:dyDescent="0.25">
      <c r="A1302" t="s">
        <v>2954</v>
      </c>
      <c r="B1302" t="s">
        <v>2812</v>
      </c>
      <c r="C1302">
        <v>2014</v>
      </c>
      <c r="E1302" t="s">
        <v>3082</v>
      </c>
    </row>
    <row r="1303" spans="1:5" x14ac:dyDescent="0.25">
      <c r="A1303" t="s">
        <v>2954</v>
      </c>
      <c r="B1303" t="s">
        <v>2958</v>
      </c>
      <c r="C1303">
        <v>2014</v>
      </c>
      <c r="D1303" t="s">
        <v>187</v>
      </c>
    </row>
    <row r="1304" spans="1:5" x14ac:dyDescent="0.25">
      <c r="A1304" t="s">
        <v>2965</v>
      </c>
      <c r="B1304" t="s">
        <v>2103</v>
      </c>
      <c r="C1304">
        <v>2023</v>
      </c>
      <c r="D1304" t="s">
        <v>187</v>
      </c>
    </row>
    <row r="1305" spans="1:5" x14ac:dyDescent="0.25">
      <c r="A1305" t="s">
        <v>2804</v>
      </c>
      <c r="B1305" t="s">
        <v>8152</v>
      </c>
      <c r="C1305">
        <v>2021</v>
      </c>
      <c r="E1305" s="10" t="s">
        <v>8153</v>
      </c>
    </row>
    <row r="1306" spans="1:5" x14ac:dyDescent="0.25">
      <c r="A1306" t="s">
        <v>2471</v>
      </c>
      <c r="B1306" t="s">
        <v>8324</v>
      </c>
      <c r="C1306">
        <v>2025</v>
      </c>
      <c r="D1306" t="s">
        <v>187</v>
      </c>
    </row>
    <row r="1307" spans="1:5" x14ac:dyDescent="0.25">
      <c r="A1307" t="s">
        <v>1576</v>
      </c>
      <c r="B1307" t="s">
        <v>8324</v>
      </c>
      <c r="C1307">
        <v>2021</v>
      </c>
      <c r="E1307" t="s">
        <v>2982</v>
      </c>
    </row>
    <row r="1308" spans="1:5" x14ac:dyDescent="0.25">
      <c r="A1308" t="s">
        <v>364</v>
      </c>
      <c r="B1308" t="s">
        <v>8324</v>
      </c>
      <c r="C1308">
        <v>2024</v>
      </c>
      <c r="E1308" t="s">
        <v>2982</v>
      </c>
    </row>
    <row r="1309" spans="1:5" x14ac:dyDescent="0.25">
      <c r="A1309" t="s">
        <v>1851</v>
      </c>
      <c r="B1309" t="s">
        <v>8324</v>
      </c>
      <c r="C1309">
        <v>2024</v>
      </c>
      <c r="E1309" t="s">
        <v>2982</v>
      </c>
    </row>
    <row r="1310" spans="1:5" x14ac:dyDescent="0.25">
      <c r="A1310" t="s">
        <v>2136</v>
      </c>
      <c r="B1310" t="s">
        <v>651</v>
      </c>
      <c r="C1310">
        <v>2020</v>
      </c>
      <c r="E1310" s="10" t="s">
        <v>8332</v>
      </c>
    </row>
    <row r="1311" spans="1:5" x14ac:dyDescent="0.25">
      <c r="A1311" t="s">
        <v>1817</v>
      </c>
      <c r="B1311" t="s">
        <v>651</v>
      </c>
      <c r="C1311">
        <v>2019</v>
      </c>
      <c r="E1311" s="10" t="s">
        <v>8332</v>
      </c>
    </row>
    <row r="1312" spans="1:5" x14ac:dyDescent="0.25">
      <c r="A1312" t="s">
        <v>2428</v>
      </c>
      <c r="B1312" t="s">
        <v>651</v>
      </c>
      <c r="C1312">
        <v>2008</v>
      </c>
      <c r="E1312" s="10" t="s">
        <v>8332</v>
      </c>
    </row>
    <row r="1313" spans="1:5" x14ac:dyDescent="0.25">
      <c r="A1313" t="s">
        <v>90</v>
      </c>
      <c r="B1313" t="s">
        <v>651</v>
      </c>
      <c r="C1313">
        <v>2017</v>
      </c>
      <c r="E1313" s="10" t="s">
        <v>8332</v>
      </c>
    </row>
    <row r="1314" spans="1:5" x14ac:dyDescent="0.25">
      <c r="A1314" t="s">
        <v>1294</v>
      </c>
      <c r="B1314" t="s">
        <v>651</v>
      </c>
      <c r="C1314">
        <v>2019</v>
      </c>
      <c r="E1314" s="10" t="s">
        <v>8332</v>
      </c>
    </row>
    <row r="1315" spans="1:5" x14ac:dyDescent="0.25">
      <c r="A1315" t="s">
        <v>1272</v>
      </c>
      <c r="B1315" t="s">
        <v>651</v>
      </c>
      <c r="C1315">
        <v>2020</v>
      </c>
      <c r="E1315" s="10" t="s">
        <v>8332</v>
      </c>
    </row>
    <row r="1316" spans="1:5" x14ac:dyDescent="0.25">
      <c r="A1316" t="s">
        <v>160</v>
      </c>
      <c r="B1316" t="s">
        <v>651</v>
      </c>
      <c r="C1316">
        <v>2011</v>
      </c>
      <c r="E1316" s="10" t="s">
        <v>8332</v>
      </c>
    </row>
    <row r="1317" spans="1:5" x14ac:dyDescent="0.25">
      <c r="A1317" t="s">
        <v>759</v>
      </c>
      <c r="B1317" t="s">
        <v>8344</v>
      </c>
      <c r="C1317">
        <v>2018</v>
      </c>
      <c r="E1317" s="10" t="s">
        <v>8354</v>
      </c>
    </row>
    <row r="1318" spans="1:5" x14ac:dyDescent="0.25">
      <c r="A1318" t="s">
        <v>90</v>
      </c>
      <c r="B1318" t="s">
        <v>8344</v>
      </c>
      <c r="C1318">
        <v>2017</v>
      </c>
      <c r="E1318" s="10" t="s">
        <v>8354</v>
      </c>
    </row>
    <row r="1319" spans="1:5" x14ac:dyDescent="0.25">
      <c r="A1319" t="s">
        <v>1443</v>
      </c>
      <c r="B1319" t="s">
        <v>8344</v>
      </c>
      <c r="C1319">
        <v>2018</v>
      </c>
      <c r="E1319" s="10" t="s">
        <v>8354</v>
      </c>
    </row>
    <row r="1320" spans="1:5" x14ac:dyDescent="0.25">
      <c r="A1320" t="s">
        <v>2173</v>
      </c>
      <c r="B1320" t="s">
        <v>998</v>
      </c>
      <c r="C1320">
        <v>2013</v>
      </c>
      <c r="E1320" s="10" t="s">
        <v>8361</v>
      </c>
    </row>
    <row r="1321" spans="1:5" x14ac:dyDescent="0.25">
      <c r="A1321" t="s">
        <v>497</v>
      </c>
      <c r="B1321" t="s">
        <v>1111</v>
      </c>
      <c r="C1321">
        <v>2022</v>
      </c>
      <c r="E1321" s="10" t="s">
        <v>8362</v>
      </c>
    </row>
    <row r="1322" spans="1:5" x14ac:dyDescent="0.25">
      <c r="A1322" t="s">
        <v>1951</v>
      </c>
      <c r="B1322" t="s">
        <v>1111</v>
      </c>
      <c r="C1322">
        <v>2022</v>
      </c>
      <c r="E1322" s="10" t="s">
        <v>8362</v>
      </c>
    </row>
    <row r="1323" spans="1:5" x14ac:dyDescent="0.25">
      <c r="A1323" t="s">
        <v>346</v>
      </c>
      <c r="B1323" t="s">
        <v>1111</v>
      </c>
      <c r="C1323">
        <v>2022</v>
      </c>
      <c r="E1323" s="10" t="s">
        <v>8362</v>
      </c>
    </row>
    <row r="1324" spans="1:5" x14ac:dyDescent="0.25">
      <c r="A1324" t="s">
        <v>1855</v>
      </c>
      <c r="B1324" t="s">
        <v>8363</v>
      </c>
      <c r="C1324">
        <v>2015</v>
      </c>
      <c r="E1324" s="10" t="s">
        <v>8364</v>
      </c>
    </row>
    <row r="1325" spans="1:5" x14ac:dyDescent="0.25">
      <c r="A1325" t="s">
        <v>160</v>
      </c>
      <c r="B1325" t="s">
        <v>663</v>
      </c>
      <c r="C1325">
        <v>2011</v>
      </c>
      <c r="E1325" s="10" t="s">
        <v>8365</v>
      </c>
    </row>
    <row r="1326" spans="1:5" x14ac:dyDescent="0.25">
      <c r="A1326" t="s">
        <v>847</v>
      </c>
      <c r="B1326" t="s">
        <v>663</v>
      </c>
      <c r="C1326">
        <v>1996</v>
      </c>
      <c r="E1326" s="10" t="s">
        <v>8365</v>
      </c>
    </row>
    <row r="1327" spans="1:5" x14ac:dyDescent="0.25">
      <c r="A1327" t="s">
        <v>1144</v>
      </c>
      <c r="B1327" t="s">
        <v>1336</v>
      </c>
      <c r="C1327">
        <v>2012</v>
      </c>
      <c r="E1327" s="10" t="s">
        <v>8366</v>
      </c>
    </row>
    <row r="1328" spans="1:5" x14ac:dyDescent="0.25">
      <c r="A1328" t="s">
        <v>1761</v>
      </c>
      <c r="B1328" t="s">
        <v>677</v>
      </c>
      <c r="C1328">
        <v>1995</v>
      </c>
      <c r="E1328" s="10" t="s">
        <v>8367</v>
      </c>
    </row>
    <row r="1329" spans="1:5" x14ac:dyDescent="0.25">
      <c r="A1329" t="s">
        <v>1951</v>
      </c>
      <c r="B1329" t="s">
        <v>1490</v>
      </c>
      <c r="C1329">
        <v>2022</v>
      </c>
      <c r="E1329" s="10" t="s">
        <v>8368</v>
      </c>
    </row>
    <row r="1330" spans="1:5" x14ac:dyDescent="0.25">
      <c r="A1330" t="s">
        <v>1038</v>
      </c>
      <c r="B1330" t="s">
        <v>281</v>
      </c>
      <c r="C1330">
        <v>2023</v>
      </c>
      <c r="D1330" t="s">
        <v>187</v>
      </c>
    </row>
    <row r="1331" spans="1:5" x14ac:dyDescent="0.25">
      <c r="A1331" t="s">
        <v>1435</v>
      </c>
      <c r="B1331" t="s">
        <v>505</v>
      </c>
      <c r="C1331">
        <v>2021</v>
      </c>
      <c r="E1331" s="10" t="s">
        <v>8369</v>
      </c>
    </row>
    <row r="1332" spans="1:5" x14ac:dyDescent="0.25">
      <c r="A1332" t="s">
        <v>160</v>
      </c>
      <c r="B1332" t="s">
        <v>574</v>
      </c>
      <c r="C1332">
        <v>2011</v>
      </c>
      <c r="E1332" s="10" t="s">
        <v>8370</v>
      </c>
    </row>
    <row r="1333" spans="1:5" x14ac:dyDescent="0.25">
      <c r="A1333" t="s">
        <v>2173</v>
      </c>
      <c r="B1333" t="s">
        <v>574</v>
      </c>
      <c r="C1333">
        <v>2013</v>
      </c>
      <c r="E1333" s="10" t="s">
        <v>8370</v>
      </c>
    </row>
    <row r="1334" spans="1:5" x14ac:dyDescent="0.25">
      <c r="A1334" t="s">
        <v>1855</v>
      </c>
      <c r="B1334" t="s">
        <v>574</v>
      </c>
      <c r="C1334">
        <v>2015</v>
      </c>
      <c r="E1334" s="10" t="s">
        <v>8370</v>
      </c>
    </row>
    <row r="1335" spans="1:5" x14ac:dyDescent="0.25">
      <c r="A1335" t="s">
        <v>160</v>
      </c>
      <c r="B1335" t="s">
        <v>1294</v>
      </c>
      <c r="C1335">
        <v>2011</v>
      </c>
      <c r="E1335" s="10" t="s">
        <v>8371</v>
      </c>
    </row>
    <row r="1336" spans="1:5" x14ac:dyDescent="0.25">
      <c r="A1336" t="s">
        <v>1046</v>
      </c>
      <c r="B1336" t="s">
        <v>1294</v>
      </c>
      <c r="C1336">
        <v>2016</v>
      </c>
      <c r="E1336" s="10" t="s">
        <v>8371</v>
      </c>
    </row>
    <row r="1337" spans="1:5" x14ac:dyDescent="0.25">
      <c r="A1337" t="s">
        <v>746</v>
      </c>
      <c r="B1337" t="s">
        <v>1294</v>
      </c>
      <c r="C1337">
        <v>2015</v>
      </c>
      <c r="E1337" s="10" t="s">
        <v>8371</v>
      </c>
    </row>
    <row r="1338" spans="1:5" x14ac:dyDescent="0.25">
      <c r="A1338" t="s">
        <v>2428</v>
      </c>
      <c r="B1338" t="s">
        <v>1294</v>
      </c>
      <c r="C1338">
        <v>2008</v>
      </c>
      <c r="E1338" s="10" t="s">
        <v>8371</v>
      </c>
    </row>
    <row r="1339" spans="1:5" x14ac:dyDescent="0.25">
      <c r="A1339" t="s">
        <v>2173</v>
      </c>
      <c r="B1339" t="s">
        <v>1294</v>
      </c>
      <c r="C1339">
        <v>2013</v>
      </c>
      <c r="E1339" s="10" t="s">
        <v>8371</v>
      </c>
    </row>
    <row r="1340" spans="1:5" x14ac:dyDescent="0.25">
      <c r="A1340" t="s">
        <v>2906</v>
      </c>
      <c r="B1340" t="s">
        <v>1294</v>
      </c>
      <c r="C1340">
        <v>2018</v>
      </c>
      <c r="E1340" s="10" t="s">
        <v>8371</v>
      </c>
    </row>
    <row r="1341" spans="1:5" x14ac:dyDescent="0.25">
      <c r="A1341" t="s">
        <v>759</v>
      </c>
      <c r="B1341" t="s">
        <v>1294</v>
      </c>
      <c r="C1341">
        <v>2018</v>
      </c>
      <c r="E1341" s="10" t="s">
        <v>8371</v>
      </c>
    </row>
    <row r="1342" spans="1:5" x14ac:dyDescent="0.25">
      <c r="A1342" t="s">
        <v>90</v>
      </c>
      <c r="B1342" t="s">
        <v>1294</v>
      </c>
      <c r="C1342">
        <v>2017</v>
      </c>
      <c r="E1342" s="10" t="s">
        <v>8371</v>
      </c>
    </row>
    <row r="1343" spans="1:5" x14ac:dyDescent="0.25">
      <c r="A1343" t="s">
        <v>90</v>
      </c>
      <c r="B1343" t="s">
        <v>270</v>
      </c>
      <c r="C1343">
        <v>2017</v>
      </c>
      <c r="E1343" s="10" t="s">
        <v>8372</v>
      </c>
    </row>
    <row r="1344" spans="1:5" x14ac:dyDescent="0.25">
      <c r="A1344" t="s">
        <v>1690</v>
      </c>
      <c r="B1344" t="s">
        <v>270</v>
      </c>
      <c r="C1344">
        <v>2020</v>
      </c>
      <c r="E1344" s="10" t="s">
        <v>8372</v>
      </c>
    </row>
    <row r="1345" spans="1:5" x14ac:dyDescent="0.25">
      <c r="A1345" t="s">
        <v>1576</v>
      </c>
      <c r="B1345" t="s">
        <v>270</v>
      </c>
      <c r="C1345">
        <v>2021</v>
      </c>
      <c r="E1345" s="10" t="s">
        <v>8372</v>
      </c>
    </row>
    <row r="1346" spans="1:5" x14ac:dyDescent="0.25">
      <c r="A1346" t="s">
        <v>1576</v>
      </c>
      <c r="B1346" t="s">
        <v>595</v>
      </c>
      <c r="C1346">
        <v>2021</v>
      </c>
      <c r="E1346" s="10" t="s">
        <v>8373</v>
      </c>
    </row>
    <row r="1347" spans="1:5" x14ac:dyDescent="0.25">
      <c r="A1347" t="s">
        <v>904</v>
      </c>
      <c r="B1347" t="s">
        <v>586</v>
      </c>
      <c r="C1347">
        <v>2022</v>
      </c>
      <c r="E1347" s="10" t="s">
        <v>594</v>
      </c>
    </row>
    <row r="1348" spans="1:5" x14ac:dyDescent="0.25">
      <c r="A1348" t="s">
        <v>90</v>
      </c>
      <c r="B1348" t="s">
        <v>673</v>
      </c>
      <c r="C1348">
        <v>2017</v>
      </c>
      <c r="E1348" s="10" t="s">
        <v>8374</v>
      </c>
    </row>
    <row r="1349" spans="1:5" x14ac:dyDescent="0.25">
      <c r="A1349" t="s">
        <v>1294</v>
      </c>
      <c r="B1349" t="s">
        <v>726</v>
      </c>
      <c r="C1349">
        <v>2019</v>
      </c>
      <c r="E1349" s="10" t="s">
        <v>8375</v>
      </c>
    </row>
    <row r="1350" spans="1:5" x14ac:dyDescent="0.25">
      <c r="A1350" t="s">
        <v>847</v>
      </c>
      <c r="B1350" t="s">
        <v>726</v>
      </c>
      <c r="C1350">
        <v>1996</v>
      </c>
      <c r="E1350" s="10" t="s">
        <v>8375</v>
      </c>
    </row>
    <row r="1351" spans="1:5" x14ac:dyDescent="0.25">
      <c r="A1351" t="s">
        <v>1443</v>
      </c>
      <c r="B1351" t="s">
        <v>904</v>
      </c>
      <c r="C1351">
        <v>2018</v>
      </c>
      <c r="E1351" s="10" t="s">
        <v>8377</v>
      </c>
    </row>
    <row r="1352" spans="1:5" x14ac:dyDescent="0.25">
      <c r="A1352" t="s">
        <v>346</v>
      </c>
      <c r="B1352" t="s">
        <v>1211</v>
      </c>
      <c r="C1352">
        <v>2022</v>
      </c>
      <c r="E1352" s="10" t="s">
        <v>8378</v>
      </c>
    </row>
    <row r="1353" spans="1:5" x14ac:dyDescent="0.25">
      <c r="A1353" t="s">
        <v>847</v>
      </c>
      <c r="B1353" t="s">
        <v>1211</v>
      </c>
      <c r="C1353">
        <v>1996</v>
      </c>
      <c r="E1353" s="10" t="s">
        <v>8379</v>
      </c>
    </row>
    <row r="1354" spans="1:5" x14ac:dyDescent="0.25">
      <c r="A1354" t="s">
        <v>1592</v>
      </c>
      <c r="B1354" t="s">
        <v>1378</v>
      </c>
      <c r="C1354">
        <v>2019</v>
      </c>
      <c r="E1354" s="10" t="s">
        <v>1381</v>
      </c>
    </row>
    <row r="1355" spans="1:5" x14ac:dyDescent="0.25">
      <c r="A1355" t="s">
        <v>1592</v>
      </c>
      <c r="B1355" t="s">
        <v>2435</v>
      </c>
      <c r="C1355">
        <v>2019</v>
      </c>
      <c r="E1355" s="10" t="s">
        <v>8380</v>
      </c>
    </row>
    <row r="1356" spans="1:5" x14ac:dyDescent="0.25">
      <c r="A1356" t="s">
        <v>160</v>
      </c>
      <c r="B1356" t="s">
        <v>1837</v>
      </c>
      <c r="C1356">
        <v>2011</v>
      </c>
      <c r="E1356" s="10" t="s">
        <v>8381</v>
      </c>
    </row>
    <row r="1357" spans="1:5" x14ac:dyDescent="0.25">
      <c r="A1357" t="s">
        <v>2173</v>
      </c>
      <c r="B1357" t="s">
        <v>1837</v>
      </c>
      <c r="C1357">
        <v>2013</v>
      </c>
      <c r="E1357" s="10" t="s">
        <v>8381</v>
      </c>
    </row>
    <row r="1358" spans="1:5" x14ac:dyDescent="0.25">
      <c r="A1358" t="s">
        <v>205</v>
      </c>
      <c r="B1358" t="s">
        <v>7841</v>
      </c>
      <c r="C1358">
        <v>2015</v>
      </c>
      <c r="E1358" s="10" t="s">
        <v>8382</v>
      </c>
    </row>
    <row r="1359" spans="1:5" x14ac:dyDescent="0.25">
      <c r="A1359" t="s">
        <v>2361</v>
      </c>
      <c r="B1359" t="s">
        <v>7841</v>
      </c>
      <c r="C1359">
        <v>2018</v>
      </c>
      <c r="E1359" s="10" t="s">
        <v>8383</v>
      </c>
    </row>
    <row r="1360" spans="1:5" x14ac:dyDescent="0.25">
      <c r="A1360" t="s">
        <v>2324</v>
      </c>
      <c r="B1360" t="s">
        <v>7841</v>
      </c>
      <c r="C1360">
        <v>2022</v>
      </c>
      <c r="E1360" s="10" t="s">
        <v>8383</v>
      </c>
    </row>
    <row r="1361" spans="1:5" x14ac:dyDescent="0.25">
      <c r="A1361" t="s">
        <v>914</v>
      </c>
      <c r="B1361" t="s">
        <v>1911</v>
      </c>
      <c r="C1361">
        <v>2013</v>
      </c>
      <c r="E1361" s="10" t="s">
        <v>8384</v>
      </c>
    </row>
    <row r="1362" spans="1:5" x14ac:dyDescent="0.25">
      <c r="A1362" t="s">
        <v>847</v>
      </c>
      <c r="B1362" t="s">
        <v>1911</v>
      </c>
      <c r="C1362">
        <v>1996</v>
      </c>
      <c r="E1362" s="10" t="s">
        <v>8384</v>
      </c>
    </row>
    <row r="1363" spans="1:5" x14ac:dyDescent="0.25">
      <c r="A1363" t="s">
        <v>847</v>
      </c>
      <c r="B1363" t="s">
        <v>1962</v>
      </c>
      <c r="C1363">
        <v>1996</v>
      </c>
      <c r="E1363" s="10" t="s">
        <v>1965</v>
      </c>
    </row>
    <row r="1364" spans="1:5" x14ac:dyDescent="0.25">
      <c r="A1364" t="s">
        <v>1046</v>
      </c>
      <c r="B1364" t="s">
        <v>2146</v>
      </c>
      <c r="C1364">
        <v>2016</v>
      </c>
      <c r="E1364" s="10" t="s">
        <v>8385</v>
      </c>
    </row>
    <row r="1365" spans="1:5" x14ac:dyDescent="0.25">
      <c r="A1365" t="s">
        <v>1951</v>
      </c>
      <c r="B1365" t="s">
        <v>2187</v>
      </c>
      <c r="C1365">
        <v>2022</v>
      </c>
      <c r="E1365" s="10" t="s">
        <v>8386</v>
      </c>
    </row>
    <row r="1366" spans="1:5" x14ac:dyDescent="0.25">
      <c r="A1366" t="s">
        <v>344</v>
      </c>
      <c r="B1366" t="s">
        <v>2187</v>
      </c>
      <c r="C1366">
        <v>2023</v>
      </c>
      <c r="E1366" s="10" t="s">
        <v>8386</v>
      </c>
    </row>
    <row r="1367" spans="1:5" x14ac:dyDescent="0.25">
      <c r="A1367" t="s">
        <v>90</v>
      </c>
      <c r="B1367" t="s">
        <v>2192</v>
      </c>
      <c r="C1367">
        <v>2017</v>
      </c>
      <c r="E1367" s="10" t="s">
        <v>8387</v>
      </c>
    </row>
    <row r="1368" spans="1:5" x14ac:dyDescent="0.25">
      <c r="A1368" t="s">
        <v>490</v>
      </c>
      <c r="B1368" t="s">
        <v>2107</v>
      </c>
      <c r="C1368">
        <v>2008</v>
      </c>
      <c r="E1368" s="10" t="s">
        <v>2110</v>
      </c>
    </row>
    <row r="1369" spans="1:5" x14ac:dyDescent="0.25">
      <c r="A1369" t="s">
        <v>497</v>
      </c>
      <c r="B1369" t="s">
        <v>2463</v>
      </c>
      <c r="C1369">
        <v>2022</v>
      </c>
      <c r="E1369" s="10" t="s">
        <v>2466</v>
      </c>
    </row>
    <row r="1370" spans="1:5" x14ac:dyDescent="0.25">
      <c r="A1370" t="s">
        <v>2397</v>
      </c>
      <c r="B1370" t="s">
        <v>2463</v>
      </c>
      <c r="C1370">
        <v>2022</v>
      </c>
      <c r="E1370" s="10" t="s">
        <v>2466</v>
      </c>
    </row>
    <row r="1371" spans="1:5" x14ac:dyDescent="0.25">
      <c r="A1371" t="s">
        <v>185</v>
      </c>
      <c r="B1371" t="s">
        <v>2463</v>
      </c>
      <c r="C1371">
        <v>2022</v>
      </c>
      <c r="E1371" s="10" t="s">
        <v>2466</v>
      </c>
    </row>
    <row r="1372" spans="1:5" x14ac:dyDescent="0.25">
      <c r="A1372" t="s">
        <v>2192</v>
      </c>
      <c r="B1372" t="s">
        <v>2463</v>
      </c>
      <c r="C1372">
        <v>2022</v>
      </c>
      <c r="E1372" s="10" t="s">
        <v>2466</v>
      </c>
    </row>
    <row r="1373" spans="1:5" x14ac:dyDescent="0.25">
      <c r="A1373" t="s">
        <v>2410</v>
      </c>
      <c r="B1373" t="s">
        <v>2463</v>
      </c>
      <c r="C1373">
        <v>2022</v>
      </c>
      <c r="E1373" s="10" t="s">
        <v>2466</v>
      </c>
    </row>
    <row r="1374" spans="1:5" x14ac:dyDescent="0.25">
      <c r="A1374" t="s">
        <v>2828</v>
      </c>
      <c r="B1374" t="s">
        <v>2463</v>
      </c>
      <c r="C1374">
        <v>2022</v>
      </c>
      <c r="E1374" s="10" t="s">
        <v>2466</v>
      </c>
    </row>
    <row r="1375" spans="1:5" x14ac:dyDescent="0.25">
      <c r="A1375" t="s">
        <v>457</v>
      </c>
      <c r="B1375" t="s">
        <v>2463</v>
      </c>
      <c r="C1375">
        <v>2022</v>
      </c>
      <c r="E1375" s="10" t="s">
        <v>2466</v>
      </c>
    </row>
    <row r="1376" spans="1:5" x14ac:dyDescent="0.25">
      <c r="A1376" t="s">
        <v>1843</v>
      </c>
      <c r="B1376" t="s">
        <v>2463</v>
      </c>
      <c r="C1376">
        <v>2019</v>
      </c>
      <c r="E1376" s="10" t="s">
        <v>2466</v>
      </c>
    </row>
    <row r="1377" spans="1:5" x14ac:dyDescent="0.25">
      <c r="A1377" t="s">
        <v>8388</v>
      </c>
      <c r="B1377" t="s">
        <v>2463</v>
      </c>
      <c r="C1377">
        <v>2022</v>
      </c>
      <c r="E1377" s="10" t="s">
        <v>2466</v>
      </c>
    </row>
    <row r="1378" spans="1:5" x14ac:dyDescent="0.25">
      <c r="A1378" t="s">
        <v>2804</v>
      </c>
      <c r="B1378" t="s">
        <v>8388</v>
      </c>
      <c r="C1378">
        <v>2021</v>
      </c>
      <c r="E1378" t="s">
        <v>3013</v>
      </c>
    </row>
    <row r="1379" spans="1:5" x14ac:dyDescent="0.25">
      <c r="A1379" t="s">
        <v>873</v>
      </c>
      <c r="B1379" t="s">
        <v>2924</v>
      </c>
      <c r="C1379">
        <v>2019</v>
      </c>
      <c r="E1379" s="10" t="s">
        <v>8391</v>
      </c>
    </row>
    <row r="1380" spans="1:5" x14ac:dyDescent="0.25">
      <c r="A1380" t="s">
        <v>2365</v>
      </c>
      <c r="B1380" t="s">
        <v>8393</v>
      </c>
      <c r="C1380">
        <v>2023</v>
      </c>
      <c r="D1380" t="s">
        <v>187</v>
      </c>
    </row>
    <row r="1381" spans="1:5" x14ac:dyDescent="0.25">
      <c r="A1381" t="s">
        <v>2481</v>
      </c>
      <c r="B1381" t="s">
        <v>2648</v>
      </c>
      <c r="C1381">
        <v>2020</v>
      </c>
      <c r="E1381" s="10" t="s">
        <v>8396</v>
      </c>
    </row>
    <row r="1382" spans="1:5" x14ac:dyDescent="0.25">
      <c r="A1382" t="s">
        <v>2099</v>
      </c>
      <c r="B1382" t="s">
        <v>2698</v>
      </c>
      <c r="C1382">
        <v>2021</v>
      </c>
      <c r="E1382" s="10" t="s">
        <v>8397</v>
      </c>
    </row>
    <row r="1383" spans="1:5" x14ac:dyDescent="0.25">
      <c r="A1383" t="s">
        <v>2136</v>
      </c>
      <c r="B1383" t="s">
        <v>2397</v>
      </c>
      <c r="C1383">
        <v>2020</v>
      </c>
      <c r="E1383" s="10" t="s">
        <v>8398</v>
      </c>
    </row>
    <row r="1384" spans="1:5" x14ac:dyDescent="0.25">
      <c r="A1384" t="s">
        <v>2146</v>
      </c>
      <c r="B1384" t="s">
        <v>774</v>
      </c>
      <c r="C1384">
        <v>2020</v>
      </c>
      <c r="E1384" s="10" t="s">
        <v>8399</v>
      </c>
    </row>
    <row r="1385" spans="1:5" x14ac:dyDescent="0.25">
      <c r="A1385" t="s">
        <v>2775</v>
      </c>
      <c r="B1385" t="s">
        <v>942</v>
      </c>
      <c r="C1385">
        <v>2021</v>
      </c>
      <c r="E1385" s="10" t="s">
        <v>8400</v>
      </c>
    </row>
    <row r="1386" spans="1:5" x14ac:dyDescent="0.25">
      <c r="A1386" t="s">
        <v>2225</v>
      </c>
      <c r="B1386" t="s">
        <v>2260</v>
      </c>
      <c r="C1386">
        <v>2021</v>
      </c>
      <c r="E1386" s="10" t="s">
        <v>8401</v>
      </c>
    </row>
    <row r="1387" spans="1:5" x14ac:dyDescent="0.25">
      <c r="A1387" t="s">
        <v>90</v>
      </c>
      <c r="B1387" t="s">
        <v>2510</v>
      </c>
      <c r="C1387">
        <v>2017</v>
      </c>
      <c r="E1387" s="10" t="s">
        <v>8402</v>
      </c>
    </row>
    <row r="1388" spans="1:5" x14ac:dyDescent="0.25">
      <c r="A1388" t="s">
        <v>1761</v>
      </c>
      <c r="B1388" t="s">
        <v>1653</v>
      </c>
      <c r="C1388">
        <v>1995</v>
      </c>
      <c r="E1388" s="10" t="s">
        <v>8403</v>
      </c>
    </row>
    <row r="1389" spans="1:5" x14ac:dyDescent="0.25">
      <c r="A1389" t="s">
        <v>1294</v>
      </c>
      <c r="B1389" t="s">
        <v>1645</v>
      </c>
      <c r="C1389">
        <v>2019</v>
      </c>
      <c r="E1389" s="10" t="s">
        <v>8404</v>
      </c>
    </row>
    <row r="1390" spans="1:5" x14ac:dyDescent="0.25">
      <c r="A1390" t="s">
        <v>924</v>
      </c>
      <c r="B1390" t="s">
        <v>8406</v>
      </c>
      <c r="C1390">
        <v>2019</v>
      </c>
      <c r="E1390" s="10" t="s">
        <v>8405</v>
      </c>
    </row>
    <row r="1391" spans="1:5" x14ac:dyDescent="0.25">
      <c r="A1391" t="s">
        <v>8407</v>
      </c>
      <c r="B1391" t="s">
        <v>8406</v>
      </c>
      <c r="C1391">
        <v>2018</v>
      </c>
      <c r="D1391" t="s">
        <v>187</v>
      </c>
    </row>
    <row r="1392" spans="1:5" x14ac:dyDescent="0.25">
      <c r="A1392" t="s">
        <v>1435</v>
      </c>
      <c r="B1392" t="s">
        <v>1532</v>
      </c>
      <c r="C1392">
        <v>2021</v>
      </c>
      <c r="E1392" s="10" t="s">
        <v>8410</v>
      </c>
    </row>
    <row r="1393" spans="1:5" x14ac:dyDescent="0.25">
      <c r="A1393" t="s">
        <v>1144</v>
      </c>
      <c r="B1393" t="s">
        <v>1265</v>
      </c>
      <c r="C1393">
        <v>2012</v>
      </c>
      <c r="E1393" s="10" t="s">
        <v>8411</v>
      </c>
    </row>
    <row r="1394" spans="1:5" x14ac:dyDescent="0.25">
      <c r="A1394" t="s">
        <v>2428</v>
      </c>
      <c r="B1394" t="s">
        <v>1265</v>
      </c>
      <c r="C1394">
        <v>2008</v>
      </c>
      <c r="E1394" s="10" t="s">
        <v>8411</v>
      </c>
    </row>
    <row r="1395" spans="1:5" x14ac:dyDescent="0.25">
      <c r="A1395" t="s">
        <v>2428</v>
      </c>
      <c r="B1395" t="s">
        <v>2073</v>
      </c>
      <c r="C1395">
        <v>2008</v>
      </c>
      <c r="E1395" s="10" t="s">
        <v>8412</v>
      </c>
    </row>
    <row r="1396" spans="1:5" x14ac:dyDescent="0.25">
      <c r="A1396" t="s">
        <v>1795</v>
      </c>
      <c r="B1396" t="s">
        <v>2073</v>
      </c>
      <c r="C1396">
        <v>1987</v>
      </c>
      <c r="E1396" s="10" t="s">
        <v>8412</v>
      </c>
    </row>
    <row r="1397" spans="1:5" x14ac:dyDescent="0.25">
      <c r="A1397" t="s">
        <v>2874</v>
      </c>
      <c r="B1397" t="s">
        <v>1144</v>
      </c>
      <c r="C1397">
        <v>2005</v>
      </c>
      <c r="E1397" s="10" t="s">
        <v>8413</v>
      </c>
    </row>
    <row r="1398" spans="1:5" x14ac:dyDescent="0.25">
      <c r="A1398" t="s">
        <v>1004</v>
      </c>
      <c r="B1398" t="s">
        <v>553</v>
      </c>
      <c r="C1398">
        <v>2006</v>
      </c>
      <c r="E1398" s="10" t="s">
        <v>8414</v>
      </c>
    </row>
    <row r="1399" spans="1:5" x14ac:dyDescent="0.25">
      <c r="A1399" t="s">
        <v>2154</v>
      </c>
      <c r="B1399" t="s">
        <v>2788</v>
      </c>
      <c r="C1399">
        <v>1980</v>
      </c>
      <c r="E1399" s="10" t="s">
        <v>8415</v>
      </c>
    </row>
    <row r="1400" spans="1:5" x14ac:dyDescent="0.25">
      <c r="A1400" t="s">
        <v>1795</v>
      </c>
      <c r="B1400" t="s">
        <v>2788</v>
      </c>
      <c r="C1400">
        <v>1987</v>
      </c>
      <c r="E1400" s="10" t="s">
        <v>8415</v>
      </c>
    </row>
    <row r="1401" spans="1:5" x14ac:dyDescent="0.25">
      <c r="A1401" t="s">
        <v>1046</v>
      </c>
      <c r="B1401" t="s">
        <v>1787</v>
      </c>
      <c r="C1401">
        <v>2016</v>
      </c>
      <c r="E1401" s="10" t="s">
        <v>8416</v>
      </c>
    </row>
    <row r="1402" spans="1:5" x14ac:dyDescent="0.25">
      <c r="A1402" t="s">
        <v>759</v>
      </c>
      <c r="B1402" t="s">
        <v>1787</v>
      </c>
      <c r="C1402">
        <v>2018</v>
      </c>
      <c r="E1402" s="10" t="s">
        <v>8416</v>
      </c>
    </row>
    <row r="1403" spans="1:5" x14ac:dyDescent="0.25">
      <c r="A1403" t="s">
        <v>1855</v>
      </c>
      <c r="B1403" t="s">
        <v>2414</v>
      </c>
      <c r="C1403">
        <v>2015</v>
      </c>
      <c r="E1403" s="10" t="s">
        <v>8417</v>
      </c>
    </row>
    <row r="1404" spans="1:5" x14ac:dyDescent="0.25">
      <c r="A1404" t="s">
        <v>1385</v>
      </c>
      <c r="B1404" t="s">
        <v>2414</v>
      </c>
      <c r="C1404">
        <v>2013</v>
      </c>
      <c r="E1404" s="10" t="s">
        <v>8417</v>
      </c>
    </row>
    <row r="1405" spans="1:5" x14ac:dyDescent="0.25">
      <c r="A1405" t="s">
        <v>2154</v>
      </c>
      <c r="B1405" t="s">
        <v>256</v>
      </c>
      <c r="C1405">
        <v>1980</v>
      </c>
      <c r="E1405" s="10" t="s">
        <v>8418</v>
      </c>
    </row>
    <row r="1406" spans="1:5" x14ac:dyDescent="0.25">
      <c r="A1406" t="s">
        <v>1795</v>
      </c>
      <c r="B1406" t="s">
        <v>256</v>
      </c>
      <c r="C1406">
        <v>1987</v>
      </c>
      <c r="E1406" s="10" t="s">
        <v>8418</v>
      </c>
    </row>
    <row r="1407" spans="1:5" x14ac:dyDescent="0.25">
      <c r="A1407" t="s">
        <v>2954</v>
      </c>
      <c r="B1407" t="s">
        <v>1413</v>
      </c>
      <c r="C1407">
        <v>2014</v>
      </c>
      <c r="E1407" s="10" t="s">
        <v>8419</v>
      </c>
    </row>
    <row r="1408" spans="1:5" x14ac:dyDescent="0.25">
      <c r="A1408" t="s">
        <v>1046</v>
      </c>
      <c r="B1408" t="s">
        <v>1413</v>
      </c>
      <c r="C1408">
        <v>2016</v>
      </c>
      <c r="E1408" s="10" t="s">
        <v>8420</v>
      </c>
    </row>
    <row r="1409" spans="1:5" x14ac:dyDescent="0.25">
      <c r="A1409" t="s">
        <v>2428</v>
      </c>
      <c r="B1409" t="s">
        <v>1413</v>
      </c>
      <c r="C1409">
        <v>2008</v>
      </c>
      <c r="E1409" s="10" t="s">
        <v>8420</v>
      </c>
    </row>
    <row r="1410" spans="1:5" x14ac:dyDescent="0.25">
      <c r="A1410" t="s">
        <v>1144</v>
      </c>
      <c r="B1410" t="s">
        <v>1855</v>
      </c>
      <c r="C1410">
        <v>2012</v>
      </c>
      <c r="E1410" s="10" t="s">
        <v>8421</v>
      </c>
    </row>
    <row r="1411" spans="1:5" x14ac:dyDescent="0.25">
      <c r="A1411" t="s">
        <v>2428</v>
      </c>
      <c r="B1411" t="s">
        <v>1855</v>
      </c>
      <c r="C1411">
        <v>2008</v>
      </c>
      <c r="E1411" s="10" t="s">
        <v>8421</v>
      </c>
    </row>
    <row r="1412" spans="1:5" x14ac:dyDescent="0.25">
      <c r="A1412" t="s">
        <v>160</v>
      </c>
      <c r="B1412" t="s">
        <v>1855</v>
      </c>
      <c r="C1412">
        <v>2011</v>
      </c>
      <c r="E1412" s="10" t="s">
        <v>8421</v>
      </c>
    </row>
    <row r="1413" spans="1:5" x14ac:dyDescent="0.25">
      <c r="A1413" t="s">
        <v>497</v>
      </c>
      <c r="B1413" t="s">
        <v>2800</v>
      </c>
      <c r="C1413">
        <v>2022</v>
      </c>
      <c r="E1413" s="10" t="s">
        <v>8422</v>
      </c>
    </row>
    <row r="1414" spans="1:5" x14ac:dyDescent="0.25">
      <c r="A1414" t="s">
        <v>2397</v>
      </c>
      <c r="B1414" t="s">
        <v>2800</v>
      </c>
      <c r="C1414">
        <v>2022</v>
      </c>
      <c r="E1414" s="10" t="s">
        <v>8422</v>
      </c>
    </row>
    <row r="1415" spans="1:5" x14ac:dyDescent="0.25">
      <c r="A1415" t="s">
        <v>1046</v>
      </c>
      <c r="B1415" t="s">
        <v>1933</v>
      </c>
      <c r="C1415">
        <v>2016</v>
      </c>
      <c r="E1415" s="10" t="s">
        <v>8423</v>
      </c>
    </row>
    <row r="1416" spans="1:5" x14ac:dyDescent="0.25">
      <c r="A1416" t="s">
        <v>873</v>
      </c>
      <c r="B1416" t="s">
        <v>2385</v>
      </c>
      <c r="C1416">
        <v>2019</v>
      </c>
      <c r="E1416" s="10" t="s">
        <v>8424</v>
      </c>
    </row>
    <row r="1417" spans="1:5" x14ac:dyDescent="0.25">
      <c r="A1417" t="s">
        <v>1435</v>
      </c>
      <c r="B1417" t="s">
        <v>2385</v>
      </c>
      <c r="C1417">
        <v>2021</v>
      </c>
      <c r="E1417" s="10" t="s">
        <v>8424</v>
      </c>
    </row>
    <row r="1418" spans="1:5" x14ac:dyDescent="0.25">
      <c r="A1418" t="s">
        <v>1046</v>
      </c>
      <c r="B1418" t="s">
        <v>557</v>
      </c>
      <c r="C1418">
        <v>2016</v>
      </c>
      <c r="E1418" s="10" t="s">
        <v>8425</v>
      </c>
    </row>
    <row r="1419" spans="1:5" x14ac:dyDescent="0.25">
      <c r="A1419" t="s">
        <v>1882</v>
      </c>
      <c r="B1419" t="s">
        <v>553</v>
      </c>
      <c r="C1419">
        <v>1987</v>
      </c>
      <c r="E1419" s="10" t="s">
        <v>8426</v>
      </c>
    </row>
    <row r="1420" spans="1:5" x14ac:dyDescent="0.25">
      <c r="A1420" t="s">
        <v>914</v>
      </c>
      <c r="B1420" t="s">
        <v>2502</v>
      </c>
      <c r="C1420">
        <v>2013</v>
      </c>
      <c r="E1420" s="10" t="s">
        <v>8427</v>
      </c>
    </row>
    <row r="1421" spans="1:5" x14ac:dyDescent="0.25">
      <c r="A1421" t="s">
        <v>1882</v>
      </c>
      <c r="B1421" t="s">
        <v>522</v>
      </c>
      <c r="C1421">
        <v>1987</v>
      </c>
      <c r="E1421" s="10" t="s">
        <v>8428</v>
      </c>
    </row>
    <row r="1422" spans="1:5" x14ac:dyDescent="0.25">
      <c r="A1422" t="s">
        <v>1795</v>
      </c>
      <c r="B1422" t="s">
        <v>522</v>
      </c>
      <c r="C1422">
        <v>1987</v>
      </c>
      <c r="E1422" s="10" t="s">
        <v>8428</v>
      </c>
    </row>
    <row r="1423" spans="1:5" x14ac:dyDescent="0.25">
      <c r="A1423" t="s">
        <v>1523</v>
      </c>
      <c r="B1423" t="s">
        <v>522</v>
      </c>
      <c r="C1423">
        <v>1986</v>
      </c>
      <c r="E1423" s="10" t="s">
        <v>8428</v>
      </c>
    </row>
    <row r="1424" spans="1:5" x14ac:dyDescent="0.25">
      <c r="A1424" t="s">
        <v>2095</v>
      </c>
      <c r="B1424" t="s">
        <v>8430</v>
      </c>
      <c r="C1424">
        <v>2023</v>
      </c>
      <c r="E1424" s="10" t="s">
        <v>8429</v>
      </c>
    </row>
    <row r="1425" spans="1:5" x14ac:dyDescent="0.25">
      <c r="A1425" t="s">
        <v>1454</v>
      </c>
      <c r="B1425" t="s">
        <v>8430</v>
      </c>
      <c r="C1425">
        <v>2001</v>
      </c>
      <c r="E1425" s="10" t="s">
        <v>8429</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8" r:id="rId673" xr:uid="{00000000-0004-0000-0100-0000A2020000}"/>
    <hyperlink ref="E1270" r:id="rId674" xr:uid="{00000000-0004-0000-0100-0000A3020000}"/>
    <hyperlink ref="E1272" r:id="rId675" xr:uid="{00000000-0004-0000-0100-0000A4020000}"/>
    <hyperlink ref="E1282" r:id="rId676" location=":~:text=Runs%20in%20Whisker%20Squadron:%20Survivor,to%20engage%20the%20boost%20thrusters." xr:uid="{00000000-0004-0000-0100-0000A5020000}"/>
    <hyperlink ref="E1293" r:id="rId677" xr:uid="{00000000-0004-0000-0100-0000A6020000}"/>
    <hyperlink ref="E1294" r:id="rId678" xr:uid="{00000000-0004-0000-0100-0000A7020000}"/>
    <hyperlink ref="E1295" r:id="rId679" xr:uid="{00000000-0004-0000-0100-0000A8020000}"/>
    <hyperlink ref="E1299" r:id="rId680" xr:uid="{00000000-0004-0000-0100-0000A9020000}"/>
    <hyperlink ref="E1300" r:id="rId681" xr:uid="{00000000-0004-0000-0100-0000AA020000}"/>
    <hyperlink ref="E1301" r:id="rId682" xr:uid="{00000000-0004-0000-0100-0000AB020000}"/>
    <hyperlink ref="E1302" r:id="rId683" location=":~:text=Vellum's%20Inspirations,chapter%20of%20the%20original%20series." xr:uid="{00000000-0004-0000-0100-0000AC020000}"/>
    <hyperlink ref="E587" r:id="rId684" xr:uid="{DC257F92-B893-4A80-84AF-3BA7F10C76A1}"/>
    <hyperlink ref="E74" r:id="rId685" xr:uid="{7306A171-7F4B-47C2-B91E-E6BB1E82D970}"/>
    <hyperlink ref="E154" r:id="rId686" xr:uid="{9998D6E1-A959-4C80-BCA2-BE69C5A7A99B}"/>
    <hyperlink ref="E5" r:id="rId687" xr:uid="{B9E4EED7-E892-464F-9EBD-AA4E7BD71993}"/>
    <hyperlink ref="E1122" r:id="rId688" xr:uid="{B56B3719-2C0F-4F11-9155-40E4DB5FD2F2}"/>
    <hyperlink ref="E178" r:id="rId689" xr:uid="{3273FC85-56B0-4591-95CD-373A480AC68B}"/>
    <hyperlink ref="E123" r:id="rId690" xr:uid="{3264C784-5E91-4DBF-993E-1FEF95430F6C}"/>
    <hyperlink ref="E605" r:id="rId691" xr:uid="{8F547E23-D0FA-4AF7-B467-053D4459C3E3}"/>
    <hyperlink ref="E262" r:id="rId692" xr:uid="{2EDB5F00-8479-4A8F-BB77-B6BDE0431C57}"/>
    <hyperlink ref="E260" r:id="rId693" xr:uid="{D89045FC-4BEC-49BE-8903-287735AA0711}"/>
    <hyperlink ref="E1055" r:id="rId694" xr:uid="{17049E58-CC8C-463C-9767-C1A2569408D4}"/>
    <hyperlink ref="E119" r:id="rId695" xr:uid="{B62B2547-7D21-4B1B-94F2-4AFC24DACA33}"/>
    <hyperlink ref="E695" r:id="rId696" xr:uid="{234AA154-DC6F-4634-8B71-CC47EBBC5B91}"/>
    <hyperlink ref="E1052" r:id="rId697" xr:uid="{756853BF-0C1D-4493-A2E8-263710241BDE}"/>
    <hyperlink ref="E578" r:id="rId698" xr:uid="{1B3C08D6-6EDC-4ADD-BB77-852F9AAA6A80}"/>
    <hyperlink ref="E476" r:id="rId699" xr:uid="{CA2B30A3-EBB5-47EB-A4E7-44FF06BC11B7}"/>
    <hyperlink ref="E1210" r:id="rId700" xr:uid="{AD1A4BDA-AB26-44FB-977C-6D4B0B1D0018}"/>
    <hyperlink ref="E1280" r:id="rId701" xr:uid="{A51A4A30-5304-4DC4-8375-CC026AF08628}"/>
    <hyperlink ref="E64" r:id="rId702" xr:uid="{4C958F54-1C40-43A7-92EF-A9310F99312E}"/>
    <hyperlink ref="E428" r:id="rId703" xr:uid="{C119554A-953F-485E-9B46-A70B4EB12957}"/>
    <hyperlink ref="E1131" r:id="rId704" xr:uid="{1ABE2D94-FE62-43D5-8CEE-063DFE0E2DAA}"/>
    <hyperlink ref="E817" r:id="rId705" xr:uid="{7C8D1E95-463B-4139-B901-2361FC6FBF28}"/>
    <hyperlink ref="E901" r:id="rId706" xr:uid="{F1783B7A-9900-4667-B9BB-65FBD38E7C11}"/>
    <hyperlink ref="E686" r:id="rId707" xr:uid="{2ACB47B8-071E-42EF-B4CC-D5635A151212}"/>
    <hyperlink ref="E778" r:id="rId708" xr:uid="{FAE39DDD-5E06-4849-9826-36858752CACC}"/>
    <hyperlink ref="E452" r:id="rId709" xr:uid="{56EFD205-F197-49E0-959D-67AE62661490}"/>
    <hyperlink ref="E500" r:id="rId710" xr:uid="{62145C9D-17FD-49E4-91A9-15463C8D4953}"/>
    <hyperlink ref="E285" r:id="rId711" xr:uid="{9441C145-D2B7-4DDC-966C-EEF4E3AB0D09}"/>
    <hyperlink ref="E379" r:id="rId712" xr:uid="{B8B18927-8DBA-4A3C-8766-2BA089C10618}"/>
    <hyperlink ref="E276" r:id="rId713" xr:uid="{E1E9E0DE-0275-4E22-B235-2D70703E5EF6}"/>
    <hyperlink ref="E787" r:id="rId714" xr:uid="{C64C902E-5CF7-473F-9209-D3742DCCF37C}"/>
    <hyperlink ref="E649" r:id="rId715" xr:uid="{4EB89765-CE1B-453D-AE3B-8A2E8F62FAD6}"/>
    <hyperlink ref="E265" r:id="rId716" xr:uid="{C9381C14-D9BA-490C-B78E-D8D7978D4295}"/>
    <hyperlink ref="E1256" r:id="rId717" xr:uid="{5D6A7A9E-8E93-4677-B335-07D810F5F2CE}"/>
    <hyperlink ref="E771" r:id="rId718" xr:uid="{02E4BCE0-E5A5-438F-BAA4-3B55B72ABA69}"/>
    <hyperlink ref="E520" r:id="rId719" xr:uid="{F9C0DC33-F291-48A5-BAA6-CD749F38B8F7}"/>
    <hyperlink ref="E1253" r:id="rId720" xr:uid="{C6DAE36B-9FFF-40F4-A975-40308D682ABB}"/>
    <hyperlink ref="E952" r:id="rId721" xr:uid="{A28AAA5F-E3AF-4CB4-AC75-ED4C73D4241A}"/>
    <hyperlink ref="E541" r:id="rId722" xr:uid="{684CF565-3C19-420F-ABEF-80608A7964D0}"/>
    <hyperlink ref="E1076" r:id="rId723" xr:uid="{C3ACE80B-944E-4458-A021-866DA3743B12}"/>
    <hyperlink ref="E1292" r:id="rId724" xr:uid="{70D4547A-51BA-461F-AD30-640DF48CD22D}"/>
    <hyperlink ref="E762" r:id="rId725" xr:uid="{78E56607-57DD-4F76-9014-6DBAEEDF827E}"/>
    <hyperlink ref="E780" r:id="rId726" xr:uid="{7341875F-BDED-41CC-B25D-136FCED18006}"/>
    <hyperlink ref="E455" r:id="rId727" xr:uid="{E0D4E947-25EC-492F-BC8B-0B1CBC953CF7}"/>
    <hyperlink ref="E289" r:id="rId728" xr:uid="{4F24E171-1AF4-474B-B100-D115B2BFEE71}"/>
    <hyperlink ref="E514" r:id="rId729" xr:uid="{4A06958D-32E3-4D6F-858C-3E2C787D20FD}"/>
    <hyperlink ref="E1236" r:id="rId730" location="c842879193508275230" xr:uid="{F47CC886-9EFA-4939-8863-C8F17F77FDAD}"/>
    <hyperlink ref="E971" r:id="rId731" xr:uid="{3AB3A00F-98CF-4435-8833-0A851E2C073C}"/>
    <hyperlink ref="E683" r:id="rId732" xr:uid="{C406D397-30DB-48EC-8075-D7B6C232C5C8}"/>
    <hyperlink ref="E127" r:id="rId733" xr:uid="{007CFBC1-8CEA-4212-B4F0-0FF066C08E2A}"/>
    <hyperlink ref="E82" r:id="rId734" xr:uid="{C5B07F6A-C6B6-4369-9FE3-E7625C1D2C8A}"/>
    <hyperlink ref="E89" r:id="rId735" xr:uid="{9003B96D-F683-49D5-81C9-E8A2CCEE4A21}"/>
    <hyperlink ref="E91" r:id="rId736" xr:uid="{400C9351-54FE-4B8D-9B9A-0B0C219C35CE}"/>
    <hyperlink ref="E128" r:id="rId737" xr:uid="{760CA5D1-BE1A-4AFE-8811-4667F5691EB8}"/>
    <hyperlink ref="E83" r:id="rId738" xr:uid="{F9FC197E-E9FE-4CD7-ADA1-1321F785AE10}"/>
    <hyperlink ref="E90" r:id="rId739" xr:uid="{D37D4B00-C269-473F-A26C-3D2E87C1AAC1}"/>
    <hyperlink ref="E92" r:id="rId740" xr:uid="{ABDDBD02-2EC2-49CC-B72B-4F6636A8E145}"/>
    <hyperlink ref="E794" r:id="rId741" xr:uid="{ED53DE22-9D86-4500-B1B3-6F8BDF546600}"/>
    <hyperlink ref="E1267" r:id="rId742" xr:uid="{9B852CA2-E54A-49EA-8814-23E1B14CD3C1}"/>
    <hyperlink ref="E287" r:id="rId743" xr:uid="{94E018E0-042D-408B-9779-5894F881B159}"/>
    <hyperlink ref="E306" r:id="rId744" xr:uid="{B5B7069D-BF7F-482C-915D-665DFFD3BABF}"/>
    <hyperlink ref="E224" r:id="rId745" xr:uid="{396298D9-2ACA-4C5D-B2C6-C5EE2CDEFB0B}"/>
    <hyperlink ref="E448" r:id="rId746" xr:uid="{FAF1DFA1-959D-4AEE-BB2F-EA12E94967CF}"/>
    <hyperlink ref="E504" r:id="rId747" xr:uid="{EC4E5489-3B8D-43C5-BF19-2C2EA22E2606}"/>
    <hyperlink ref="E203" r:id="rId748" xr:uid="{C2596C1D-9A69-44EE-BF12-80C2168233D1}"/>
    <hyperlink ref="E544" r:id="rId749" xr:uid="{F621E8F5-0491-493D-B769-B7CD77BC5B23}"/>
    <hyperlink ref="E564" r:id="rId750" xr:uid="{4127133D-D589-4277-AA21-D2599470279E}"/>
    <hyperlink ref="E995" r:id="rId751" xr:uid="{34B7B3C3-0C4A-46CD-92BB-6FF3B597AAD7}"/>
    <hyperlink ref="E153" r:id="rId752" xr:uid="{E49398C4-F888-4174-851D-12018E96BA3D}"/>
    <hyperlink ref="E1305" r:id="rId753" xr:uid="{9139EA07-E310-4E9B-ABA2-63D541902482}"/>
    <hyperlink ref="E1310" r:id="rId754" xr:uid="{76A98E02-4371-4D92-BF10-7771BDF4B0F6}"/>
    <hyperlink ref="E1311" r:id="rId755" xr:uid="{8AB47C2C-DCB0-459E-AB93-D035E87D88FF}"/>
    <hyperlink ref="E1312" r:id="rId756" xr:uid="{FBD758DD-5EB8-4F17-834D-B309931C342F}"/>
    <hyperlink ref="E1313" r:id="rId757" xr:uid="{C357B225-7211-4499-8BFB-A49F13205C07}"/>
    <hyperlink ref="E1314" r:id="rId758" xr:uid="{00F517EE-3EC6-4A52-8DFC-A393770262A5}"/>
    <hyperlink ref="E1315" r:id="rId759" xr:uid="{0E72ABCF-08D0-4F45-A663-49A14B6D3325}"/>
    <hyperlink ref="E1316" r:id="rId760" xr:uid="{11C937CA-10C7-48B7-AC81-1843474BD01D}"/>
    <hyperlink ref="E1317" r:id="rId761" xr:uid="{FD39470D-1885-4635-9DE7-3856687F8611}"/>
    <hyperlink ref="E1318" r:id="rId762" xr:uid="{B4C62739-016F-4CAE-877E-BF3AEB7ADA8F}"/>
    <hyperlink ref="E1319" r:id="rId763" xr:uid="{09DF1C7B-5846-4CAD-A11F-2136F1192AF6}"/>
    <hyperlink ref="E1320" r:id="rId764" xr:uid="{CBC0B082-DD9E-43F8-A179-EB2FFD643FC6}"/>
    <hyperlink ref="E1321" r:id="rId765" xr:uid="{5B454A0F-BECB-457F-91B8-ABBCD80D5EE9}"/>
    <hyperlink ref="E1322" r:id="rId766" xr:uid="{70D922DB-1822-47F7-8B64-F66186EE28F1}"/>
    <hyperlink ref="E1323" r:id="rId767" xr:uid="{0DAEA923-B4B1-4CE6-AB24-DD07A4C5365C}"/>
    <hyperlink ref="E1324" r:id="rId768" xr:uid="{95BE4862-33A9-41C4-8487-E447A22797B8}"/>
    <hyperlink ref="E1325" r:id="rId769" xr:uid="{5D7AF87A-D596-4C40-8C0F-2F19514A0A9D}"/>
    <hyperlink ref="E1326" r:id="rId770" xr:uid="{3914E137-AC2F-4C98-A6AB-2D587913BF39}"/>
    <hyperlink ref="E1327" r:id="rId771" xr:uid="{84ADC6BC-5F07-417B-9B2B-58031F51D973}"/>
    <hyperlink ref="E1328" r:id="rId772" xr:uid="{4F864965-905D-417C-B363-49B2D25D94EC}"/>
    <hyperlink ref="E1329" r:id="rId773" xr:uid="{CA9C0EC1-29DC-44CD-B0A4-2A7DDED681BC}"/>
    <hyperlink ref="E1331" r:id="rId774" xr:uid="{785E53CE-FB4B-4280-B57B-EE316B786B50}"/>
    <hyperlink ref="E1332" r:id="rId775" xr:uid="{0A8F7EBD-A01D-4336-ADAF-3E8859ED6C33}"/>
    <hyperlink ref="E1333" r:id="rId776" xr:uid="{925C99C9-F4C2-4063-9736-FCABD2EEBF72}"/>
    <hyperlink ref="E1334" r:id="rId777" xr:uid="{9699B4B8-EC77-439B-95B7-F7574579CD6B}"/>
    <hyperlink ref="E1335" r:id="rId778" xr:uid="{8BBD1517-1DCE-403B-8565-4BFD22DDFA25}"/>
    <hyperlink ref="E1336" r:id="rId779" xr:uid="{3FA28012-FC78-4A3F-86BA-7FA7BE001059}"/>
    <hyperlink ref="E1337" r:id="rId780" xr:uid="{63657D3F-DEFB-4369-85C3-789E96AA8DA6}"/>
    <hyperlink ref="E1338" r:id="rId781" xr:uid="{47813FC8-AFE1-427F-AE89-3CCA78408CDC}"/>
    <hyperlink ref="E1339" r:id="rId782" xr:uid="{8EE78B8A-CFD9-4BD2-BF05-F408D13A3E25}"/>
    <hyperlink ref="E1340" r:id="rId783" xr:uid="{7A6842FA-45F0-40DD-BE37-924F321DF9C9}"/>
    <hyperlink ref="E1341" r:id="rId784" xr:uid="{4E0E38B3-9659-4837-A810-D00636B0F10E}"/>
    <hyperlink ref="E1342" r:id="rId785" xr:uid="{3EE1E877-C07F-4E95-9F44-3EDCCAF9EBFB}"/>
    <hyperlink ref="E65" r:id="rId786" xr:uid="{DFD5D4A8-7664-41B0-9962-1C8FEF851212}"/>
    <hyperlink ref="E1343" r:id="rId787" xr:uid="{9629D6C9-CF08-4AC0-8B04-519412692BBD}"/>
    <hyperlink ref="E1344" r:id="rId788" xr:uid="{4295EFFB-07CE-41CD-A14C-BB24DAE390ED}"/>
    <hyperlink ref="E1345" r:id="rId789" xr:uid="{9B4A4D25-5438-41E3-ACD7-DD973CE47DD7}"/>
    <hyperlink ref="E1346" r:id="rId790" xr:uid="{BACCE9B6-8ECA-41FB-996C-80C0BBD415CD}"/>
    <hyperlink ref="E1347" r:id="rId791" xr:uid="{EA72B976-24C7-4518-87D0-8D6F01A0FB47}"/>
    <hyperlink ref="E1348" r:id="rId792" xr:uid="{FF59F731-3E2D-4AB5-89ED-B4165A50B489}"/>
    <hyperlink ref="E1349" r:id="rId793" xr:uid="{0A249B19-B1F8-4F67-9C2D-71FBBCA252A4}"/>
    <hyperlink ref="E1350" r:id="rId794" xr:uid="{12E79190-6A49-41BE-8F44-8CA69A0A8A44}"/>
    <hyperlink ref="E207" r:id="rId795" xr:uid="{E9B5AA31-7CD9-4E41-9454-B6162DBA1459}"/>
    <hyperlink ref="E1351" r:id="rId796" xr:uid="{726AE619-0F35-48FB-9070-2DCF26273A7E}"/>
    <hyperlink ref="E1352" r:id="rId797" xr:uid="{3296730B-09C4-46E7-9B11-07FEBF67FEB1}"/>
    <hyperlink ref="E1353" r:id="rId798" xr:uid="{8845AD77-949C-4FC1-9539-BD096F56CB51}"/>
    <hyperlink ref="E1354" r:id="rId799" xr:uid="{359A4A08-94B1-422A-9D9E-365B26FBDD74}"/>
    <hyperlink ref="E1228" r:id="rId800" xr:uid="{F9BEED06-E57B-48E9-ABF3-6585B5B3DD63}"/>
    <hyperlink ref="E1355" r:id="rId801" xr:uid="{B02B0A49-D286-479A-85A0-76A995A240D2}"/>
    <hyperlink ref="E1356" r:id="rId802" xr:uid="{07C49B31-0A15-4F18-8CE5-D295AAB93256}"/>
    <hyperlink ref="E1357" r:id="rId803" xr:uid="{B34B45B8-CB27-4006-8F1B-38115E7B81EE}"/>
    <hyperlink ref="E1358" r:id="rId804" xr:uid="{ABDD3C61-D776-44CB-8F85-C5D4E7AF66EF}"/>
    <hyperlink ref="E1359" r:id="rId805" xr:uid="{5D28E741-06CB-471F-AA5B-C6279839952F}"/>
    <hyperlink ref="E1360" r:id="rId806" xr:uid="{E4D6DAFF-DB98-4039-BDDF-E2905AEA2385}"/>
    <hyperlink ref="E1361" r:id="rId807" xr:uid="{79A1D462-8052-48AD-A68B-D0084DBAA7CF}"/>
    <hyperlink ref="E1362" r:id="rId808" xr:uid="{6C22384B-4E97-4E31-B844-A350F9331DF2}"/>
    <hyperlink ref="E1363" r:id="rId809" xr:uid="{1C3C92C2-D6A0-4FF2-825C-129534F4D777}"/>
    <hyperlink ref="E1364" r:id="rId810" xr:uid="{8F81F563-6034-417A-ADBA-73030B013656}"/>
    <hyperlink ref="E1365" r:id="rId811" xr:uid="{EECFB546-0535-4851-899A-9C580A482C6F}"/>
    <hyperlink ref="E1366" r:id="rId812" xr:uid="{CBC2BBAD-B637-4106-BCD6-E9E4C844256B}"/>
    <hyperlink ref="E1367" r:id="rId813" xr:uid="{1F25C809-BB94-4A11-937B-D24471D02480}"/>
    <hyperlink ref="E1258" r:id="rId814" xr:uid="{97D98395-3C28-4831-B9C4-7B4829982C41}"/>
    <hyperlink ref="E1368" r:id="rId815" xr:uid="{C0E7C7EF-C119-405A-AE69-5F625741B5F3}"/>
    <hyperlink ref="E1266" r:id="rId816" xr:uid="{FD983225-12F5-46E5-A904-A1A9774FC711}"/>
    <hyperlink ref="E1369" r:id="rId817" xr:uid="{7C2AF8B1-58BF-4182-B42A-0F6104811C8E}"/>
    <hyperlink ref="E1370" r:id="rId818" xr:uid="{F30E44C9-EDD2-4BB8-B6FA-25CAF04351F8}"/>
    <hyperlink ref="E1371" r:id="rId819" xr:uid="{F4ECDF04-F27A-4F84-8CB9-7356501E47FD}"/>
    <hyperlink ref="E1372" r:id="rId820" xr:uid="{08A19CA9-DB9A-4EE0-9B5B-D245133EE9B9}"/>
    <hyperlink ref="E1373" r:id="rId821" xr:uid="{65642D69-0458-4C57-8626-D97111EBF706}"/>
    <hyperlink ref="E1374" r:id="rId822" xr:uid="{0AE53E53-BBA4-453D-9A0C-99E74A37CA52}"/>
    <hyperlink ref="E1375" r:id="rId823" xr:uid="{47A80645-C8E0-457D-B80A-EC24FB351F8D}"/>
    <hyperlink ref="E1376" r:id="rId824" xr:uid="{0C918335-C59E-49B6-AA43-C0CD9D8C4CF8}"/>
    <hyperlink ref="E1377" r:id="rId825" xr:uid="{1CB6077E-3092-489F-9B0C-6BAB87F17770}"/>
    <hyperlink ref="E1379" r:id="rId826" xr:uid="{3599CE02-A1AD-432F-9855-98EFC546B7C0}"/>
    <hyperlink ref="E1261" r:id="rId827" xr:uid="{ECA9D5F3-38EC-498C-B3FC-78D322956F5C}"/>
    <hyperlink ref="E1381" r:id="rId828" xr:uid="{8076755B-565E-4386-9385-FC02DF98FC86}"/>
    <hyperlink ref="E1382" r:id="rId829" xr:uid="{7FF7EDF5-A200-4775-9665-1C31DEADB023}"/>
    <hyperlink ref="E1383" r:id="rId830" xr:uid="{B4062A1F-3513-4E54-9725-FE70A8E2102C}"/>
    <hyperlink ref="E1384" r:id="rId831" location="c591779267908675739" xr:uid="{8E09EE43-7AB1-4EFD-96D7-1D97BCB75A35}"/>
    <hyperlink ref="E1385" r:id="rId832" xr:uid="{7AE028C1-55B7-49AF-A33B-C95B2C367207}"/>
    <hyperlink ref="E1386" r:id="rId833" xr:uid="{6E425835-5875-41B2-97A4-FA58DA438409}"/>
    <hyperlink ref="E1387" r:id="rId834" xr:uid="{A9769E26-0749-461F-861E-611D6D59A357}"/>
    <hyperlink ref="E1388" r:id="rId835" xr:uid="{490B68C1-1A21-42E5-A4E5-45420F7FAE91}"/>
    <hyperlink ref="E1389" r:id="rId836" xr:uid="{B422FF40-64E0-4B24-8F53-496AF4717AFF}"/>
    <hyperlink ref="E1390" r:id="rId837" xr:uid="{616EFB2C-AC95-483E-A44D-39F69D8AAE04}"/>
    <hyperlink ref="E1392" r:id="rId838" xr:uid="{CF9B0B49-4BC6-4E6E-A28C-97AD2449D1F4}"/>
    <hyperlink ref="E1393" r:id="rId839" xr:uid="{CC3D205F-F4A2-4C98-812B-DFCFF767C3AE}"/>
    <hyperlink ref="E1394" r:id="rId840" xr:uid="{0F0790E3-9AC0-413F-984C-498AA74C3589}"/>
    <hyperlink ref="E1395" r:id="rId841" xr:uid="{8EF70CC2-1F7C-44FC-B27F-D40F33719C00}"/>
    <hyperlink ref="E1396" r:id="rId842" xr:uid="{2D78A1F7-4C7B-4BBB-81A4-11B12B8FADDA}"/>
    <hyperlink ref="E1397" r:id="rId843" xr:uid="{20287799-1A8F-4339-9E95-0AA01F352BD4}"/>
    <hyperlink ref="E1398" r:id="rId844" xr:uid="{CAFAA947-4D25-464D-B292-52BCA67FD2CF}"/>
    <hyperlink ref="E1399" r:id="rId845" xr:uid="{4AC722E2-BCE9-43C4-A80B-4BBCC96FDAEE}"/>
    <hyperlink ref="E1400" r:id="rId846" xr:uid="{96213E6F-FE44-40A6-807C-E0126EE2DDC9}"/>
    <hyperlink ref="E1401" r:id="rId847" xr:uid="{4F1594D2-3031-43C8-B872-3A5312FF9FDF}"/>
    <hyperlink ref="E1402" r:id="rId848" xr:uid="{676A4F1E-EFAA-4DDC-8D28-7E9C8508C7F1}"/>
    <hyperlink ref="E1403" r:id="rId849" xr:uid="{488C3614-7E9C-44DA-9CFF-02ED9DA6D335}"/>
    <hyperlink ref="E1404" r:id="rId850" xr:uid="{7B3BFBD2-3751-4A52-8F1F-FC662C98C177}"/>
    <hyperlink ref="E1405" r:id="rId851" xr:uid="{BFB33606-7E8A-49A2-9856-BB5128AD9376}"/>
    <hyperlink ref="E1406" r:id="rId852" xr:uid="{56249F62-B66B-48AF-9B7E-3D57F062A187}"/>
    <hyperlink ref="E1407" r:id="rId853" xr:uid="{275CD9A7-2606-4BD7-8AB4-6F7F649B0D82}"/>
    <hyperlink ref="E1408" r:id="rId854" xr:uid="{D782717C-86B3-4AB9-9BAE-50DC60637C21}"/>
    <hyperlink ref="E1409" r:id="rId855" xr:uid="{B4136A1E-1840-4253-B890-D50610D9B7FF}"/>
    <hyperlink ref="E1410" r:id="rId856" xr:uid="{F010C842-1A27-45E7-91BD-D6A667117A83}"/>
    <hyperlink ref="E1411" r:id="rId857" xr:uid="{7A735F72-FCBF-4C95-B717-33123075389C}"/>
    <hyperlink ref="E1412" r:id="rId858" xr:uid="{0DAFB786-CEC3-42A8-9F7A-4F3B58233AB6}"/>
    <hyperlink ref="E1413" r:id="rId859" xr:uid="{7647C012-527B-47FA-AA69-5F88131531AA}"/>
    <hyperlink ref="E1414" r:id="rId860" xr:uid="{466561B0-4A38-497E-9D82-476E22D32111}"/>
    <hyperlink ref="E1415" r:id="rId861" xr:uid="{1F54E98D-2D75-4E65-9A48-E714F01AAEAE}"/>
    <hyperlink ref="E1416" r:id="rId862" xr:uid="{C7A1DF84-E16D-4F1B-9452-9D09780CAB3C}"/>
    <hyperlink ref="E1417" r:id="rId863" xr:uid="{27E54E7F-D861-41B7-A5CB-0379F6FCE10A}"/>
    <hyperlink ref="E1418" r:id="rId864" xr:uid="{098EDA8A-FC68-4111-B577-99F1B304BAB2}"/>
    <hyperlink ref="E1419" r:id="rId865" xr:uid="{694E1CFD-5FA2-4B53-95A3-ED335D58CE37}"/>
    <hyperlink ref="E1420" r:id="rId866" xr:uid="{DC2E963B-8BB6-4612-927B-0C9EA135745A}"/>
    <hyperlink ref="E1421" r:id="rId867" xr:uid="{775D1500-27BD-4FBE-BB82-12C0B18B2018}"/>
    <hyperlink ref="E1422" r:id="rId868" xr:uid="{55744FEF-21E1-4B4A-BBEE-FD5B94DE8333}"/>
    <hyperlink ref="E1423" r:id="rId869" xr:uid="{22C5AEF3-D8A0-494C-9B46-B4D333E55377}"/>
    <hyperlink ref="E1424" r:id="rId870" xr:uid="{5D245017-B18B-409F-9B15-14C242BCD0D6}"/>
    <hyperlink ref="E1425" r:id="rId871" xr:uid="{851E31D8-E443-46B1-9D46-BF582D4B9332}"/>
  </hyperlinks>
  <pageMargins left="0.7" right="0.7" top="0.75" bottom="0.75" header="0.511811023622047" footer="0.511811023622047"/>
  <pageSetup orientation="portrait" horizontalDpi="300" verticalDpi="300"/>
  <tableParts count="1">
    <tablePart r:id="rId87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3444</v>
      </c>
      <c r="D1" t="s">
        <v>3445</v>
      </c>
      <c r="E1" t="s">
        <v>3446</v>
      </c>
      <c r="F1" t="s">
        <v>3447</v>
      </c>
      <c r="G1" t="s">
        <v>3448</v>
      </c>
      <c r="H1" t="s">
        <v>3449</v>
      </c>
      <c r="I1" t="s">
        <v>3450</v>
      </c>
      <c r="J1" t="s">
        <v>3451</v>
      </c>
      <c r="K1" t="s">
        <v>3452</v>
      </c>
      <c r="L1" t="s">
        <v>3453</v>
      </c>
      <c r="M1" t="s">
        <v>3454</v>
      </c>
      <c r="N1" t="s">
        <v>3455</v>
      </c>
      <c r="O1" t="s">
        <v>3456</v>
      </c>
      <c r="P1" t="s">
        <v>8311</v>
      </c>
      <c r="Q1" t="s">
        <v>171</v>
      </c>
    </row>
    <row r="2" spans="1:17" x14ac:dyDescent="0.25">
      <c r="A2" t="s">
        <v>3458</v>
      </c>
      <c r="B2" t="s">
        <v>2804</v>
      </c>
      <c r="C2">
        <v>7</v>
      </c>
      <c r="D2">
        <v>3</v>
      </c>
      <c r="E2">
        <v>1</v>
      </c>
      <c r="F2">
        <v>0</v>
      </c>
      <c r="G2">
        <v>1</v>
      </c>
      <c r="H2">
        <v>0</v>
      </c>
      <c r="I2">
        <v>0</v>
      </c>
      <c r="J2">
        <v>0</v>
      </c>
      <c r="K2">
        <v>0</v>
      </c>
      <c r="L2">
        <v>0</v>
      </c>
      <c r="M2" t="s">
        <v>8300</v>
      </c>
      <c r="N2" t="s">
        <v>3459</v>
      </c>
      <c r="O2" t="s">
        <v>3460</v>
      </c>
      <c r="P2" t="s">
        <v>8318</v>
      </c>
      <c r="Q2" t="s">
        <v>3462</v>
      </c>
    </row>
    <row r="3" spans="1:17" x14ac:dyDescent="0.25">
      <c r="A3" t="s">
        <v>3463</v>
      </c>
      <c r="B3" t="s">
        <v>353</v>
      </c>
      <c r="C3">
        <v>7</v>
      </c>
      <c r="D3">
        <v>3</v>
      </c>
      <c r="E3">
        <v>0</v>
      </c>
      <c r="F3">
        <v>0</v>
      </c>
      <c r="G3">
        <v>0</v>
      </c>
      <c r="H3">
        <v>0</v>
      </c>
      <c r="I3">
        <v>0</v>
      </c>
      <c r="J3">
        <v>0</v>
      </c>
      <c r="K3">
        <v>0</v>
      </c>
      <c r="L3">
        <v>2</v>
      </c>
      <c r="M3" t="s">
        <v>8096</v>
      </c>
      <c r="N3" t="s">
        <v>7989</v>
      </c>
      <c r="O3" t="s">
        <v>3465</v>
      </c>
      <c r="P3" t="s">
        <v>8312</v>
      </c>
      <c r="Q3" t="s">
        <v>3466</v>
      </c>
    </row>
    <row r="4" spans="1:17" x14ac:dyDescent="0.25">
      <c r="A4" t="s">
        <v>3467</v>
      </c>
      <c r="B4" t="s">
        <v>90</v>
      </c>
      <c r="C4">
        <v>8</v>
      </c>
      <c r="D4">
        <v>3</v>
      </c>
      <c r="E4">
        <v>2</v>
      </c>
      <c r="F4">
        <v>0</v>
      </c>
      <c r="G4">
        <v>0</v>
      </c>
      <c r="H4">
        <v>0</v>
      </c>
      <c r="I4">
        <v>0</v>
      </c>
      <c r="J4">
        <v>0</v>
      </c>
      <c r="K4">
        <v>0</v>
      </c>
      <c r="L4">
        <v>0</v>
      </c>
      <c r="M4" t="s">
        <v>8079</v>
      </c>
      <c r="N4" t="s">
        <v>3468</v>
      </c>
      <c r="O4" t="s">
        <v>3469</v>
      </c>
      <c r="P4" t="s">
        <v>3470</v>
      </c>
      <c r="Q4" t="s">
        <v>3467</v>
      </c>
    </row>
    <row r="5" spans="1:17" x14ac:dyDescent="0.25">
      <c r="A5" t="s">
        <v>3471</v>
      </c>
      <c r="B5" t="s">
        <v>160</v>
      </c>
      <c r="C5">
        <v>6</v>
      </c>
      <c r="D5">
        <v>3</v>
      </c>
      <c r="E5">
        <v>0</v>
      </c>
      <c r="F5">
        <v>0</v>
      </c>
      <c r="G5">
        <v>0</v>
      </c>
      <c r="H5">
        <v>0</v>
      </c>
      <c r="I5">
        <v>0</v>
      </c>
      <c r="J5">
        <v>1</v>
      </c>
      <c r="K5">
        <v>0</v>
      </c>
      <c r="L5">
        <v>0</v>
      </c>
      <c r="M5" t="s">
        <v>8080</v>
      </c>
      <c r="N5" t="s">
        <v>3472</v>
      </c>
      <c r="O5" t="s">
        <v>3473</v>
      </c>
      <c r="P5" t="s">
        <v>3474</v>
      </c>
      <c r="Q5" t="s">
        <v>3471</v>
      </c>
    </row>
    <row r="6" spans="1:17" x14ac:dyDescent="0.25">
      <c r="A6" t="s">
        <v>3475</v>
      </c>
      <c r="B6" t="s">
        <v>2045</v>
      </c>
      <c r="C6">
        <v>7</v>
      </c>
      <c r="D6">
        <v>3</v>
      </c>
      <c r="E6">
        <v>0</v>
      </c>
      <c r="F6">
        <v>0</v>
      </c>
      <c r="G6">
        <v>2</v>
      </c>
      <c r="H6">
        <v>0</v>
      </c>
      <c r="I6">
        <v>0</v>
      </c>
      <c r="J6">
        <v>0</v>
      </c>
      <c r="K6">
        <v>0</v>
      </c>
      <c r="L6">
        <v>0</v>
      </c>
      <c r="M6" t="s">
        <v>8073</v>
      </c>
      <c r="N6" t="s">
        <v>3476</v>
      </c>
      <c r="O6" t="s">
        <v>3477</v>
      </c>
      <c r="P6" t="s">
        <v>3461</v>
      </c>
      <c r="Q6" t="s">
        <v>3475</v>
      </c>
    </row>
    <row r="7" spans="1:17" x14ac:dyDescent="0.25">
      <c r="A7" t="s">
        <v>3478</v>
      </c>
      <c r="B7" t="s">
        <v>1817</v>
      </c>
      <c r="C7">
        <v>7</v>
      </c>
      <c r="D7">
        <v>3</v>
      </c>
      <c r="E7">
        <v>0</v>
      </c>
      <c r="F7">
        <v>0</v>
      </c>
      <c r="G7">
        <v>0</v>
      </c>
      <c r="H7">
        <v>2</v>
      </c>
      <c r="I7">
        <v>0</v>
      </c>
      <c r="J7">
        <v>0</v>
      </c>
      <c r="K7">
        <v>0</v>
      </c>
      <c r="L7">
        <v>0</v>
      </c>
      <c r="M7" t="s">
        <v>8074</v>
      </c>
      <c r="N7" t="s">
        <v>3480</v>
      </c>
      <c r="O7" t="s">
        <v>3481</v>
      </c>
      <c r="P7" t="s">
        <v>8316</v>
      </c>
      <c r="Q7" t="s">
        <v>3478</v>
      </c>
    </row>
    <row r="8" spans="1:17" x14ac:dyDescent="0.25">
      <c r="A8" t="s">
        <v>3482</v>
      </c>
      <c r="B8" t="s">
        <v>2804</v>
      </c>
      <c r="C8">
        <v>7</v>
      </c>
      <c r="D8">
        <v>3</v>
      </c>
      <c r="E8">
        <v>0</v>
      </c>
      <c r="F8">
        <v>0</v>
      </c>
      <c r="G8">
        <v>2</v>
      </c>
      <c r="H8">
        <v>0</v>
      </c>
      <c r="I8">
        <v>0</v>
      </c>
      <c r="J8">
        <v>0</v>
      </c>
      <c r="K8">
        <v>0</v>
      </c>
      <c r="L8">
        <v>0</v>
      </c>
      <c r="M8" t="s">
        <v>8076</v>
      </c>
      <c r="N8" t="s">
        <v>3459</v>
      </c>
      <c r="O8" t="s">
        <v>3483</v>
      </c>
      <c r="P8" t="s">
        <v>3484</v>
      </c>
      <c r="Q8" t="s">
        <v>3485</v>
      </c>
    </row>
    <row r="9" spans="1:17" x14ac:dyDescent="0.25">
      <c r="A9" t="s">
        <v>3486</v>
      </c>
      <c r="B9" t="s">
        <v>38</v>
      </c>
      <c r="C9">
        <v>7</v>
      </c>
      <c r="D9">
        <v>3</v>
      </c>
      <c r="E9">
        <v>0</v>
      </c>
      <c r="F9">
        <v>0</v>
      </c>
      <c r="G9">
        <v>1</v>
      </c>
      <c r="H9">
        <v>1</v>
      </c>
      <c r="I9">
        <v>0</v>
      </c>
      <c r="J9">
        <v>0</v>
      </c>
      <c r="K9">
        <v>0</v>
      </c>
      <c r="L9">
        <v>0</v>
      </c>
      <c r="M9" t="s">
        <v>8078</v>
      </c>
      <c r="N9" t="s">
        <v>3468</v>
      </c>
      <c r="O9" t="s">
        <v>3487</v>
      </c>
      <c r="P9" t="s">
        <v>3461</v>
      </c>
      <c r="Q9" t="s">
        <v>3486</v>
      </c>
    </row>
    <row r="10" spans="1:17" x14ac:dyDescent="0.25">
      <c r="A10" t="s">
        <v>3488</v>
      </c>
      <c r="B10" t="s">
        <v>2154</v>
      </c>
      <c r="C10">
        <v>5</v>
      </c>
      <c r="D10">
        <v>3</v>
      </c>
      <c r="E10">
        <v>0</v>
      </c>
      <c r="F10">
        <v>0</v>
      </c>
      <c r="G10">
        <v>0</v>
      </c>
      <c r="H10">
        <v>0</v>
      </c>
      <c r="I10">
        <v>0</v>
      </c>
      <c r="J10">
        <v>0</v>
      </c>
      <c r="K10">
        <v>0</v>
      </c>
      <c r="L10">
        <v>2</v>
      </c>
      <c r="M10" t="s">
        <v>3489</v>
      </c>
      <c r="N10" t="s">
        <v>7487</v>
      </c>
      <c r="O10" t="s">
        <v>3490</v>
      </c>
      <c r="P10" t="s">
        <v>3461</v>
      </c>
      <c r="Q10" t="s">
        <v>3488</v>
      </c>
    </row>
    <row r="11" spans="1:17" x14ac:dyDescent="0.25">
      <c r="A11" t="s">
        <v>3491</v>
      </c>
      <c r="B11" t="s">
        <v>1294</v>
      </c>
      <c r="C11">
        <v>7</v>
      </c>
      <c r="D11">
        <v>3</v>
      </c>
      <c r="E11">
        <v>1</v>
      </c>
      <c r="F11">
        <v>1</v>
      </c>
      <c r="G11">
        <v>0</v>
      </c>
      <c r="H11">
        <v>0</v>
      </c>
      <c r="I11">
        <v>0</v>
      </c>
      <c r="J11">
        <v>0</v>
      </c>
      <c r="K11">
        <v>0</v>
      </c>
      <c r="L11">
        <v>0</v>
      </c>
      <c r="M11" t="s">
        <v>8075</v>
      </c>
      <c r="N11" t="s">
        <v>3492</v>
      </c>
      <c r="O11" t="s">
        <v>3493</v>
      </c>
      <c r="P11" t="s">
        <v>3461</v>
      </c>
      <c r="Q11" t="s">
        <v>3491</v>
      </c>
    </row>
    <row r="12" spans="1:17" x14ac:dyDescent="0.25">
      <c r="A12" t="s">
        <v>3494</v>
      </c>
      <c r="B12" t="s">
        <v>1322</v>
      </c>
      <c r="C12">
        <v>7</v>
      </c>
      <c r="D12">
        <v>3</v>
      </c>
      <c r="E12">
        <v>0</v>
      </c>
      <c r="F12">
        <v>1</v>
      </c>
      <c r="G12">
        <v>1</v>
      </c>
      <c r="H12">
        <v>0</v>
      </c>
      <c r="I12">
        <v>0</v>
      </c>
      <c r="J12">
        <v>0</v>
      </c>
      <c r="K12">
        <v>0</v>
      </c>
      <c r="L12">
        <v>0</v>
      </c>
      <c r="M12" t="s">
        <v>8095</v>
      </c>
      <c r="N12" t="s">
        <v>3496</v>
      </c>
      <c r="O12" t="s">
        <v>3497</v>
      </c>
      <c r="P12" t="s">
        <v>3461</v>
      </c>
      <c r="Q12" t="s">
        <v>3494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3498</v>
      </c>
      <c r="C1" t="s">
        <v>167</v>
      </c>
      <c r="D1" t="s">
        <v>3456</v>
      </c>
      <c r="E1" t="s">
        <v>3499</v>
      </c>
      <c r="F1" t="s">
        <v>3500</v>
      </c>
      <c r="G1" t="s">
        <v>3501</v>
      </c>
      <c r="H1" t="s">
        <v>3502</v>
      </c>
      <c r="I1" t="s">
        <v>171</v>
      </c>
      <c r="J1" t="s">
        <v>3503</v>
      </c>
    </row>
    <row r="2" spans="1:10" x14ac:dyDescent="0.25">
      <c r="A2" t="s">
        <v>3504</v>
      </c>
      <c r="B2" t="s">
        <v>3505</v>
      </c>
      <c r="C2" t="s">
        <v>3543</v>
      </c>
      <c r="D2" t="s">
        <v>3507</v>
      </c>
      <c r="E2" t="s">
        <v>3508</v>
      </c>
      <c r="F2" t="s">
        <v>497</v>
      </c>
      <c r="G2" t="s">
        <v>3509</v>
      </c>
      <c r="I2" t="s">
        <v>3510</v>
      </c>
      <c r="J2" t="s">
        <v>3444</v>
      </c>
    </row>
    <row r="3" spans="1:10" x14ac:dyDescent="0.25">
      <c r="A3" t="s">
        <v>3511</v>
      </c>
      <c r="B3" t="s">
        <v>41</v>
      </c>
      <c r="C3" t="s">
        <v>3512</v>
      </c>
      <c r="D3" t="s">
        <v>7470</v>
      </c>
      <c r="E3" t="s">
        <v>3513</v>
      </c>
      <c r="F3" t="s">
        <v>90</v>
      </c>
      <c r="G3" t="s">
        <v>3514</v>
      </c>
      <c r="I3" t="s">
        <v>3511</v>
      </c>
      <c r="J3" t="s">
        <v>3515</v>
      </c>
    </row>
    <row r="4" spans="1:10" x14ac:dyDescent="0.25">
      <c r="A4" t="s">
        <v>3516</v>
      </c>
      <c r="B4" t="s">
        <v>3517</v>
      </c>
      <c r="C4" t="s">
        <v>3518</v>
      </c>
      <c r="D4" t="s">
        <v>3519</v>
      </c>
      <c r="E4" t="s">
        <v>3520</v>
      </c>
      <c r="F4" t="s">
        <v>2933</v>
      </c>
      <c r="G4" t="s">
        <v>3521</v>
      </c>
      <c r="I4" t="s">
        <v>3522</v>
      </c>
      <c r="J4" t="s">
        <v>3523</v>
      </c>
    </row>
    <row r="5" spans="1:10" x14ac:dyDescent="0.25">
      <c r="A5" t="s">
        <v>3525</v>
      </c>
      <c r="B5" t="s">
        <v>3517</v>
      </c>
      <c r="C5" t="s">
        <v>3526</v>
      </c>
      <c r="D5" t="s">
        <v>3527</v>
      </c>
      <c r="E5" t="s">
        <v>3528</v>
      </c>
      <c r="F5" t="s">
        <v>1649</v>
      </c>
      <c r="G5" t="s">
        <v>3529</v>
      </c>
      <c r="I5" t="s">
        <v>3530</v>
      </c>
      <c r="J5" t="s">
        <v>3523</v>
      </c>
    </row>
    <row r="6" spans="1:10" x14ac:dyDescent="0.25">
      <c r="A6" t="s">
        <v>3531</v>
      </c>
      <c r="B6" t="s">
        <v>0</v>
      </c>
      <c r="C6" t="s">
        <v>3518</v>
      </c>
      <c r="D6" t="s">
        <v>3532</v>
      </c>
      <c r="E6" t="s">
        <v>3533</v>
      </c>
      <c r="F6" t="s">
        <v>160</v>
      </c>
      <c r="G6" t="s">
        <v>3534</v>
      </c>
      <c r="I6" t="s">
        <v>3535</v>
      </c>
      <c r="J6" t="s">
        <v>3444</v>
      </c>
    </row>
    <row r="7" spans="1:10" x14ac:dyDescent="0.25">
      <c r="A7" t="s">
        <v>3536</v>
      </c>
      <c r="B7" t="s">
        <v>3517</v>
      </c>
      <c r="C7" t="s">
        <v>3506</v>
      </c>
      <c r="D7" t="s">
        <v>3537</v>
      </c>
      <c r="E7" t="s">
        <v>3538</v>
      </c>
      <c r="F7" t="s">
        <v>2619</v>
      </c>
      <c r="G7" t="s">
        <v>3539</v>
      </c>
      <c r="I7" t="s">
        <v>3540</v>
      </c>
      <c r="J7" t="s">
        <v>3541</v>
      </c>
    </row>
    <row r="8" spans="1:10" x14ac:dyDescent="0.25">
      <c r="A8" t="s">
        <v>3542</v>
      </c>
      <c r="B8" t="s">
        <v>3505</v>
      </c>
      <c r="C8" t="s">
        <v>3543</v>
      </c>
      <c r="D8" t="s">
        <v>8327</v>
      </c>
      <c r="E8" t="s">
        <v>3544</v>
      </c>
      <c r="F8" t="s">
        <v>2619</v>
      </c>
      <c r="G8" t="s">
        <v>3545</v>
      </c>
      <c r="H8" t="s">
        <v>3546</v>
      </c>
      <c r="I8" t="s">
        <v>3547</v>
      </c>
      <c r="J8" t="s">
        <v>3548</v>
      </c>
    </row>
    <row r="9" spans="1:10" x14ac:dyDescent="0.25">
      <c r="A9" t="s">
        <v>3470</v>
      </c>
      <c r="B9" t="s">
        <v>3549</v>
      </c>
      <c r="C9" t="s">
        <v>3512</v>
      </c>
      <c r="D9" t="s">
        <v>3550</v>
      </c>
      <c r="E9" t="s">
        <v>3551</v>
      </c>
      <c r="F9" t="s">
        <v>90</v>
      </c>
      <c r="I9" t="s">
        <v>3552</v>
      </c>
      <c r="J9" t="s">
        <v>3444</v>
      </c>
    </row>
    <row r="10" spans="1:10" x14ac:dyDescent="0.25">
      <c r="A10" t="s">
        <v>3553</v>
      </c>
      <c r="B10" t="s">
        <v>41</v>
      </c>
      <c r="C10" t="s">
        <v>3554</v>
      </c>
      <c r="D10" t="s">
        <v>3555</v>
      </c>
      <c r="E10" t="s">
        <v>3556</v>
      </c>
      <c r="F10" t="s">
        <v>2619</v>
      </c>
      <c r="G10" t="s">
        <v>3557</v>
      </c>
      <c r="I10" t="s">
        <v>3558</v>
      </c>
      <c r="J10" t="s">
        <v>3559</v>
      </c>
    </row>
    <row r="11" spans="1:10" x14ac:dyDescent="0.25">
      <c r="A11" t="s">
        <v>3560</v>
      </c>
      <c r="B11" t="s">
        <v>3561</v>
      </c>
      <c r="C11" t="s">
        <v>3518</v>
      </c>
      <c r="D11" t="s">
        <v>3562</v>
      </c>
      <c r="E11" t="s">
        <v>3563</v>
      </c>
      <c r="F11" t="s">
        <v>90</v>
      </c>
      <c r="I11" t="s">
        <v>3564</v>
      </c>
      <c r="J11" t="s">
        <v>3565</v>
      </c>
    </row>
    <row r="12" spans="1:10" x14ac:dyDescent="0.25">
      <c r="A12" t="s">
        <v>7364</v>
      </c>
      <c r="B12" t="s">
        <v>3505</v>
      </c>
      <c r="C12" t="s">
        <v>3518</v>
      </c>
      <c r="D12" t="s">
        <v>7372</v>
      </c>
      <c r="E12" t="s">
        <v>7378</v>
      </c>
      <c r="F12" t="s">
        <v>90</v>
      </c>
      <c r="G12" t="s">
        <v>7365</v>
      </c>
      <c r="H12" t="s">
        <v>3672</v>
      </c>
      <c r="I12" t="s">
        <v>7364</v>
      </c>
      <c r="J12" t="s">
        <v>3591</v>
      </c>
    </row>
    <row r="13" spans="1:10" x14ac:dyDescent="0.25">
      <c r="A13" t="s">
        <v>7868</v>
      </c>
      <c r="B13" t="s">
        <v>3517</v>
      </c>
      <c r="C13" t="s">
        <v>3526</v>
      </c>
      <c r="D13" t="s">
        <v>8301</v>
      </c>
      <c r="E13" t="s">
        <v>8328</v>
      </c>
      <c r="F13" t="s">
        <v>2619</v>
      </c>
      <c r="G13" t="s">
        <v>4663</v>
      </c>
      <c r="H13" t="s">
        <v>3708</v>
      </c>
      <c r="I13" t="s">
        <v>7868</v>
      </c>
      <c r="J13" t="s">
        <v>3980</v>
      </c>
    </row>
    <row r="14" spans="1:10" x14ac:dyDescent="0.25">
      <c r="A14" t="s">
        <v>3566</v>
      </c>
      <c r="B14" t="s">
        <v>3517</v>
      </c>
      <c r="C14" t="s">
        <v>3567</v>
      </c>
      <c r="D14" t="s">
        <v>3568</v>
      </c>
      <c r="E14" t="s">
        <v>3569</v>
      </c>
      <c r="F14" t="s">
        <v>160</v>
      </c>
      <c r="G14" t="s">
        <v>3570</v>
      </c>
      <c r="I14" t="s">
        <v>3571</v>
      </c>
      <c r="J14" t="s">
        <v>3444</v>
      </c>
    </row>
    <row r="15" spans="1:10" x14ac:dyDescent="0.25">
      <c r="A15" t="s">
        <v>3572</v>
      </c>
      <c r="B15" t="s">
        <v>3517</v>
      </c>
      <c r="C15" t="s">
        <v>3526</v>
      </c>
      <c r="D15" t="s">
        <v>3573</v>
      </c>
      <c r="E15" t="s">
        <v>3574</v>
      </c>
      <c r="F15" t="s">
        <v>2804</v>
      </c>
      <c r="G15" t="s">
        <v>3575</v>
      </c>
      <c r="I15" t="s">
        <v>3572</v>
      </c>
      <c r="J15" t="s">
        <v>3523</v>
      </c>
    </row>
    <row r="16" spans="1:10" x14ac:dyDescent="0.25">
      <c r="A16" t="s">
        <v>3576</v>
      </c>
      <c r="B16" t="s">
        <v>3517</v>
      </c>
      <c r="C16" t="s">
        <v>3512</v>
      </c>
      <c r="D16" t="s">
        <v>3577</v>
      </c>
      <c r="E16" t="s">
        <v>3578</v>
      </c>
      <c r="F16" t="s">
        <v>2804</v>
      </c>
      <c r="G16" t="s">
        <v>3579</v>
      </c>
      <c r="I16" t="s">
        <v>3576</v>
      </c>
      <c r="J16" t="s">
        <v>3580</v>
      </c>
    </row>
    <row r="17" spans="1:10" x14ac:dyDescent="0.25">
      <c r="A17" t="s">
        <v>3581</v>
      </c>
      <c r="B17" t="s">
        <v>41</v>
      </c>
      <c r="C17" t="s">
        <v>3582</v>
      </c>
      <c r="D17" t="s">
        <v>3583</v>
      </c>
      <c r="E17" t="s">
        <v>3584</v>
      </c>
      <c r="F17" t="s">
        <v>2619</v>
      </c>
      <c r="G17" t="s">
        <v>315</v>
      </c>
      <c r="I17" t="s">
        <v>3581</v>
      </c>
      <c r="J17" t="s">
        <v>3585</v>
      </c>
    </row>
    <row r="18" spans="1:10" x14ac:dyDescent="0.25">
      <c r="A18" t="s">
        <v>3474</v>
      </c>
      <c r="B18" t="s">
        <v>3517</v>
      </c>
      <c r="C18" t="s">
        <v>3582</v>
      </c>
      <c r="D18" t="s">
        <v>3464</v>
      </c>
      <c r="E18" t="s">
        <v>3586</v>
      </c>
      <c r="F18" t="s">
        <v>160</v>
      </c>
      <c r="G18" t="s">
        <v>315</v>
      </c>
      <c r="I18" t="s">
        <v>3474</v>
      </c>
      <c r="J18" t="s">
        <v>3523</v>
      </c>
    </row>
    <row r="19" spans="1:10" x14ac:dyDescent="0.25">
      <c r="A19" t="s">
        <v>8182</v>
      </c>
      <c r="B19" t="s">
        <v>3517</v>
      </c>
      <c r="C19" t="s">
        <v>3582</v>
      </c>
      <c r="D19" t="s">
        <v>8183</v>
      </c>
      <c r="E19" t="s">
        <v>8189</v>
      </c>
      <c r="F19" t="s">
        <v>160</v>
      </c>
      <c r="I19" t="s">
        <v>8184</v>
      </c>
      <c r="J19" t="s">
        <v>3591</v>
      </c>
    </row>
    <row r="20" spans="1:10" x14ac:dyDescent="0.25">
      <c r="A20" t="s">
        <v>7828</v>
      </c>
      <c r="B20" t="s">
        <v>3505</v>
      </c>
      <c r="C20" t="s">
        <v>3512</v>
      </c>
      <c r="D20" t="s">
        <v>7831</v>
      </c>
      <c r="E20" t="s">
        <v>7836</v>
      </c>
      <c r="F20" t="s">
        <v>38</v>
      </c>
      <c r="G20" t="s">
        <v>3637</v>
      </c>
      <c r="H20" t="s">
        <v>3672</v>
      </c>
      <c r="I20" t="s">
        <v>7829</v>
      </c>
      <c r="J20" t="s">
        <v>3580</v>
      </c>
    </row>
    <row r="21" spans="1:10" x14ac:dyDescent="0.25">
      <c r="A21" t="s">
        <v>3587</v>
      </c>
      <c r="B21" t="s">
        <v>3505</v>
      </c>
      <c r="C21" t="s">
        <v>3526</v>
      </c>
      <c r="D21" t="s">
        <v>3588</v>
      </c>
      <c r="E21" t="s">
        <v>3589</v>
      </c>
      <c r="F21" t="s">
        <v>2619</v>
      </c>
      <c r="I21" t="s">
        <v>3590</v>
      </c>
      <c r="J21" t="s">
        <v>3591</v>
      </c>
    </row>
    <row r="22" spans="1:10" x14ac:dyDescent="0.25">
      <c r="A22" t="s">
        <v>7869</v>
      </c>
      <c r="B22" t="s">
        <v>3517</v>
      </c>
      <c r="C22" t="s">
        <v>3526</v>
      </c>
      <c r="D22" t="s">
        <v>7870</v>
      </c>
      <c r="E22" t="s">
        <v>7873</v>
      </c>
      <c r="F22" t="s">
        <v>2619</v>
      </c>
      <c r="G22" t="s">
        <v>7871</v>
      </c>
      <c r="I22" t="s">
        <v>7872</v>
      </c>
      <c r="J22" t="s">
        <v>3580</v>
      </c>
    </row>
    <row r="23" spans="1:10" x14ac:dyDescent="0.25">
      <c r="A23" t="s">
        <v>3592</v>
      </c>
      <c r="B23" t="s">
        <v>41</v>
      </c>
      <c r="C23" t="s">
        <v>3512</v>
      </c>
      <c r="D23" t="s">
        <v>3593</v>
      </c>
      <c r="E23" t="s">
        <v>3594</v>
      </c>
      <c r="F23" t="s">
        <v>1649</v>
      </c>
      <c r="G23" t="s">
        <v>3595</v>
      </c>
      <c r="I23" t="s">
        <v>3596</v>
      </c>
      <c r="J23" t="s">
        <v>3580</v>
      </c>
    </row>
    <row r="24" spans="1:10" x14ac:dyDescent="0.25">
      <c r="A24" t="s">
        <v>7842</v>
      </c>
      <c r="B24" t="s">
        <v>41</v>
      </c>
      <c r="C24" t="s">
        <v>3526</v>
      </c>
      <c r="D24" t="s">
        <v>7843</v>
      </c>
      <c r="E24" t="s">
        <v>7850</v>
      </c>
      <c r="F24" t="s">
        <v>2136</v>
      </c>
      <c r="G24" t="s">
        <v>3678</v>
      </c>
      <c r="I24" t="s">
        <v>7842</v>
      </c>
      <c r="J24" t="s">
        <v>3585</v>
      </c>
    </row>
    <row r="25" spans="1:10" x14ac:dyDescent="0.25">
      <c r="A25" t="s">
        <v>131</v>
      </c>
      <c r="B25" t="s">
        <v>0</v>
      </c>
      <c r="C25" t="s">
        <v>3526</v>
      </c>
      <c r="D25" t="s">
        <v>3597</v>
      </c>
      <c r="E25" t="s">
        <v>3598</v>
      </c>
      <c r="F25" t="s">
        <v>90</v>
      </c>
      <c r="G25" t="s">
        <v>3599</v>
      </c>
      <c r="I25" t="s">
        <v>132</v>
      </c>
      <c r="J25" t="s">
        <v>3580</v>
      </c>
    </row>
    <row r="26" spans="1:10" x14ac:dyDescent="0.25">
      <c r="A26" t="s">
        <v>3600</v>
      </c>
      <c r="B26" t="s">
        <v>41</v>
      </c>
      <c r="C26" t="s">
        <v>3518</v>
      </c>
      <c r="D26" t="s">
        <v>7846</v>
      </c>
      <c r="E26" t="s">
        <v>3601</v>
      </c>
      <c r="F26" t="s">
        <v>2804</v>
      </c>
      <c r="G26" t="s">
        <v>3602</v>
      </c>
      <c r="I26" t="s">
        <v>3603</v>
      </c>
      <c r="J26" t="s">
        <v>3444</v>
      </c>
    </row>
    <row r="27" spans="1:10" x14ac:dyDescent="0.25">
      <c r="A27" t="s">
        <v>3604</v>
      </c>
      <c r="B27" t="s">
        <v>3517</v>
      </c>
      <c r="C27" t="s">
        <v>3526</v>
      </c>
      <c r="D27" t="s">
        <v>7616</v>
      </c>
      <c r="E27" t="s">
        <v>3605</v>
      </c>
      <c r="F27" t="s">
        <v>2619</v>
      </c>
      <c r="G27" t="s">
        <v>3606</v>
      </c>
      <c r="I27" t="s">
        <v>3607</v>
      </c>
      <c r="J27" t="s">
        <v>3548</v>
      </c>
    </row>
    <row r="28" spans="1:10" x14ac:dyDescent="0.25">
      <c r="A28" t="s">
        <v>7844</v>
      </c>
      <c r="B28" t="s">
        <v>3517</v>
      </c>
      <c r="C28" t="s">
        <v>3512</v>
      </c>
      <c r="D28" t="s">
        <v>7845</v>
      </c>
      <c r="E28" t="s">
        <v>7851</v>
      </c>
      <c r="F28" t="s">
        <v>2136</v>
      </c>
      <c r="G28" t="s">
        <v>3534</v>
      </c>
      <c r="I28" t="s">
        <v>7844</v>
      </c>
      <c r="J28" t="s">
        <v>3444</v>
      </c>
    </row>
    <row r="29" spans="1:10" x14ac:dyDescent="0.25">
      <c r="A29" t="s">
        <v>3608</v>
      </c>
      <c r="B29" t="s">
        <v>0</v>
      </c>
      <c r="C29" t="s">
        <v>3609</v>
      </c>
      <c r="D29" t="s">
        <v>3610</v>
      </c>
      <c r="E29" t="s">
        <v>3611</v>
      </c>
      <c r="F29" t="s">
        <v>160</v>
      </c>
      <c r="G29" t="s">
        <v>3534</v>
      </c>
      <c r="I29" t="s">
        <v>3612</v>
      </c>
      <c r="J29" t="s">
        <v>3580</v>
      </c>
    </row>
    <row r="30" spans="1:10" x14ac:dyDescent="0.25">
      <c r="A30" t="s">
        <v>3613</v>
      </c>
      <c r="B30" t="s">
        <v>3517</v>
      </c>
      <c r="C30" t="s">
        <v>3526</v>
      </c>
      <c r="D30" t="s">
        <v>3614</v>
      </c>
      <c r="E30" t="s">
        <v>3615</v>
      </c>
      <c r="F30" t="s">
        <v>497</v>
      </c>
      <c r="G30" t="s">
        <v>3545</v>
      </c>
      <c r="I30" t="s">
        <v>3613</v>
      </c>
      <c r="J30" t="s">
        <v>3585</v>
      </c>
    </row>
    <row r="31" spans="1:10" x14ac:dyDescent="0.25">
      <c r="A31" t="s">
        <v>3616</v>
      </c>
      <c r="B31" t="s">
        <v>3561</v>
      </c>
      <c r="C31" t="s">
        <v>3526</v>
      </c>
      <c r="D31" t="s">
        <v>3617</v>
      </c>
      <c r="E31" t="s">
        <v>3618</v>
      </c>
      <c r="F31" t="s">
        <v>38</v>
      </c>
      <c r="G31" t="s">
        <v>3619</v>
      </c>
      <c r="I31" t="s">
        <v>3620</v>
      </c>
      <c r="J31" t="s">
        <v>3565</v>
      </c>
    </row>
    <row r="32" spans="1:10" x14ac:dyDescent="0.25">
      <c r="A32" t="s">
        <v>3621</v>
      </c>
      <c r="B32" t="s">
        <v>3517</v>
      </c>
      <c r="C32" t="s">
        <v>3554</v>
      </c>
      <c r="D32" t="s">
        <v>3622</v>
      </c>
      <c r="E32" t="s">
        <v>3623</v>
      </c>
      <c r="F32" t="s">
        <v>160</v>
      </c>
      <c r="G32" t="s">
        <v>3624</v>
      </c>
      <c r="I32" t="s">
        <v>3625</v>
      </c>
      <c r="J32" t="s">
        <v>3559</v>
      </c>
    </row>
    <row r="33" spans="1:10" x14ac:dyDescent="0.25">
      <c r="A33" t="s">
        <v>7830</v>
      </c>
      <c r="B33" t="s">
        <v>3517</v>
      </c>
      <c r="C33" t="s">
        <v>3512</v>
      </c>
      <c r="D33" t="s">
        <v>7832</v>
      </c>
      <c r="E33" t="s">
        <v>7837</v>
      </c>
      <c r="F33" t="s">
        <v>38</v>
      </c>
      <c r="G33" t="s">
        <v>3849</v>
      </c>
      <c r="I33" t="s">
        <v>7833</v>
      </c>
      <c r="J33" t="s">
        <v>3580</v>
      </c>
    </row>
    <row r="34" spans="1:10" x14ac:dyDescent="0.25">
      <c r="A34" t="s">
        <v>3626</v>
      </c>
      <c r="B34" t="s">
        <v>41</v>
      </c>
      <c r="C34" t="s">
        <v>3526</v>
      </c>
      <c r="D34" t="s">
        <v>3627</v>
      </c>
      <c r="E34" t="s">
        <v>3628</v>
      </c>
      <c r="F34" t="s">
        <v>1649</v>
      </c>
      <c r="G34" t="s">
        <v>3629</v>
      </c>
      <c r="I34" t="s">
        <v>3630</v>
      </c>
      <c r="J34" t="s">
        <v>3523</v>
      </c>
    </row>
    <row r="35" spans="1:10" x14ac:dyDescent="0.25">
      <c r="A35" t="s">
        <v>3631</v>
      </c>
      <c r="B35" t="s">
        <v>41</v>
      </c>
      <c r="C35" t="s">
        <v>3518</v>
      </c>
      <c r="D35" t="s">
        <v>3632</v>
      </c>
      <c r="E35" t="s">
        <v>3633</v>
      </c>
      <c r="F35" t="s">
        <v>160</v>
      </c>
      <c r="G35" t="s">
        <v>264</v>
      </c>
      <c r="I35" t="s">
        <v>3631</v>
      </c>
      <c r="J35" t="s">
        <v>3444</v>
      </c>
    </row>
    <row r="36" spans="1:10" x14ac:dyDescent="0.25">
      <c r="A36" t="s">
        <v>3634</v>
      </c>
      <c r="B36" t="s">
        <v>3505</v>
      </c>
      <c r="C36" t="s">
        <v>3518</v>
      </c>
      <c r="D36" t="s">
        <v>3635</v>
      </c>
      <c r="E36" t="s">
        <v>3636</v>
      </c>
      <c r="F36" t="s">
        <v>90</v>
      </c>
      <c r="G36" t="s">
        <v>3637</v>
      </c>
      <c r="I36" t="s">
        <v>3634</v>
      </c>
      <c r="J36" t="s">
        <v>3444</v>
      </c>
    </row>
    <row r="37" spans="1:10" x14ac:dyDescent="0.25">
      <c r="A37" t="s">
        <v>3638</v>
      </c>
      <c r="B37" t="s">
        <v>3517</v>
      </c>
      <c r="C37" t="s">
        <v>3512</v>
      </c>
      <c r="D37" t="s">
        <v>3639</v>
      </c>
      <c r="E37" t="s">
        <v>3640</v>
      </c>
      <c r="F37" t="s">
        <v>90</v>
      </c>
      <c r="G37" t="s">
        <v>3641</v>
      </c>
      <c r="I37" t="s">
        <v>3642</v>
      </c>
      <c r="J37" t="s">
        <v>3444</v>
      </c>
    </row>
    <row r="38" spans="1:10" x14ac:dyDescent="0.25">
      <c r="A38" t="s">
        <v>3643</v>
      </c>
      <c r="B38" t="s">
        <v>3517</v>
      </c>
      <c r="C38" t="s">
        <v>3526</v>
      </c>
      <c r="D38" t="s">
        <v>3644</v>
      </c>
      <c r="E38" t="s">
        <v>3645</v>
      </c>
      <c r="F38" t="s">
        <v>493</v>
      </c>
      <c r="G38" t="s">
        <v>3646</v>
      </c>
      <c r="I38" t="s">
        <v>3647</v>
      </c>
      <c r="J38" t="s">
        <v>3585</v>
      </c>
    </row>
    <row r="39" spans="1:10" x14ac:dyDescent="0.25">
      <c r="A39" t="s">
        <v>3648</v>
      </c>
      <c r="B39" t="s">
        <v>41</v>
      </c>
      <c r="C39" t="s">
        <v>3582</v>
      </c>
      <c r="D39" t="s">
        <v>3649</v>
      </c>
      <c r="E39" t="s">
        <v>3650</v>
      </c>
      <c r="F39" t="s">
        <v>160</v>
      </c>
      <c r="G39" t="s">
        <v>3651</v>
      </c>
      <c r="I39" t="s">
        <v>3652</v>
      </c>
      <c r="J39" t="s">
        <v>3591</v>
      </c>
    </row>
    <row r="40" spans="1:10" x14ac:dyDescent="0.25">
      <c r="A40" t="s">
        <v>3653</v>
      </c>
      <c r="B40" t="s">
        <v>41</v>
      </c>
      <c r="C40" t="s">
        <v>3518</v>
      </c>
      <c r="D40" t="s">
        <v>3654</v>
      </c>
      <c r="E40" t="s">
        <v>3655</v>
      </c>
      <c r="F40" t="s">
        <v>160</v>
      </c>
      <c r="G40" t="s">
        <v>3656</v>
      </c>
      <c r="I40" t="s">
        <v>3657</v>
      </c>
      <c r="J40" t="s">
        <v>3591</v>
      </c>
    </row>
    <row r="41" spans="1:10" x14ac:dyDescent="0.25">
      <c r="A41" t="s">
        <v>3658</v>
      </c>
      <c r="B41" t="s">
        <v>41</v>
      </c>
      <c r="C41" t="s">
        <v>3659</v>
      </c>
      <c r="D41" t="s">
        <v>3660</v>
      </c>
      <c r="E41" t="s">
        <v>3661</v>
      </c>
      <c r="F41" t="s">
        <v>90</v>
      </c>
      <c r="G41" t="s">
        <v>3662</v>
      </c>
      <c r="I41" t="s">
        <v>3663</v>
      </c>
      <c r="J41" t="s">
        <v>3523</v>
      </c>
    </row>
    <row r="42" spans="1:10" x14ac:dyDescent="0.25">
      <c r="A42" t="s">
        <v>4748</v>
      </c>
      <c r="B42" t="s">
        <v>3505</v>
      </c>
      <c r="C42" t="s">
        <v>3518</v>
      </c>
      <c r="D42" t="s">
        <v>7374</v>
      </c>
      <c r="E42" t="s">
        <v>7379</v>
      </c>
      <c r="F42" t="s">
        <v>90</v>
      </c>
      <c r="G42" t="s">
        <v>4656</v>
      </c>
      <c r="I42" t="s">
        <v>4751</v>
      </c>
      <c r="J42" t="s">
        <v>3580</v>
      </c>
    </row>
    <row r="43" spans="1:10" x14ac:dyDescent="0.25">
      <c r="A43" t="s">
        <v>3664</v>
      </c>
      <c r="B43" t="s">
        <v>3561</v>
      </c>
      <c r="C43" t="s">
        <v>3526</v>
      </c>
      <c r="D43" t="s">
        <v>3665</v>
      </c>
      <c r="E43" t="s">
        <v>3666</v>
      </c>
      <c r="F43" t="s">
        <v>90</v>
      </c>
      <c r="G43" t="s">
        <v>3662</v>
      </c>
      <c r="I43" t="s">
        <v>3667</v>
      </c>
      <c r="J43" t="s">
        <v>3585</v>
      </c>
    </row>
    <row r="44" spans="1:10" x14ac:dyDescent="0.25">
      <c r="A44" t="s">
        <v>3668</v>
      </c>
      <c r="B44" t="s">
        <v>3517</v>
      </c>
      <c r="C44" t="s">
        <v>3526</v>
      </c>
      <c r="D44" t="s">
        <v>3669</v>
      </c>
      <c r="E44" t="s">
        <v>3670</v>
      </c>
      <c r="F44" t="s">
        <v>2619</v>
      </c>
      <c r="G44" t="s">
        <v>3671</v>
      </c>
      <c r="H44" t="s">
        <v>3672</v>
      </c>
      <c r="I44" t="s">
        <v>3673</v>
      </c>
      <c r="J44" t="s">
        <v>3580</v>
      </c>
    </row>
    <row r="45" spans="1:10" x14ac:dyDescent="0.25">
      <c r="A45" t="s">
        <v>3484</v>
      </c>
      <c r="B45" t="s">
        <v>3517</v>
      </c>
      <c r="C45" t="s">
        <v>3512</v>
      </c>
      <c r="D45" t="s">
        <v>3550</v>
      </c>
      <c r="E45" t="s">
        <v>3551</v>
      </c>
      <c r="F45" t="s">
        <v>2804</v>
      </c>
      <c r="G45" t="s">
        <v>3602</v>
      </c>
      <c r="I45" t="s">
        <v>3484</v>
      </c>
      <c r="J45" t="s">
        <v>3444</v>
      </c>
    </row>
    <row r="46" spans="1:10" x14ac:dyDescent="0.25">
      <c r="A46" t="s">
        <v>3674</v>
      </c>
      <c r="B46" t="s">
        <v>41</v>
      </c>
      <c r="C46" t="s">
        <v>3675</v>
      </c>
      <c r="D46" t="s">
        <v>3676</v>
      </c>
      <c r="E46" t="s">
        <v>3677</v>
      </c>
      <c r="F46" t="s">
        <v>2619</v>
      </c>
      <c r="G46" t="s">
        <v>3678</v>
      </c>
      <c r="H46" t="s">
        <v>3672</v>
      </c>
      <c r="I46" t="s">
        <v>3679</v>
      </c>
      <c r="J46" t="s">
        <v>3585</v>
      </c>
    </row>
    <row r="47" spans="1:10" x14ac:dyDescent="0.25">
      <c r="A47" t="s">
        <v>7847</v>
      </c>
      <c r="B47" t="s">
        <v>3505</v>
      </c>
      <c r="C47" t="s">
        <v>3526</v>
      </c>
      <c r="D47" t="s">
        <v>7848</v>
      </c>
      <c r="E47" t="s">
        <v>7852</v>
      </c>
      <c r="F47" t="s">
        <v>2136</v>
      </c>
      <c r="I47" t="s">
        <v>7849</v>
      </c>
      <c r="J47" t="s">
        <v>3444</v>
      </c>
    </row>
    <row r="48" spans="1:10" x14ac:dyDescent="0.25">
      <c r="A48" t="s">
        <v>7366</v>
      </c>
      <c r="B48" t="s">
        <v>3517</v>
      </c>
      <c r="C48" t="s">
        <v>3512</v>
      </c>
      <c r="D48" t="s">
        <v>7367</v>
      </c>
      <c r="E48" t="s">
        <v>7380</v>
      </c>
      <c r="F48" t="s">
        <v>38</v>
      </c>
      <c r="I48" t="s">
        <v>7368</v>
      </c>
      <c r="J48" t="s">
        <v>3559</v>
      </c>
    </row>
    <row r="49" spans="1:10" x14ac:dyDescent="0.25">
      <c r="A49" t="s">
        <v>7375</v>
      </c>
      <c r="B49" t="s">
        <v>3517</v>
      </c>
      <c r="C49" t="s">
        <v>3512</v>
      </c>
      <c r="D49" t="s">
        <v>7377</v>
      </c>
      <c r="E49" t="s">
        <v>7381</v>
      </c>
      <c r="F49" t="s">
        <v>38</v>
      </c>
      <c r="I49" t="s">
        <v>7376</v>
      </c>
      <c r="J49" t="s">
        <v>3980</v>
      </c>
    </row>
    <row r="50" spans="1:10" x14ac:dyDescent="0.25">
      <c r="A50" t="s">
        <v>3684</v>
      </c>
      <c r="B50" t="s">
        <v>3561</v>
      </c>
      <c r="C50" t="s">
        <v>3526</v>
      </c>
      <c r="D50" t="s">
        <v>3685</v>
      </c>
      <c r="E50" t="s">
        <v>3686</v>
      </c>
      <c r="F50" t="s">
        <v>90</v>
      </c>
      <c r="I50" t="s">
        <v>3687</v>
      </c>
      <c r="J50" t="s">
        <v>3585</v>
      </c>
    </row>
    <row r="51" spans="1:10" x14ac:dyDescent="0.25">
      <c r="A51" t="s">
        <v>3688</v>
      </c>
      <c r="B51" t="s">
        <v>3561</v>
      </c>
      <c r="C51" t="s">
        <v>3526</v>
      </c>
      <c r="D51" t="s">
        <v>3689</v>
      </c>
      <c r="E51" t="s">
        <v>3690</v>
      </c>
      <c r="F51" t="s">
        <v>90</v>
      </c>
      <c r="G51" t="s">
        <v>3691</v>
      </c>
      <c r="I51" t="s">
        <v>3692</v>
      </c>
      <c r="J51" t="s">
        <v>3565</v>
      </c>
    </row>
    <row r="52" spans="1:10" x14ac:dyDescent="0.25">
      <c r="A52" t="s">
        <v>3693</v>
      </c>
      <c r="B52" t="s">
        <v>3517</v>
      </c>
      <c r="C52" t="s">
        <v>3512</v>
      </c>
      <c r="D52" t="s">
        <v>3694</v>
      </c>
      <c r="E52" t="s">
        <v>3695</v>
      </c>
      <c r="F52" t="s">
        <v>497</v>
      </c>
      <c r="G52" t="s">
        <v>3696</v>
      </c>
      <c r="I52" t="s">
        <v>3693</v>
      </c>
      <c r="J52" t="s">
        <v>3523</v>
      </c>
    </row>
    <row r="53" spans="1:10" x14ac:dyDescent="0.25">
      <c r="A53" t="s">
        <v>3697</v>
      </c>
      <c r="B53" t="s">
        <v>3505</v>
      </c>
      <c r="C53" t="s">
        <v>3582</v>
      </c>
      <c r="D53" t="s">
        <v>3698</v>
      </c>
      <c r="E53" t="s">
        <v>3699</v>
      </c>
      <c r="F53" t="s">
        <v>1649</v>
      </c>
      <c r="G53" t="s">
        <v>3700</v>
      </c>
      <c r="I53" t="s">
        <v>3701</v>
      </c>
      <c r="J53" t="s">
        <v>3585</v>
      </c>
    </row>
    <row r="54" spans="1:10" x14ac:dyDescent="0.25">
      <c r="A54" t="s">
        <v>3702</v>
      </c>
      <c r="B54" t="s">
        <v>3517</v>
      </c>
      <c r="C54" t="s">
        <v>3506</v>
      </c>
      <c r="D54" t="s">
        <v>7617</v>
      </c>
      <c r="E54" t="s">
        <v>7640</v>
      </c>
      <c r="F54" t="s">
        <v>2619</v>
      </c>
      <c r="G54" t="s">
        <v>3703</v>
      </c>
      <c r="I54" t="s">
        <v>3704</v>
      </c>
      <c r="J54" t="s">
        <v>3541</v>
      </c>
    </row>
    <row r="55" spans="1:10" x14ac:dyDescent="0.25">
      <c r="A55" t="s">
        <v>3705</v>
      </c>
      <c r="B55" t="s">
        <v>3517</v>
      </c>
      <c r="C55" t="s">
        <v>3518</v>
      </c>
      <c r="D55" t="s">
        <v>3706</v>
      </c>
      <c r="E55" t="s">
        <v>3707</v>
      </c>
      <c r="F55" t="s">
        <v>160</v>
      </c>
      <c r="G55" t="s">
        <v>3691</v>
      </c>
      <c r="H55" t="s">
        <v>3708</v>
      </c>
      <c r="I55" t="s">
        <v>3705</v>
      </c>
      <c r="J55" t="s">
        <v>3709</v>
      </c>
    </row>
    <row r="56" spans="1:10" x14ac:dyDescent="0.25">
      <c r="A56" t="s">
        <v>3710</v>
      </c>
      <c r="B56" t="s">
        <v>3517</v>
      </c>
      <c r="C56" t="s">
        <v>3543</v>
      </c>
      <c r="D56" t="s">
        <v>3711</v>
      </c>
      <c r="E56" t="s">
        <v>3712</v>
      </c>
      <c r="F56" t="s">
        <v>160</v>
      </c>
      <c r="G56" t="s">
        <v>3713</v>
      </c>
      <c r="H56" t="s">
        <v>3546</v>
      </c>
      <c r="I56" t="s">
        <v>3714</v>
      </c>
      <c r="J56" t="s">
        <v>3523</v>
      </c>
    </row>
    <row r="57" spans="1:10" x14ac:dyDescent="0.25">
      <c r="A57" t="s">
        <v>3715</v>
      </c>
      <c r="B57" t="s">
        <v>3517</v>
      </c>
      <c r="C57" t="s">
        <v>3526</v>
      </c>
      <c r="D57" t="s">
        <v>3716</v>
      </c>
      <c r="E57" t="s">
        <v>3717</v>
      </c>
      <c r="F57" t="s">
        <v>2619</v>
      </c>
      <c r="H57" t="s">
        <v>3672</v>
      </c>
      <c r="I57" t="s">
        <v>3718</v>
      </c>
      <c r="J57" t="s">
        <v>3523</v>
      </c>
    </row>
    <row r="58" spans="1:10" x14ac:dyDescent="0.25">
      <c r="A58" t="s">
        <v>3719</v>
      </c>
      <c r="B58" t="s">
        <v>3517</v>
      </c>
      <c r="C58" t="s">
        <v>3512</v>
      </c>
      <c r="D58" t="s">
        <v>3720</v>
      </c>
      <c r="E58" t="s">
        <v>3721</v>
      </c>
      <c r="F58" t="s">
        <v>553</v>
      </c>
      <c r="G58" t="s">
        <v>3722</v>
      </c>
      <c r="I58" t="s">
        <v>3723</v>
      </c>
      <c r="J58" t="s">
        <v>3580</v>
      </c>
    </row>
    <row r="59" spans="1:10" x14ac:dyDescent="0.25">
      <c r="A59" t="s">
        <v>3724</v>
      </c>
      <c r="B59" t="s">
        <v>41</v>
      </c>
      <c r="C59" t="s">
        <v>3659</v>
      </c>
      <c r="D59" t="s">
        <v>3725</v>
      </c>
      <c r="E59" t="s">
        <v>3726</v>
      </c>
      <c r="F59" t="s">
        <v>90</v>
      </c>
      <c r="I59" t="s">
        <v>3724</v>
      </c>
      <c r="J59" t="s">
        <v>3523</v>
      </c>
    </row>
    <row r="60" spans="1:10" x14ac:dyDescent="0.25">
      <c r="A60" t="s">
        <v>7369</v>
      </c>
      <c r="B60" t="s">
        <v>3517</v>
      </c>
      <c r="C60" t="s">
        <v>3526</v>
      </c>
      <c r="D60" t="s">
        <v>7371</v>
      </c>
      <c r="E60" t="s">
        <v>7382</v>
      </c>
      <c r="F60" t="s">
        <v>90</v>
      </c>
      <c r="G60" t="s">
        <v>7373</v>
      </c>
      <c r="I60" t="s">
        <v>7370</v>
      </c>
      <c r="J60" t="s">
        <v>3591</v>
      </c>
    </row>
    <row r="61" spans="1:10" x14ac:dyDescent="0.25">
      <c r="A61" t="s">
        <v>3732</v>
      </c>
      <c r="B61" t="s">
        <v>41</v>
      </c>
      <c r="C61" t="s">
        <v>3675</v>
      </c>
      <c r="D61" t="s">
        <v>3733</v>
      </c>
      <c r="E61" t="s">
        <v>3734</v>
      </c>
      <c r="F61" t="s">
        <v>2619</v>
      </c>
      <c r="G61" t="s">
        <v>3735</v>
      </c>
      <c r="I61" t="s">
        <v>3736</v>
      </c>
      <c r="J61" t="s">
        <v>3580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3737</v>
      </c>
      <c r="D1" t="s">
        <v>3738</v>
      </c>
      <c r="E1" t="s">
        <v>1</v>
      </c>
      <c r="F1" t="s">
        <v>3444</v>
      </c>
      <c r="G1" t="s">
        <v>3739</v>
      </c>
      <c r="H1" t="s">
        <v>3740</v>
      </c>
      <c r="I1" t="s">
        <v>3741</v>
      </c>
      <c r="J1" t="s">
        <v>3742</v>
      </c>
      <c r="K1" t="s">
        <v>171</v>
      </c>
      <c r="L1" t="s">
        <v>3743</v>
      </c>
      <c r="M1" t="s">
        <v>8065</v>
      </c>
      <c r="N1" t="s">
        <v>8042</v>
      </c>
    </row>
    <row r="2" spans="1:14" x14ac:dyDescent="0.25">
      <c r="A2" t="s">
        <v>3744</v>
      </c>
      <c r="B2" t="s">
        <v>176</v>
      </c>
      <c r="C2" t="s">
        <v>3745</v>
      </c>
      <c r="D2" t="s">
        <v>3746</v>
      </c>
      <c r="E2" t="s">
        <v>160</v>
      </c>
      <c r="F2">
        <v>1</v>
      </c>
      <c r="G2">
        <v>1</v>
      </c>
      <c r="H2" t="s">
        <v>3747</v>
      </c>
      <c r="I2" t="s">
        <v>8069</v>
      </c>
      <c r="J2" t="s">
        <v>3461</v>
      </c>
      <c r="K2" t="s">
        <v>3748</v>
      </c>
      <c r="L2" t="s">
        <v>3749</v>
      </c>
      <c r="M2" t="s">
        <v>8066</v>
      </c>
      <c r="N2" t="s">
        <v>4327</v>
      </c>
    </row>
    <row r="3" spans="1:14" x14ac:dyDescent="0.25">
      <c r="A3" t="s">
        <v>3750</v>
      </c>
      <c r="B3" t="s">
        <v>176</v>
      </c>
      <c r="C3" t="s">
        <v>3745</v>
      </c>
      <c r="D3" t="s">
        <v>3746</v>
      </c>
      <c r="E3" t="s">
        <v>497</v>
      </c>
      <c r="F3">
        <v>1</v>
      </c>
      <c r="G3">
        <v>1</v>
      </c>
      <c r="H3" t="s">
        <v>3747</v>
      </c>
      <c r="I3" t="s">
        <v>3751</v>
      </c>
      <c r="J3" t="s">
        <v>3461</v>
      </c>
      <c r="K3" t="s">
        <v>3752</v>
      </c>
      <c r="L3" t="s">
        <v>3509</v>
      </c>
      <c r="M3" t="s">
        <v>8066</v>
      </c>
    </row>
    <row r="4" spans="1:14" x14ac:dyDescent="0.25">
      <c r="A4" t="s">
        <v>7882</v>
      </c>
      <c r="B4" t="s">
        <v>176</v>
      </c>
      <c r="C4" t="s">
        <v>3745</v>
      </c>
      <c r="D4" t="s">
        <v>3746</v>
      </c>
      <c r="E4" t="s">
        <v>1046</v>
      </c>
      <c r="F4">
        <v>1</v>
      </c>
      <c r="G4">
        <v>1</v>
      </c>
      <c r="H4" t="s">
        <v>3754</v>
      </c>
      <c r="I4" t="s">
        <v>7883</v>
      </c>
      <c r="J4" t="s">
        <v>3461</v>
      </c>
      <c r="K4" t="s">
        <v>7882</v>
      </c>
      <c r="L4" t="s">
        <v>7885</v>
      </c>
      <c r="M4" t="s">
        <v>8066</v>
      </c>
    </row>
    <row r="5" spans="1:14" x14ac:dyDescent="0.25">
      <c r="A5" t="s">
        <v>7359</v>
      </c>
      <c r="B5" t="s">
        <v>176</v>
      </c>
      <c r="C5" t="s">
        <v>3745</v>
      </c>
      <c r="D5" t="s">
        <v>3746</v>
      </c>
      <c r="E5" t="s">
        <v>2173</v>
      </c>
      <c r="F5">
        <v>1</v>
      </c>
      <c r="G5">
        <v>1</v>
      </c>
      <c r="H5" t="s">
        <v>3754</v>
      </c>
      <c r="I5" t="s">
        <v>7360</v>
      </c>
      <c r="J5" t="s">
        <v>3461</v>
      </c>
      <c r="K5" t="s">
        <v>7359</v>
      </c>
      <c r="L5" t="s">
        <v>7361</v>
      </c>
      <c r="M5" t="s">
        <v>8066</v>
      </c>
    </row>
    <row r="6" spans="1:14" x14ac:dyDescent="0.25">
      <c r="A6" t="s">
        <v>3753</v>
      </c>
      <c r="B6" t="s">
        <v>176</v>
      </c>
      <c r="C6" t="s">
        <v>3745</v>
      </c>
      <c r="D6" t="s">
        <v>3746</v>
      </c>
      <c r="E6" t="s">
        <v>2619</v>
      </c>
      <c r="F6">
        <v>1</v>
      </c>
      <c r="G6">
        <v>1</v>
      </c>
      <c r="H6" t="s">
        <v>3754</v>
      </c>
      <c r="I6" t="s">
        <v>3755</v>
      </c>
      <c r="J6" t="s">
        <v>7448</v>
      </c>
      <c r="K6" t="s">
        <v>3756</v>
      </c>
      <c r="L6" t="s">
        <v>3678</v>
      </c>
      <c r="M6" t="s">
        <v>8066</v>
      </c>
    </row>
    <row r="7" spans="1:14" x14ac:dyDescent="0.25">
      <c r="A7" t="s">
        <v>3757</v>
      </c>
      <c r="B7" t="s">
        <v>176</v>
      </c>
      <c r="C7" t="s">
        <v>3745</v>
      </c>
      <c r="D7" t="s">
        <v>3746</v>
      </c>
      <c r="E7" t="s">
        <v>1046</v>
      </c>
      <c r="F7">
        <v>1</v>
      </c>
      <c r="G7">
        <v>1</v>
      </c>
      <c r="H7" t="s">
        <v>3758</v>
      </c>
      <c r="I7" t="s">
        <v>8062</v>
      </c>
      <c r="J7" t="s">
        <v>3461</v>
      </c>
      <c r="K7" t="s">
        <v>3759</v>
      </c>
      <c r="L7" t="s">
        <v>7884</v>
      </c>
      <c r="M7" t="s">
        <v>8066</v>
      </c>
    </row>
    <row r="8" spans="1:14" x14ac:dyDescent="0.25">
      <c r="A8" t="s">
        <v>3760</v>
      </c>
      <c r="B8" t="s">
        <v>176</v>
      </c>
      <c r="C8" t="s">
        <v>3745</v>
      </c>
      <c r="D8" t="s">
        <v>3746</v>
      </c>
      <c r="E8" t="s">
        <v>1752</v>
      </c>
      <c r="F8">
        <v>1</v>
      </c>
      <c r="G8">
        <v>1</v>
      </c>
      <c r="H8" t="s">
        <v>3754</v>
      </c>
      <c r="I8" t="s">
        <v>3761</v>
      </c>
      <c r="J8" t="s">
        <v>3461</v>
      </c>
      <c r="K8" t="s">
        <v>3762</v>
      </c>
      <c r="M8" t="s">
        <v>8066</v>
      </c>
    </row>
    <row r="9" spans="1:14" x14ac:dyDescent="0.25">
      <c r="A9" t="s">
        <v>3763</v>
      </c>
      <c r="B9" t="s">
        <v>176</v>
      </c>
      <c r="C9" t="s">
        <v>3745</v>
      </c>
      <c r="D9" t="s">
        <v>3746</v>
      </c>
      <c r="E9" t="s">
        <v>1294</v>
      </c>
      <c r="F9">
        <v>1</v>
      </c>
      <c r="G9">
        <v>1</v>
      </c>
      <c r="H9" t="s">
        <v>3747</v>
      </c>
      <c r="I9" t="s">
        <v>3764</v>
      </c>
      <c r="J9" t="s">
        <v>3461</v>
      </c>
      <c r="K9" t="s">
        <v>3763</v>
      </c>
      <c r="L9" t="s">
        <v>3765</v>
      </c>
      <c r="M9" t="s">
        <v>8066</v>
      </c>
    </row>
    <row r="10" spans="1:14" x14ac:dyDescent="0.25">
      <c r="A10" t="s">
        <v>5085</v>
      </c>
      <c r="B10" t="s">
        <v>176</v>
      </c>
      <c r="C10" t="s">
        <v>3745</v>
      </c>
      <c r="D10" t="s">
        <v>3746</v>
      </c>
      <c r="E10" t="s">
        <v>160</v>
      </c>
      <c r="F10">
        <v>1</v>
      </c>
      <c r="G10">
        <v>1</v>
      </c>
      <c r="H10" t="s">
        <v>3747</v>
      </c>
      <c r="I10" t="s">
        <v>7988</v>
      </c>
      <c r="J10" t="s">
        <v>3461</v>
      </c>
      <c r="K10" t="s">
        <v>5085</v>
      </c>
      <c r="M10" t="s">
        <v>8066</v>
      </c>
    </row>
    <row r="11" spans="1:14" x14ac:dyDescent="0.25">
      <c r="A11" t="s">
        <v>3766</v>
      </c>
      <c r="B11" t="s">
        <v>176</v>
      </c>
      <c r="C11" t="s">
        <v>3745</v>
      </c>
      <c r="D11" t="s">
        <v>3746</v>
      </c>
      <c r="E11" t="s">
        <v>2619</v>
      </c>
      <c r="F11">
        <v>1</v>
      </c>
      <c r="G11">
        <v>1</v>
      </c>
      <c r="H11" t="s">
        <v>3754</v>
      </c>
      <c r="I11" t="s">
        <v>3767</v>
      </c>
      <c r="J11" t="s">
        <v>7454</v>
      </c>
      <c r="K11" t="s">
        <v>3768</v>
      </c>
      <c r="M11" t="s">
        <v>8066</v>
      </c>
    </row>
    <row r="12" spans="1:14" x14ac:dyDescent="0.25">
      <c r="A12" t="s">
        <v>3769</v>
      </c>
      <c r="B12" t="s">
        <v>176</v>
      </c>
      <c r="C12" t="s">
        <v>3745</v>
      </c>
      <c r="D12" t="s">
        <v>3746</v>
      </c>
      <c r="E12" t="s">
        <v>360</v>
      </c>
      <c r="F12">
        <v>1</v>
      </c>
      <c r="G12">
        <v>1</v>
      </c>
      <c r="H12" t="s">
        <v>3747</v>
      </c>
      <c r="I12" t="s">
        <v>3770</v>
      </c>
      <c r="J12" t="s">
        <v>3461</v>
      </c>
      <c r="K12" t="s">
        <v>3771</v>
      </c>
      <c r="L12" t="s">
        <v>3765</v>
      </c>
      <c r="M12" t="s">
        <v>8066</v>
      </c>
    </row>
    <row r="13" spans="1:14" x14ac:dyDescent="0.25">
      <c r="A13" t="s">
        <v>3772</v>
      </c>
      <c r="B13" t="s">
        <v>176</v>
      </c>
      <c r="C13" t="s">
        <v>3745</v>
      </c>
      <c r="D13" t="s">
        <v>3746</v>
      </c>
      <c r="E13" t="s">
        <v>160</v>
      </c>
      <c r="F13">
        <v>1</v>
      </c>
      <c r="G13">
        <v>1</v>
      </c>
      <c r="H13" t="s">
        <v>3747</v>
      </c>
      <c r="I13" t="s">
        <v>8071</v>
      </c>
      <c r="J13" t="s">
        <v>3461</v>
      </c>
      <c r="K13" t="s">
        <v>3772</v>
      </c>
      <c r="L13" t="s">
        <v>3773</v>
      </c>
      <c r="M13" t="s">
        <v>8066</v>
      </c>
      <c r="N13" t="s">
        <v>4327</v>
      </c>
    </row>
    <row r="14" spans="1:14" x14ac:dyDescent="0.25">
      <c r="A14" t="s">
        <v>3774</v>
      </c>
      <c r="B14" t="s">
        <v>176</v>
      </c>
      <c r="C14" t="s">
        <v>3745</v>
      </c>
      <c r="D14" t="s">
        <v>3746</v>
      </c>
      <c r="E14" t="s">
        <v>2132</v>
      </c>
      <c r="F14">
        <v>1</v>
      </c>
      <c r="G14">
        <v>1</v>
      </c>
      <c r="H14" t="s">
        <v>3747</v>
      </c>
      <c r="I14" t="s">
        <v>3775</v>
      </c>
      <c r="J14" t="s">
        <v>3461</v>
      </c>
      <c r="K14" t="s">
        <v>3774</v>
      </c>
      <c r="L14" t="s">
        <v>3678</v>
      </c>
      <c r="M14" t="s">
        <v>8066</v>
      </c>
    </row>
    <row r="15" spans="1:14" x14ac:dyDescent="0.25">
      <c r="A15" t="s">
        <v>3776</v>
      </c>
      <c r="B15" t="s">
        <v>176</v>
      </c>
      <c r="C15" t="s">
        <v>3745</v>
      </c>
      <c r="D15" t="s">
        <v>3746</v>
      </c>
      <c r="E15" t="s">
        <v>1294</v>
      </c>
      <c r="F15">
        <v>1</v>
      </c>
      <c r="G15">
        <v>1</v>
      </c>
      <c r="H15" t="s">
        <v>3754</v>
      </c>
      <c r="I15" t="s">
        <v>3777</v>
      </c>
      <c r="J15" t="s">
        <v>3461</v>
      </c>
      <c r="K15" t="s">
        <v>3776</v>
      </c>
      <c r="L15" t="s">
        <v>458</v>
      </c>
      <c r="M15" t="s">
        <v>8066</v>
      </c>
    </row>
    <row r="16" spans="1:14" x14ac:dyDescent="0.25">
      <c r="A16" t="s">
        <v>3778</v>
      </c>
      <c r="B16" t="s">
        <v>176</v>
      </c>
      <c r="C16" t="s">
        <v>3779</v>
      </c>
      <c r="D16" t="s">
        <v>3746</v>
      </c>
      <c r="E16" t="s">
        <v>2619</v>
      </c>
      <c r="F16">
        <v>1</v>
      </c>
      <c r="G16">
        <v>2</v>
      </c>
      <c r="H16" t="s">
        <v>3747</v>
      </c>
      <c r="I16" t="s">
        <v>8068</v>
      </c>
      <c r="J16" t="s">
        <v>7440</v>
      </c>
      <c r="K16" t="s">
        <v>3778</v>
      </c>
      <c r="L16" t="s">
        <v>3765</v>
      </c>
      <c r="M16" t="s">
        <v>8066</v>
      </c>
      <c r="N16" t="s">
        <v>4333</v>
      </c>
    </row>
    <row r="17" spans="1:14" x14ac:dyDescent="0.25">
      <c r="A17" t="s">
        <v>3780</v>
      </c>
      <c r="B17" t="s">
        <v>176</v>
      </c>
      <c r="C17" t="s">
        <v>3779</v>
      </c>
      <c r="D17" t="s">
        <v>3746</v>
      </c>
      <c r="E17" t="s">
        <v>2132</v>
      </c>
      <c r="F17">
        <v>1</v>
      </c>
      <c r="G17">
        <v>2</v>
      </c>
      <c r="H17" t="s">
        <v>3747</v>
      </c>
      <c r="I17" t="s">
        <v>3781</v>
      </c>
      <c r="J17" t="s">
        <v>3461</v>
      </c>
      <c r="K17" t="s">
        <v>3780</v>
      </c>
      <c r="L17" t="s">
        <v>3509</v>
      </c>
      <c r="M17" t="s">
        <v>8066</v>
      </c>
    </row>
    <row r="18" spans="1:14" x14ac:dyDescent="0.25">
      <c r="A18" t="s">
        <v>3782</v>
      </c>
      <c r="B18" t="s">
        <v>176</v>
      </c>
      <c r="C18" t="s">
        <v>3779</v>
      </c>
      <c r="D18" t="s">
        <v>3746</v>
      </c>
      <c r="E18" t="s">
        <v>2619</v>
      </c>
      <c r="F18">
        <v>1</v>
      </c>
      <c r="G18">
        <v>2</v>
      </c>
      <c r="H18" t="s">
        <v>3754</v>
      </c>
      <c r="I18" t="s">
        <v>3783</v>
      </c>
      <c r="J18" t="s">
        <v>3461</v>
      </c>
      <c r="K18" t="s">
        <v>3784</v>
      </c>
      <c r="L18" t="s">
        <v>3785</v>
      </c>
      <c r="M18" t="s">
        <v>8066</v>
      </c>
    </row>
    <row r="19" spans="1:14" x14ac:dyDescent="0.25">
      <c r="A19" t="s">
        <v>3786</v>
      </c>
      <c r="B19" t="s">
        <v>176</v>
      </c>
      <c r="C19" t="s">
        <v>3779</v>
      </c>
      <c r="D19" t="s">
        <v>3746</v>
      </c>
      <c r="E19" t="s">
        <v>160</v>
      </c>
      <c r="F19">
        <v>1</v>
      </c>
      <c r="G19">
        <v>2</v>
      </c>
      <c r="H19" t="s">
        <v>3747</v>
      </c>
      <c r="I19" t="s">
        <v>3787</v>
      </c>
      <c r="J19" t="s">
        <v>7458</v>
      </c>
      <c r="K19" t="s">
        <v>3788</v>
      </c>
      <c r="L19" t="s">
        <v>3678</v>
      </c>
      <c r="M19" t="s">
        <v>8066</v>
      </c>
    </row>
    <row r="20" spans="1:14" x14ac:dyDescent="0.25">
      <c r="A20" t="s">
        <v>7888</v>
      </c>
      <c r="B20" t="s">
        <v>176</v>
      </c>
      <c r="C20" t="s">
        <v>3779</v>
      </c>
      <c r="D20" t="s">
        <v>3746</v>
      </c>
      <c r="E20" t="s">
        <v>1046</v>
      </c>
      <c r="F20">
        <v>1</v>
      </c>
      <c r="G20">
        <v>2</v>
      </c>
      <c r="H20" t="s">
        <v>3754</v>
      </c>
      <c r="I20" t="s">
        <v>7889</v>
      </c>
      <c r="J20" t="s">
        <v>3461</v>
      </c>
      <c r="K20" t="s">
        <v>7888</v>
      </c>
      <c r="L20" t="s">
        <v>3810</v>
      </c>
      <c r="M20" t="s">
        <v>8066</v>
      </c>
    </row>
    <row r="21" spans="1:14" x14ac:dyDescent="0.25">
      <c r="A21" t="s">
        <v>7886</v>
      </c>
      <c r="B21" t="s">
        <v>176</v>
      </c>
      <c r="C21" t="s">
        <v>3779</v>
      </c>
      <c r="D21" t="s">
        <v>3746</v>
      </c>
      <c r="E21" t="s">
        <v>1046</v>
      </c>
      <c r="F21">
        <v>1</v>
      </c>
      <c r="G21">
        <v>2</v>
      </c>
      <c r="H21" t="s">
        <v>3754</v>
      </c>
      <c r="I21" t="s">
        <v>8092</v>
      </c>
      <c r="J21" t="s">
        <v>3461</v>
      </c>
      <c r="K21" t="s">
        <v>7887</v>
      </c>
      <c r="L21" t="s">
        <v>7885</v>
      </c>
      <c r="M21" t="s">
        <v>8066</v>
      </c>
      <c r="N21" t="s">
        <v>4325</v>
      </c>
    </row>
    <row r="22" spans="1:14" x14ac:dyDescent="0.25">
      <c r="A22" t="s">
        <v>3789</v>
      </c>
      <c r="B22" t="s">
        <v>176</v>
      </c>
      <c r="C22" t="s">
        <v>3779</v>
      </c>
      <c r="D22" t="s">
        <v>3790</v>
      </c>
      <c r="E22" t="s">
        <v>360</v>
      </c>
      <c r="F22">
        <v>1</v>
      </c>
      <c r="G22">
        <v>2</v>
      </c>
      <c r="H22" t="s">
        <v>3747</v>
      </c>
      <c r="I22" t="s">
        <v>8060</v>
      </c>
      <c r="J22" t="s">
        <v>3461</v>
      </c>
      <c r="K22" t="s">
        <v>3791</v>
      </c>
      <c r="L22" t="s">
        <v>3765</v>
      </c>
      <c r="M22" t="s">
        <v>8066</v>
      </c>
      <c r="N22" t="s">
        <v>4325</v>
      </c>
    </row>
    <row r="23" spans="1:14" x14ac:dyDescent="0.25">
      <c r="A23" t="s">
        <v>3792</v>
      </c>
      <c r="B23" t="s">
        <v>176</v>
      </c>
      <c r="C23" t="s">
        <v>3793</v>
      </c>
      <c r="D23" t="s">
        <v>3746</v>
      </c>
      <c r="E23" t="s">
        <v>2619</v>
      </c>
      <c r="F23">
        <v>1</v>
      </c>
      <c r="G23">
        <v>3</v>
      </c>
      <c r="H23" t="s">
        <v>3754</v>
      </c>
      <c r="I23" t="s">
        <v>7437</v>
      </c>
      <c r="J23" t="s">
        <v>7439</v>
      </c>
      <c r="K23" t="s">
        <v>3792</v>
      </c>
      <c r="M23" t="s">
        <v>8066</v>
      </c>
    </row>
    <row r="24" spans="1:14" x14ac:dyDescent="0.25">
      <c r="A24" t="s">
        <v>3794</v>
      </c>
      <c r="B24" t="s">
        <v>176</v>
      </c>
      <c r="C24" t="s">
        <v>3793</v>
      </c>
      <c r="D24" t="s">
        <v>3795</v>
      </c>
      <c r="E24" t="s">
        <v>1294</v>
      </c>
      <c r="F24">
        <v>1</v>
      </c>
      <c r="G24">
        <v>3</v>
      </c>
      <c r="H24" t="s">
        <v>3747</v>
      </c>
      <c r="I24" t="s">
        <v>3796</v>
      </c>
      <c r="J24" t="s">
        <v>3461</v>
      </c>
      <c r="K24" t="s">
        <v>3797</v>
      </c>
      <c r="L24" t="s">
        <v>3798</v>
      </c>
      <c r="M24" t="s">
        <v>8066</v>
      </c>
    </row>
    <row r="25" spans="1:14" x14ac:dyDescent="0.25">
      <c r="A25" t="s">
        <v>3799</v>
      </c>
      <c r="B25" t="s">
        <v>176</v>
      </c>
      <c r="C25" t="s">
        <v>3793</v>
      </c>
      <c r="D25" t="s">
        <v>3746</v>
      </c>
      <c r="E25" t="s">
        <v>1294</v>
      </c>
      <c r="F25">
        <v>1</v>
      </c>
      <c r="G25">
        <v>3</v>
      </c>
      <c r="H25" t="s">
        <v>3754</v>
      </c>
      <c r="I25" t="s">
        <v>3800</v>
      </c>
      <c r="J25" t="s">
        <v>7431</v>
      </c>
      <c r="K25" t="s">
        <v>3801</v>
      </c>
      <c r="M25" t="s">
        <v>8066</v>
      </c>
    </row>
    <row r="26" spans="1:14" x14ac:dyDescent="0.25">
      <c r="A26" t="s">
        <v>3802</v>
      </c>
      <c r="B26" t="s">
        <v>176</v>
      </c>
      <c r="C26" t="s">
        <v>3793</v>
      </c>
      <c r="D26" t="s">
        <v>3803</v>
      </c>
      <c r="E26" t="s">
        <v>360</v>
      </c>
      <c r="F26">
        <v>1</v>
      </c>
      <c r="G26">
        <v>3</v>
      </c>
      <c r="H26" t="s">
        <v>3747</v>
      </c>
      <c r="I26" t="s">
        <v>8061</v>
      </c>
      <c r="J26" t="s">
        <v>3461</v>
      </c>
      <c r="K26" t="s">
        <v>3804</v>
      </c>
      <c r="L26" t="s">
        <v>3765</v>
      </c>
      <c r="M26" t="s">
        <v>8066</v>
      </c>
      <c r="N26" t="s">
        <v>4327</v>
      </c>
    </row>
    <row r="27" spans="1:14" x14ac:dyDescent="0.25">
      <c r="A27" t="s">
        <v>3805</v>
      </c>
      <c r="B27" t="s">
        <v>182</v>
      </c>
      <c r="C27" t="s">
        <v>3745</v>
      </c>
      <c r="D27" t="s">
        <v>3746</v>
      </c>
      <c r="E27" t="s">
        <v>90</v>
      </c>
      <c r="F27">
        <v>1</v>
      </c>
      <c r="G27">
        <v>1</v>
      </c>
      <c r="H27" t="s">
        <v>3754</v>
      </c>
      <c r="I27" t="s">
        <v>3806</v>
      </c>
      <c r="J27" t="s">
        <v>5265</v>
      </c>
      <c r="K27" t="s">
        <v>3805</v>
      </c>
      <c r="M27" t="s">
        <v>8066</v>
      </c>
    </row>
    <row r="28" spans="1:14" x14ac:dyDescent="0.25">
      <c r="A28" t="s">
        <v>3807</v>
      </c>
      <c r="B28" t="s">
        <v>182</v>
      </c>
      <c r="C28" t="s">
        <v>3745</v>
      </c>
      <c r="D28" t="s">
        <v>3746</v>
      </c>
      <c r="E28" t="s">
        <v>90</v>
      </c>
      <c r="F28">
        <v>1</v>
      </c>
      <c r="G28">
        <v>1</v>
      </c>
      <c r="H28" t="s">
        <v>3754</v>
      </c>
      <c r="I28" t="s">
        <v>3808</v>
      </c>
      <c r="J28" t="s">
        <v>3461</v>
      </c>
      <c r="K28" t="s">
        <v>3809</v>
      </c>
      <c r="L28" t="s">
        <v>3810</v>
      </c>
      <c r="M28" t="s">
        <v>8066</v>
      </c>
    </row>
    <row r="29" spans="1:14" x14ac:dyDescent="0.25">
      <c r="A29" t="s">
        <v>3811</v>
      </c>
      <c r="B29" t="s">
        <v>182</v>
      </c>
      <c r="C29" t="s">
        <v>3745</v>
      </c>
      <c r="D29" t="s">
        <v>3746</v>
      </c>
      <c r="E29" t="s">
        <v>960</v>
      </c>
      <c r="F29">
        <v>1</v>
      </c>
      <c r="G29">
        <v>1</v>
      </c>
      <c r="H29" t="s">
        <v>3754</v>
      </c>
      <c r="I29" t="s">
        <v>3812</v>
      </c>
      <c r="J29" t="s">
        <v>3461</v>
      </c>
      <c r="K29" t="s">
        <v>3813</v>
      </c>
      <c r="L29" t="s">
        <v>3814</v>
      </c>
      <c r="M29" t="s">
        <v>8066</v>
      </c>
    </row>
    <row r="30" spans="1:14" x14ac:dyDescent="0.25">
      <c r="A30" t="s">
        <v>3815</v>
      </c>
      <c r="B30" t="s">
        <v>182</v>
      </c>
      <c r="C30" t="s">
        <v>3745</v>
      </c>
      <c r="D30" t="s">
        <v>3746</v>
      </c>
      <c r="E30" t="s">
        <v>960</v>
      </c>
      <c r="F30">
        <v>1</v>
      </c>
      <c r="G30">
        <v>1</v>
      </c>
      <c r="H30" t="s">
        <v>3754</v>
      </c>
      <c r="I30" t="s">
        <v>3816</v>
      </c>
      <c r="J30" t="s">
        <v>7457</v>
      </c>
      <c r="K30" t="s">
        <v>3817</v>
      </c>
      <c r="L30" t="s">
        <v>3818</v>
      </c>
      <c r="M30" t="s">
        <v>8066</v>
      </c>
    </row>
    <row r="31" spans="1:14" x14ac:dyDescent="0.25">
      <c r="A31" t="s">
        <v>3819</v>
      </c>
      <c r="B31" t="s">
        <v>182</v>
      </c>
      <c r="C31" t="s">
        <v>3745</v>
      </c>
      <c r="D31" t="s">
        <v>3746</v>
      </c>
      <c r="E31" t="s">
        <v>38</v>
      </c>
      <c r="F31">
        <v>1</v>
      </c>
      <c r="G31">
        <v>1</v>
      </c>
      <c r="H31" t="s">
        <v>3754</v>
      </c>
      <c r="I31" t="s">
        <v>3820</v>
      </c>
      <c r="J31" t="s">
        <v>3461</v>
      </c>
      <c r="K31" t="s">
        <v>3821</v>
      </c>
      <c r="L31" t="s">
        <v>3822</v>
      </c>
      <c r="M31" t="s">
        <v>8066</v>
      </c>
    </row>
    <row r="32" spans="1:14" x14ac:dyDescent="0.25">
      <c r="A32" t="s">
        <v>3823</v>
      </c>
      <c r="B32" t="s">
        <v>182</v>
      </c>
      <c r="C32" t="s">
        <v>3745</v>
      </c>
      <c r="D32" t="s">
        <v>3746</v>
      </c>
      <c r="E32" t="s">
        <v>38</v>
      </c>
      <c r="F32">
        <v>1</v>
      </c>
      <c r="G32">
        <v>1</v>
      </c>
      <c r="H32" t="s">
        <v>3754</v>
      </c>
      <c r="I32" t="s">
        <v>3824</v>
      </c>
      <c r="J32" t="s">
        <v>3461</v>
      </c>
      <c r="K32" t="s">
        <v>3825</v>
      </c>
      <c r="L32" t="s">
        <v>3826</v>
      </c>
      <c r="M32" t="s">
        <v>8066</v>
      </c>
    </row>
    <row r="33" spans="1:14" x14ac:dyDescent="0.25">
      <c r="A33" t="s">
        <v>3827</v>
      </c>
      <c r="B33" t="s">
        <v>182</v>
      </c>
      <c r="C33" t="s">
        <v>3745</v>
      </c>
      <c r="D33" t="s">
        <v>3795</v>
      </c>
      <c r="E33" t="s">
        <v>90</v>
      </c>
      <c r="F33">
        <v>1</v>
      </c>
      <c r="G33">
        <v>1</v>
      </c>
      <c r="H33" t="s">
        <v>3747</v>
      </c>
      <c r="I33" t="s">
        <v>3828</v>
      </c>
      <c r="J33" t="s">
        <v>7430</v>
      </c>
      <c r="K33" t="s">
        <v>3829</v>
      </c>
      <c r="L33" t="s">
        <v>3830</v>
      </c>
      <c r="M33" t="s">
        <v>8066</v>
      </c>
    </row>
    <row r="34" spans="1:14" x14ac:dyDescent="0.25">
      <c r="A34" t="s">
        <v>3831</v>
      </c>
      <c r="B34" t="s">
        <v>182</v>
      </c>
      <c r="C34" t="s">
        <v>3779</v>
      </c>
      <c r="D34" t="s">
        <v>3746</v>
      </c>
      <c r="E34" t="s">
        <v>90</v>
      </c>
      <c r="F34">
        <v>1</v>
      </c>
      <c r="G34">
        <v>2</v>
      </c>
      <c r="H34" t="s">
        <v>3747</v>
      </c>
      <c r="I34" t="s">
        <v>3832</v>
      </c>
      <c r="J34" t="s">
        <v>3461</v>
      </c>
      <c r="K34" t="s">
        <v>3833</v>
      </c>
      <c r="M34" t="s">
        <v>8066</v>
      </c>
    </row>
    <row r="35" spans="1:14" x14ac:dyDescent="0.25">
      <c r="A35" t="s">
        <v>3834</v>
      </c>
      <c r="B35" t="s">
        <v>182</v>
      </c>
      <c r="C35" t="s">
        <v>3779</v>
      </c>
      <c r="D35" t="s">
        <v>3746</v>
      </c>
      <c r="E35" t="s">
        <v>90</v>
      </c>
      <c r="F35">
        <v>1</v>
      </c>
      <c r="G35">
        <v>2</v>
      </c>
      <c r="H35" t="s">
        <v>3835</v>
      </c>
      <c r="I35" t="s">
        <v>8096</v>
      </c>
      <c r="J35" t="s">
        <v>3461</v>
      </c>
      <c r="K35" t="s">
        <v>3834</v>
      </c>
      <c r="M35" t="s">
        <v>8067</v>
      </c>
    </row>
    <row r="36" spans="1:14" x14ac:dyDescent="0.25">
      <c r="A36" t="s">
        <v>3836</v>
      </c>
      <c r="B36" t="s">
        <v>182</v>
      </c>
      <c r="C36" t="s">
        <v>3779</v>
      </c>
      <c r="D36" t="s">
        <v>3746</v>
      </c>
      <c r="E36" t="s">
        <v>38</v>
      </c>
      <c r="F36">
        <v>1</v>
      </c>
      <c r="G36">
        <v>2</v>
      </c>
      <c r="H36" t="s">
        <v>3754</v>
      </c>
      <c r="I36" t="s">
        <v>3837</v>
      </c>
      <c r="J36" t="s">
        <v>7467</v>
      </c>
      <c r="K36" t="s">
        <v>3838</v>
      </c>
      <c r="M36" t="s">
        <v>8066</v>
      </c>
    </row>
    <row r="37" spans="1:14" x14ac:dyDescent="0.25">
      <c r="A37" t="s">
        <v>3839</v>
      </c>
      <c r="B37" t="s">
        <v>182</v>
      </c>
      <c r="C37" t="s">
        <v>3793</v>
      </c>
      <c r="D37" t="s">
        <v>3746</v>
      </c>
      <c r="E37" t="s">
        <v>90</v>
      </c>
      <c r="F37">
        <v>1</v>
      </c>
      <c r="G37">
        <v>3</v>
      </c>
      <c r="H37" t="s">
        <v>3835</v>
      </c>
      <c r="I37" t="s">
        <v>8085</v>
      </c>
      <c r="J37" t="s">
        <v>7413</v>
      </c>
      <c r="K37" t="s">
        <v>3839</v>
      </c>
      <c r="M37" t="s">
        <v>8067</v>
      </c>
    </row>
    <row r="38" spans="1:14" x14ac:dyDescent="0.25">
      <c r="A38" t="s">
        <v>3840</v>
      </c>
      <c r="B38" t="s">
        <v>182</v>
      </c>
      <c r="C38" t="s">
        <v>3793</v>
      </c>
      <c r="D38" t="s">
        <v>3795</v>
      </c>
      <c r="E38" t="s">
        <v>90</v>
      </c>
      <c r="F38">
        <v>1</v>
      </c>
      <c r="G38">
        <v>3</v>
      </c>
      <c r="H38" t="s">
        <v>3841</v>
      </c>
      <c r="I38" t="s">
        <v>3842</v>
      </c>
      <c r="J38" t="s">
        <v>7425</v>
      </c>
      <c r="K38" t="s">
        <v>3840</v>
      </c>
      <c r="M38" t="s">
        <v>8066</v>
      </c>
    </row>
    <row r="39" spans="1:14" x14ac:dyDescent="0.25">
      <c r="A39" t="s">
        <v>3843</v>
      </c>
      <c r="B39" t="s">
        <v>222</v>
      </c>
      <c r="C39" t="s">
        <v>3745</v>
      </c>
      <c r="D39" t="s">
        <v>3746</v>
      </c>
      <c r="E39" t="s">
        <v>1649</v>
      </c>
      <c r="F39">
        <v>1</v>
      </c>
      <c r="G39">
        <v>1</v>
      </c>
      <c r="H39" t="s">
        <v>3747</v>
      </c>
      <c r="I39" t="s">
        <v>3844</v>
      </c>
      <c r="J39" t="s">
        <v>7441</v>
      </c>
      <c r="K39" t="s">
        <v>3843</v>
      </c>
      <c r="M39" t="s">
        <v>8066</v>
      </c>
    </row>
    <row r="40" spans="1:14" x14ac:dyDescent="0.25">
      <c r="A40" t="s">
        <v>7703</v>
      </c>
      <c r="B40" t="s">
        <v>222</v>
      </c>
      <c r="C40" t="s">
        <v>3745</v>
      </c>
      <c r="D40" t="s">
        <v>3746</v>
      </c>
      <c r="E40" t="s">
        <v>1649</v>
      </c>
      <c r="F40">
        <v>1</v>
      </c>
      <c r="G40">
        <v>1</v>
      </c>
      <c r="H40" t="s">
        <v>3754</v>
      </c>
      <c r="I40" t="s">
        <v>7704</v>
      </c>
      <c r="J40" t="s">
        <v>3461</v>
      </c>
      <c r="K40" t="s">
        <v>7705</v>
      </c>
      <c r="L40" t="s">
        <v>7706</v>
      </c>
      <c r="M40" t="s">
        <v>8066</v>
      </c>
    </row>
    <row r="41" spans="1:14" x14ac:dyDescent="0.25">
      <c r="A41" t="s">
        <v>3845</v>
      </c>
      <c r="B41" t="s">
        <v>222</v>
      </c>
      <c r="C41" t="s">
        <v>3745</v>
      </c>
      <c r="D41" t="s">
        <v>3746</v>
      </c>
      <c r="E41" t="s">
        <v>1201</v>
      </c>
      <c r="F41">
        <v>1</v>
      </c>
      <c r="G41">
        <v>1</v>
      </c>
      <c r="H41" t="s">
        <v>3747</v>
      </c>
      <c r="I41" t="s">
        <v>8070</v>
      </c>
      <c r="J41" t="s">
        <v>3461</v>
      </c>
      <c r="K41" t="s">
        <v>3845</v>
      </c>
      <c r="L41" t="s">
        <v>3846</v>
      </c>
      <c r="M41" t="s">
        <v>8066</v>
      </c>
      <c r="N41" t="s">
        <v>4327</v>
      </c>
    </row>
    <row r="42" spans="1:14" x14ac:dyDescent="0.25">
      <c r="A42" t="s">
        <v>7442</v>
      </c>
      <c r="B42" t="s">
        <v>222</v>
      </c>
      <c r="C42" t="s">
        <v>3745</v>
      </c>
      <c r="D42" t="s">
        <v>3746</v>
      </c>
      <c r="E42" t="s">
        <v>1649</v>
      </c>
      <c r="F42">
        <v>1</v>
      </c>
      <c r="G42">
        <v>1</v>
      </c>
      <c r="H42" t="s">
        <v>3747</v>
      </c>
      <c r="I42" t="s">
        <v>7443</v>
      </c>
      <c r="J42" t="s">
        <v>3461</v>
      </c>
      <c r="K42" t="s">
        <v>7442</v>
      </c>
      <c r="L42" t="s">
        <v>7444</v>
      </c>
      <c r="M42" t="s">
        <v>8066</v>
      </c>
    </row>
    <row r="43" spans="1:14" x14ac:dyDescent="0.25">
      <c r="A43" t="s">
        <v>3847</v>
      </c>
      <c r="B43" t="s">
        <v>222</v>
      </c>
      <c r="C43" t="s">
        <v>3745</v>
      </c>
      <c r="D43" t="s">
        <v>3746</v>
      </c>
      <c r="E43" t="s">
        <v>501</v>
      </c>
      <c r="F43">
        <v>1</v>
      </c>
      <c r="G43">
        <v>1</v>
      </c>
      <c r="H43" t="s">
        <v>3758</v>
      </c>
      <c r="I43" t="s">
        <v>3848</v>
      </c>
      <c r="J43" t="s">
        <v>3461</v>
      </c>
      <c r="K43" t="s">
        <v>3847</v>
      </c>
      <c r="L43" t="s">
        <v>3849</v>
      </c>
      <c r="M43" t="s">
        <v>8066</v>
      </c>
    </row>
    <row r="44" spans="1:14" x14ac:dyDescent="0.25">
      <c r="A44" t="s">
        <v>7692</v>
      </c>
      <c r="B44" t="s">
        <v>222</v>
      </c>
      <c r="C44" t="s">
        <v>3779</v>
      </c>
      <c r="D44" t="s">
        <v>3746</v>
      </c>
      <c r="E44" t="s">
        <v>1649</v>
      </c>
      <c r="F44">
        <v>1</v>
      </c>
      <c r="G44">
        <v>2</v>
      </c>
      <c r="H44" t="s">
        <v>3747</v>
      </c>
      <c r="I44" t="s">
        <v>7693</v>
      </c>
      <c r="J44" t="s">
        <v>3461</v>
      </c>
      <c r="K44" t="s">
        <v>7694</v>
      </c>
      <c r="L44" t="s">
        <v>7695</v>
      </c>
      <c r="M44" t="s">
        <v>8066</v>
      </c>
    </row>
    <row r="45" spans="1:14" x14ac:dyDescent="0.25">
      <c r="A45" t="s">
        <v>7983</v>
      </c>
      <c r="B45" t="s">
        <v>222</v>
      </c>
      <c r="C45" t="s">
        <v>3779</v>
      </c>
      <c r="D45" t="s">
        <v>3746</v>
      </c>
      <c r="E45" t="s">
        <v>1649</v>
      </c>
      <c r="F45">
        <v>1</v>
      </c>
      <c r="G45">
        <v>2</v>
      </c>
      <c r="H45" t="s">
        <v>3841</v>
      </c>
      <c r="I45" t="s">
        <v>7984</v>
      </c>
      <c r="J45" t="s">
        <v>7987</v>
      </c>
      <c r="K45" t="s">
        <v>7986</v>
      </c>
      <c r="M45" t="s">
        <v>8066</v>
      </c>
    </row>
    <row r="46" spans="1:14" x14ac:dyDescent="0.25">
      <c r="A46" t="s">
        <v>7972</v>
      </c>
      <c r="B46" t="s">
        <v>222</v>
      </c>
      <c r="C46" t="s">
        <v>3779</v>
      </c>
      <c r="D46" t="s">
        <v>3746</v>
      </c>
      <c r="E46" t="s">
        <v>1649</v>
      </c>
      <c r="F46">
        <v>1</v>
      </c>
      <c r="G46">
        <v>2</v>
      </c>
      <c r="H46" t="s">
        <v>3758</v>
      </c>
      <c r="I46" t="s">
        <v>7973</v>
      </c>
      <c r="J46" t="s">
        <v>3461</v>
      </c>
      <c r="K46" t="s">
        <v>7972</v>
      </c>
      <c r="L46" t="s">
        <v>7985</v>
      </c>
      <c r="M46" t="s">
        <v>8066</v>
      </c>
    </row>
    <row r="47" spans="1:14" x14ac:dyDescent="0.25">
      <c r="A47" t="s">
        <v>3850</v>
      </c>
      <c r="B47" t="s">
        <v>222</v>
      </c>
      <c r="C47" t="s">
        <v>3779</v>
      </c>
      <c r="D47" t="s">
        <v>3746</v>
      </c>
      <c r="E47" t="s">
        <v>1649</v>
      </c>
      <c r="F47">
        <v>1</v>
      </c>
      <c r="G47">
        <v>2</v>
      </c>
      <c r="H47" t="s">
        <v>3754</v>
      </c>
      <c r="I47" t="s">
        <v>3851</v>
      </c>
      <c r="J47" t="s">
        <v>7412</v>
      </c>
      <c r="K47" t="s">
        <v>3850</v>
      </c>
      <c r="M47" t="s">
        <v>8066</v>
      </c>
    </row>
    <row r="48" spans="1:14" x14ac:dyDescent="0.25">
      <c r="A48" t="s">
        <v>3852</v>
      </c>
      <c r="B48" t="s">
        <v>222</v>
      </c>
      <c r="C48" t="s">
        <v>3779</v>
      </c>
      <c r="D48" t="s">
        <v>3746</v>
      </c>
      <c r="E48" t="s">
        <v>1649</v>
      </c>
      <c r="F48">
        <v>1</v>
      </c>
      <c r="G48">
        <v>2</v>
      </c>
      <c r="H48" t="s">
        <v>3754</v>
      </c>
      <c r="I48" t="s">
        <v>3853</v>
      </c>
      <c r="J48" t="s">
        <v>7408</v>
      </c>
      <c r="K48" t="s">
        <v>3854</v>
      </c>
      <c r="L48" t="s">
        <v>3822</v>
      </c>
      <c r="M48" t="s">
        <v>8066</v>
      </c>
    </row>
    <row r="49" spans="1:13" x14ac:dyDescent="0.25">
      <c r="A49" t="s">
        <v>3855</v>
      </c>
      <c r="B49" t="s">
        <v>222</v>
      </c>
      <c r="C49" t="s">
        <v>3779</v>
      </c>
      <c r="D49" t="s">
        <v>3790</v>
      </c>
      <c r="E49" t="s">
        <v>501</v>
      </c>
      <c r="F49">
        <v>1</v>
      </c>
      <c r="G49">
        <v>2</v>
      </c>
      <c r="H49" t="s">
        <v>3754</v>
      </c>
      <c r="I49" t="s">
        <v>3856</v>
      </c>
      <c r="J49" t="s">
        <v>7405</v>
      </c>
      <c r="K49" t="s">
        <v>3855</v>
      </c>
      <c r="M49" t="s">
        <v>8066</v>
      </c>
    </row>
    <row r="50" spans="1:13" x14ac:dyDescent="0.25">
      <c r="A50" t="s">
        <v>3857</v>
      </c>
      <c r="B50" t="s">
        <v>222</v>
      </c>
      <c r="C50" t="s">
        <v>3779</v>
      </c>
      <c r="D50" t="s">
        <v>3746</v>
      </c>
      <c r="E50" t="s">
        <v>1649</v>
      </c>
      <c r="F50">
        <v>1</v>
      </c>
      <c r="G50">
        <v>2</v>
      </c>
      <c r="H50" t="s">
        <v>3747</v>
      </c>
      <c r="I50" t="s">
        <v>3858</v>
      </c>
      <c r="J50" t="s">
        <v>3461</v>
      </c>
      <c r="K50" t="s">
        <v>3857</v>
      </c>
      <c r="L50" t="s">
        <v>3859</v>
      </c>
      <c r="M50" t="s">
        <v>8066</v>
      </c>
    </row>
    <row r="51" spans="1:13" x14ac:dyDescent="0.25">
      <c r="A51" t="s">
        <v>3860</v>
      </c>
      <c r="B51" t="s">
        <v>222</v>
      </c>
      <c r="C51" t="s">
        <v>3779</v>
      </c>
      <c r="D51" t="s">
        <v>3746</v>
      </c>
      <c r="E51" t="s">
        <v>1649</v>
      </c>
      <c r="F51">
        <v>1</v>
      </c>
      <c r="G51">
        <v>2</v>
      </c>
      <c r="H51" t="s">
        <v>3754</v>
      </c>
      <c r="I51" t="s">
        <v>3861</v>
      </c>
      <c r="J51" t="s">
        <v>7688</v>
      </c>
      <c r="K51" t="s">
        <v>3860</v>
      </c>
      <c r="L51" t="s">
        <v>3862</v>
      </c>
      <c r="M51" t="s">
        <v>8066</v>
      </c>
    </row>
    <row r="52" spans="1:13" x14ac:dyDescent="0.25">
      <c r="A52" t="s">
        <v>3863</v>
      </c>
      <c r="B52" t="s">
        <v>222</v>
      </c>
      <c r="C52" t="s">
        <v>3779</v>
      </c>
      <c r="D52" t="s">
        <v>3746</v>
      </c>
      <c r="E52" t="s">
        <v>1649</v>
      </c>
      <c r="F52">
        <v>1</v>
      </c>
      <c r="G52">
        <v>2</v>
      </c>
      <c r="H52" t="s">
        <v>3754</v>
      </c>
      <c r="I52" t="s">
        <v>3864</v>
      </c>
      <c r="J52" t="s">
        <v>3461</v>
      </c>
      <c r="K52" t="s">
        <v>3865</v>
      </c>
      <c r="L52" t="s">
        <v>3866</v>
      </c>
      <c r="M52" t="s">
        <v>8066</v>
      </c>
    </row>
    <row r="53" spans="1:13" x14ac:dyDescent="0.25">
      <c r="A53" t="s">
        <v>3867</v>
      </c>
      <c r="B53" t="s">
        <v>222</v>
      </c>
      <c r="C53" t="s">
        <v>3779</v>
      </c>
      <c r="D53" t="s">
        <v>3746</v>
      </c>
      <c r="E53" t="s">
        <v>1129</v>
      </c>
      <c r="F53">
        <v>1</v>
      </c>
      <c r="G53">
        <v>2</v>
      </c>
      <c r="H53" t="s">
        <v>3841</v>
      </c>
      <c r="I53" t="s">
        <v>3868</v>
      </c>
      <c r="J53" t="s">
        <v>3461</v>
      </c>
      <c r="K53" t="s">
        <v>3867</v>
      </c>
      <c r="M53" t="s">
        <v>8066</v>
      </c>
    </row>
    <row r="54" spans="1:13" x14ac:dyDescent="0.25">
      <c r="A54" t="s">
        <v>3869</v>
      </c>
      <c r="B54" t="s">
        <v>222</v>
      </c>
      <c r="C54" t="s">
        <v>3793</v>
      </c>
      <c r="D54" t="s">
        <v>3746</v>
      </c>
      <c r="E54" t="s">
        <v>501</v>
      </c>
      <c r="F54">
        <v>1</v>
      </c>
      <c r="G54">
        <v>3</v>
      </c>
      <c r="H54" t="s">
        <v>3841</v>
      </c>
      <c r="I54" t="s">
        <v>3870</v>
      </c>
      <c r="J54" t="s">
        <v>7468</v>
      </c>
      <c r="K54" t="s">
        <v>3871</v>
      </c>
      <c r="M54" t="s">
        <v>8066</v>
      </c>
    </row>
    <row r="55" spans="1:13" x14ac:dyDescent="0.25">
      <c r="A55" t="s">
        <v>7977</v>
      </c>
      <c r="B55" t="s">
        <v>222</v>
      </c>
      <c r="C55" t="s">
        <v>3793</v>
      </c>
      <c r="D55" t="s">
        <v>3746</v>
      </c>
      <c r="E55" t="s">
        <v>1649</v>
      </c>
      <c r="F55">
        <v>1</v>
      </c>
      <c r="G55">
        <v>3</v>
      </c>
      <c r="H55" t="s">
        <v>3747</v>
      </c>
      <c r="I55" t="s">
        <v>7980</v>
      </c>
      <c r="J55" t="s">
        <v>7978</v>
      </c>
      <c r="K55" t="s">
        <v>7982</v>
      </c>
      <c r="L55" t="s">
        <v>7981</v>
      </c>
      <c r="M55" t="s">
        <v>8066</v>
      </c>
    </row>
    <row r="56" spans="1:13" x14ac:dyDescent="0.25">
      <c r="A56" t="s">
        <v>3872</v>
      </c>
      <c r="B56" t="s">
        <v>222</v>
      </c>
      <c r="C56" t="s">
        <v>3793</v>
      </c>
      <c r="D56" t="s">
        <v>3746</v>
      </c>
      <c r="E56" t="s">
        <v>1649</v>
      </c>
      <c r="F56">
        <v>1</v>
      </c>
      <c r="G56">
        <v>3</v>
      </c>
      <c r="H56" t="s">
        <v>3754</v>
      </c>
      <c r="I56" t="s">
        <v>3873</v>
      </c>
      <c r="J56" t="s">
        <v>7687</v>
      </c>
      <c r="K56" t="s">
        <v>3874</v>
      </c>
      <c r="L56" t="s">
        <v>3875</v>
      </c>
      <c r="M56" t="s">
        <v>8066</v>
      </c>
    </row>
    <row r="57" spans="1:13" x14ac:dyDescent="0.25">
      <c r="A57" t="s">
        <v>1168</v>
      </c>
      <c r="B57" t="s">
        <v>222</v>
      </c>
      <c r="C57" t="s">
        <v>3913</v>
      </c>
      <c r="D57" t="s">
        <v>3746</v>
      </c>
      <c r="E57" t="s">
        <v>1649</v>
      </c>
      <c r="F57">
        <v>1</v>
      </c>
      <c r="G57">
        <v>4</v>
      </c>
      <c r="H57" t="s">
        <v>3754</v>
      </c>
      <c r="I57" t="s">
        <v>7696</v>
      </c>
      <c r="J57" t="s">
        <v>7702</v>
      </c>
      <c r="K57" t="s">
        <v>1168</v>
      </c>
      <c r="L57" t="s">
        <v>458</v>
      </c>
      <c r="M57" t="s">
        <v>8066</v>
      </c>
    </row>
    <row r="58" spans="1:13" x14ac:dyDescent="0.25">
      <c r="A58" t="s">
        <v>7974</v>
      </c>
      <c r="B58" t="s">
        <v>222</v>
      </c>
      <c r="C58" t="s">
        <v>3913</v>
      </c>
      <c r="D58" t="s">
        <v>3746</v>
      </c>
      <c r="E58" t="s">
        <v>1649</v>
      </c>
      <c r="F58">
        <v>1</v>
      </c>
      <c r="G58">
        <v>4</v>
      </c>
      <c r="H58" t="s">
        <v>3747</v>
      </c>
      <c r="I58" t="s">
        <v>7975</v>
      </c>
      <c r="J58" t="s">
        <v>3461</v>
      </c>
      <c r="K58" t="s">
        <v>7976</v>
      </c>
      <c r="L58" t="s">
        <v>3866</v>
      </c>
      <c r="M58" t="s">
        <v>8066</v>
      </c>
    </row>
    <row r="59" spans="1:13" x14ac:dyDescent="0.25">
      <c r="A59" t="s">
        <v>7897</v>
      </c>
      <c r="B59" t="s">
        <v>179</v>
      </c>
      <c r="C59" t="s">
        <v>3745</v>
      </c>
      <c r="D59" t="s">
        <v>3746</v>
      </c>
      <c r="E59" t="s">
        <v>1795</v>
      </c>
      <c r="F59">
        <v>1</v>
      </c>
      <c r="G59">
        <v>1</v>
      </c>
      <c r="H59" t="s">
        <v>3835</v>
      </c>
      <c r="I59" t="s">
        <v>8086</v>
      </c>
      <c r="J59" t="s">
        <v>3461</v>
      </c>
      <c r="K59" t="s">
        <v>7898</v>
      </c>
      <c r="M59" t="s">
        <v>8067</v>
      </c>
    </row>
    <row r="60" spans="1:13" x14ac:dyDescent="0.25">
      <c r="A60" t="s">
        <v>3876</v>
      </c>
      <c r="B60" t="s">
        <v>179</v>
      </c>
      <c r="C60" t="s">
        <v>3745</v>
      </c>
      <c r="D60" t="s">
        <v>3746</v>
      </c>
      <c r="E60" t="s">
        <v>1795</v>
      </c>
      <c r="F60">
        <v>1</v>
      </c>
      <c r="G60">
        <v>1</v>
      </c>
      <c r="H60" t="s">
        <v>3841</v>
      </c>
      <c r="I60" t="s">
        <v>3877</v>
      </c>
      <c r="J60" t="s">
        <v>7469</v>
      </c>
      <c r="K60" t="s">
        <v>3876</v>
      </c>
      <c r="M60" t="s">
        <v>8066</v>
      </c>
    </row>
    <row r="61" spans="1:13" x14ac:dyDescent="0.25">
      <c r="A61" t="s">
        <v>7689</v>
      </c>
      <c r="B61" t="s">
        <v>179</v>
      </c>
      <c r="C61" t="s">
        <v>3745</v>
      </c>
      <c r="D61" t="s">
        <v>3746</v>
      </c>
      <c r="E61" t="s">
        <v>689</v>
      </c>
      <c r="F61">
        <v>1</v>
      </c>
      <c r="G61">
        <v>1</v>
      </c>
      <c r="H61" t="s">
        <v>3747</v>
      </c>
      <c r="I61" t="s">
        <v>7690</v>
      </c>
      <c r="J61" t="s">
        <v>3461</v>
      </c>
      <c r="K61" t="s">
        <v>7689</v>
      </c>
      <c r="L61" t="s">
        <v>7691</v>
      </c>
      <c r="M61" t="s">
        <v>8066</v>
      </c>
    </row>
    <row r="62" spans="1:13" x14ac:dyDescent="0.25">
      <c r="A62" t="s">
        <v>3878</v>
      </c>
      <c r="B62" t="s">
        <v>179</v>
      </c>
      <c r="C62" t="s">
        <v>3779</v>
      </c>
      <c r="D62" t="s">
        <v>3746</v>
      </c>
      <c r="E62" t="s">
        <v>1795</v>
      </c>
      <c r="F62">
        <v>1</v>
      </c>
      <c r="G62">
        <v>2</v>
      </c>
      <c r="H62" t="s">
        <v>3835</v>
      </c>
      <c r="I62" t="s">
        <v>8087</v>
      </c>
      <c r="J62" t="s">
        <v>7400</v>
      </c>
      <c r="K62" t="s">
        <v>3879</v>
      </c>
      <c r="M62" t="s">
        <v>8067</v>
      </c>
    </row>
    <row r="63" spans="1:13" x14ac:dyDescent="0.25">
      <c r="A63" t="s">
        <v>3880</v>
      </c>
      <c r="B63" t="s">
        <v>179</v>
      </c>
      <c r="C63" t="s">
        <v>3779</v>
      </c>
      <c r="D63" t="s">
        <v>3746</v>
      </c>
      <c r="E63" t="s">
        <v>1795</v>
      </c>
      <c r="F63">
        <v>1</v>
      </c>
      <c r="G63">
        <v>2</v>
      </c>
      <c r="H63" t="s">
        <v>3754</v>
      </c>
      <c r="I63" t="s">
        <v>3881</v>
      </c>
      <c r="J63" t="s">
        <v>7401</v>
      </c>
      <c r="K63" t="s">
        <v>3880</v>
      </c>
      <c r="M63" t="s">
        <v>8066</v>
      </c>
    </row>
    <row r="64" spans="1:13" x14ac:dyDescent="0.25">
      <c r="A64" t="s">
        <v>7894</v>
      </c>
      <c r="B64" t="s">
        <v>179</v>
      </c>
      <c r="C64" t="s">
        <v>3793</v>
      </c>
      <c r="D64" t="s">
        <v>3746</v>
      </c>
      <c r="E64" t="s">
        <v>553</v>
      </c>
      <c r="F64">
        <v>1</v>
      </c>
      <c r="G64">
        <v>3</v>
      </c>
      <c r="H64" t="s">
        <v>3754</v>
      </c>
      <c r="I64" t="s">
        <v>7895</v>
      </c>
      <c r="J64" t="s">
        <v>3461</v>
      </c>
      <c r="K64" t="s">
        <v>7896</v>
      </c>
      <c r="L64" t="s">
        <v>3822</v>
      </c>
      <c r="M64" t="s">
        <v>8066</v>
      </c>
    </row>
    <row r="65" spans="1:13" x14ac:dyDescent="0.25">
      <c r="A65" t="s">
        <v>3882</v>
      </c>
      <c r="B65" t="s">
        <v>179</v>
      </c>
      <c r="C65" t="s">
        <v>3793</v>
      </c>
      <c r="D65" t="s">
        <v>3746</v>
      </c>
      <c r="E65" t="s">
        <v>1795</v>
      </c>
      <c r="F65">
        <v>1</v>
      </c>
      <c r="G65">
        <v>3</v>
      </c>
      <c r="H65" t="s">
        <v>3754</v>
      </c>
      <c r="I65" t="s">
        <v>3883</v>
      </c>
      <c r="J65" t="s">
        <v>3461</v>
      </c>
      <c r="K65" t="s">
        <v>3882</v>
      </c>
      <c r="M65" t="s">
        <v>8066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3737</v>
      </c>
      <c r="D1" t="s">
        <v>3738</v>
      </c>
      <c r="E1" t="s">
        <v>1</v>
      </c>
      <c r="F1" t="s">
        <v>3444</v>
      </c>
      <c r="G1" t="s">
        <v>3739</v>
      </c>
      <c r="H1" t="s">
        <v>3740</v>
      </c>
      <c r="I1" t="s">
        <v>3741</v>
      </c>
      <c r="J1" t="s">
        <v>3742</v>
      </c>
      <c r="K1" t="s">
        <v>171</v>
      </c>
      <c r="L1" t="s">
        <v>3743</v>
      </c>
      <c r="M1" t="s">
        <v>7471</v>
      </c>
      <c r="N1" t="s">
        <v>8065</v>
      </c>
      <c r="O1" t="s">
        <v>8042</v>
      </c>
    </row>
    <row r="2" spans="1:15" x14ac:dyDescent="0.25">
      <c r="A2" t="s">
        <v>3884</v>
      </c>
      <c r="B2" t="s">
        <v>176</v>
      </c>
      <c r="C2" t="s">
        <v>3745</v>
      </c>
      <c r="D2" t="s">
        <v>3795</v>
      </c>
      <c r="E2" t="s">
        <v>1046</v>
      </c>
      <c r="F2">
        <v>1</v>
      </c>
      <c r="G2">
        <v>3</v>
      </c>
      <c r="H2" t="s">
        <v>3758</v>
      </c>
      <c r="I2" t="s">
        <v>8091</v>
      </c>
      <c r="J2" t="s">
        <v>7452</v>
      </c>
      <c r="K2" t="s">
        <v>3884</v>
      </c>
      <c r="L2" t="s">
        <v>3885</v>
      </c>
      <c r="N2" t="s">
        <v>8066</v>
      </c>
    </row>
    <row r="3" spans="1:15" x14ac:dyDescent="0.25">
      <c r="A3" t="s">
        <v>3886</v>
      </c>
      <c r="B3" t="s">
        <v>176</v>
      </c>
      <c r="C3" t="s">
        <v>3745</v>
      </c>
      <c r="D3" t="s">
        <v>3795</v>
      </c>
      <c r="E3" t="s">
        <v>1752</v>
      </c>
      <c r="F3">
        <v>1</v>
      </c>
      <c r="G3">
        <v>3</v>
      </c>
      <c r="H3" t="s">
        <v>3747</v>
      </c>
      <c r="I3" t="s">
        <v>3887</v>
      </c>
      <c r="J3" t="s">
        <v>3461</v>
      </c>
      <c r="K3" t="s">
        <v>3888</v>
      </c>
      <c r="L3" t="s">
        <v>3889</v>
      </c>
      <c r="N3" t="s">
        <v>8066</v>
      </c>
    </row>
    <row r="4" spans="1:15" x14ac:dyDescent="0.25">
      <c r="A4" t="s">
        <v>3890</v>
      </c>
      <c r="B4" t="s">
        <v>176</v>
      </c>
      <c r="C4" t="s">
        <v>3745</v>
      </c>
      <c r="D4" t="s">
        <v>3795</v>
      </c>
      <c r="E4" t="s">
        <v>2132</v>
      </c>
      <c r="F4">
        <v>1</v>
      </c>
      <c r="G4">
        <v>3</v>
      </c>
      <c r="H4" t="s">
        <v>3841</v>
      </c>
      <c r="I4" t="s">
        <v>3891</v>
      </c>
      <c r="J4" t="s">
        <v>7383</v>
      </c>
      <c r="K4" t="s">
        <v>3890</v>
      </c>
      <c r="N4" t="s">
        <v>8066</v>
      </c>
    </row>
    <row r="5" spans="1:15" x14ac:dyDescent="0.25">
      <c r="A5" t="s">
        <v>3892</v>
      </c>
      <c r="B5" t="s">
        <v>176</v>
      </c>
      <c r="C5" t="s">
        <v>3745</v>
      </c>
      <c r="D5" t="s">
        <v>3746</v>
      </c>
      <c r="E5" t="s">
        <v>160</v>
      </c>
      <c r="F5">
        <v>1</v>
      </c>
      <c r="G5">
        <v>3</v>
      </c>
      <c r="H5" t="s">
        <v>3835</v>
      </c>
      <c r="I5" t="s">
        <v>8088</v>
      </c>
      <c r="J5" t="s">
        <v>7460</v>
      </c>
      <c r="K5" t="s">
        <v>3892</v>
      </c>
      <c r="N5" t="s">
        <v>8067</v>
      </c>
    </row>
    <row r="6" spans="1:15" x14ac:dyDescent="0.25">
      <c r="A6" t="s">
        <v>7362</v>
      </c>
      <c r="B6" t="s">
        <v>176</v>
      </c>
      <c r="C6" t="s">
        <v>3745</v>
      </c>
      <c r="D6" t="s">
        <v>3795</v>
      </c>
      <c r="E6" t="s">
        <v>2173</v>
      </c>
      <c r="F6">
        <v>1</v>
      </c>
      <c r="G6">
        <v>3</v>
      </c>
      <c r="H6" t="s">
        <v>3754</v>
      </c>
      <c r="I6" t="s">
        <v>7363</v>
      </c>
      <c r="J6" t="s">
        <v>3461</v>
      </c>
      <c r="K6" t="s">
        <v>7362</v>
      </c>
      <c r="L6" t="s">
        <v>4573</v>
      </c>
      <c r="N6" t="s">
        <v>8066</v>
      </c>
    </row>
    <row r="7" spans="1:15" x14ac:dyDescent="0.25">
      <c r="A7" t="s">
        <v>3893</v>
      </c>
      <c r="B7" t="s">
        <v>176</v>
      </c>
      <c r="C7" t="s">
        <v>3745</v>
      </c>
      <c r="D7" t="s">
        <v>3795</v>
      </c>
      <c r="E7" t="s">
        <v>2619</v>
      </c>
      <c r="F7">
        <v>1</v>
      </c>
      <c r="G7">
        <v>3</v>
      </c>
      <c r="H7" t="s">
        <v>3747</v>
      </c>
      <c r="I7" t="s">
        <v>3894</v>
      </c>
      <c r="J7" t="s">
        <v>7462</v>
      </c>
      <c r="K7" t="s">
        <v>3895</v>
      </c>
      <c r="N7" t="s">
        <v>8066</v>
      </c>
    </row>
    <row r="8" spans="1:15" x14ac:dyDescent="0.25">
      <c r="A8" t="s">
        <v>3896</v>
      </c>
      <c r="B8" t="s">
        <v>176</v>
      </c>
      <c r="C8" t="s">
        <v>3745</v>
      </c>
      <c r="D8" t="s">
        <v>3746</v>
      </c>
      <c r="E8" t="s">
        <v>1294</v>
      </c>
      <c r="F8">
        <v>1</v>
      </c>
      <c r="G8">
        <v>3</v>
      </c>
      <c r="H8" t="s">
        <v>3758</v>
      </c>
      <c r="I8" t="s">
        <v>3897</v>
      </c>
      <c r="J8" t="s">
        <v>3461</v>
      </c>
      <c r="K8" t="s">
        <v>3896</v>
      </c>
      <c r="N8" t="s">
        <v>8066</v>
      </c>
    </row>
    <row r="9" spans="1:15" x14ac:dyDescent="0.25">
      <c r="A9" t="s">
        <v>3898</v>
      </c>
      <c r="B9" t="s">
        <v>176</v>
      </c>
      <c r="C9" t="s">
        <v>3745</v>
      </c>
      <c r="D9" t="s">
        <v>3746</v>
      </c>
      <c r="E9" t="s">
        <v>160</v>
      </c>
      <c r="F9">
        <v>1</v>
      </c>
      <c r="G9">
        <v>3</v>
      </c>
      <c r="H9" t="s">
        <v>3841</v>
      </c>
      <c r="I9" t="s">
        <v>3899</v>
      </c>
      <c r="J9" t="s">
        <v>3461</v>
      </c>
      <c r="K9" t="s">
        <v>3898</v>
      </c>
      <c r="N9" t="s">
        <v>8066</v>
      </c>
    </row>
    <row r="10" spans="1:15" x14ac:dyDescent="0.25">
      <c r="A10" t="s">
        <v>7907</v>
      </c>
      <c r="B10" t="s">
        <v>176</v>
      </c>
      <c r="C10" t="s">
        <v>3745</v>
      </c>
      <c r="D10" t="s">
        <v>3746</v>
      </c>
      <c r="E10" t="s">
        <v>2619</v>
      </c>
      <c r="F10">
        <v>1</v>
      </c>
      <c r="G10">
        <v>3</v>
      </c>
      <c r="H10" t="s">
        <v>3754</v>
      </c>
      <c r="I10" t="s">
        <v>7908</v>
      </c>
      <c r="J10" t="s">
        <v>3461</v>
      </c>
      <c r="K10" t="s">
        <v>7909</v>
      </c>
      <c r="N10" t="s">
        <v>8066</v>
      </c>
    </row>
    <row r="11" spans="1:15" x14ac:dyDescent="0.25">
      <c r="A11" t="s">
        <v>3900</v>
      </c>
      <c r="B11" t="s">
        <v>176</v>
      </c>
      <c r="C11" t="s">
        <v>3779</v>
      </c>
      <c r="D11" t="s">
        <v>3901</v>
      </c>
      <c r="E11" t="s">
        <v>1294</v>
      </c>
      <c r="F11">
        <v>1</v>
      </c>
      <c r="G11">
        <v>5</v>
      </c>
      <c r="H11" t="s">
        <v>3758</v>
      </c>
      <c r="I11" t="s">
        <v>3902</v>
      </c>
      <c r="J11" t="s">
        <v>3461</v>
      </c>
      <c r="K11" t="s">
        <v>3900</v>
      </c>
      <c r="N11" t="s">
        <v>8066</v>
      </c>
    </row>
    <row r="12" spans="1:15" x14ac:dyDescent="0.25">
      <c r="A12" t="s">
        <v>3903</v>
      </c>
      <c r="B12" t="s">
        <v>176</v>
      </c>
      <c r="C12" t="s">
        <v>3779</v>
      </c>
      <c r="D12" t="s">
        <v>3746</v>
      </c>
      <c r="E12" t="s">
        <v>160</v>
      </c>
      <c r="F12">
        <v>1</v>
      </c>
      <c r="G12">
        <v>5</v>
      </c>
      <c r="H12" t="s">
        <v>3754</v>
      </c>
      <c r="I12" t="s">
        <v>3904</v>
      </c>
      <c r="J12" t="s">
        <v>3461</v>
      </c>
      <c r="K12" t="s">
        <v>3905</v>
      </c>
      <c r="N12" t="s">
        <v>8066</v>
      </c>
    </row>
    <row r="13" spans="1:15" x14ac:dyDescent="0.25">
      <c r="A13" t="s">
        <v>7890</v>
      </c>
      <c r="B13" t="s">
        <v>176</v>
      </c>
      <c r="C13" t="s">
        <v>3779</v>
      </c>
      <c r="D13" t="s">
        <v>3746</v>
      </c>
      <c r="E13" t="s">
        <v>1046</v>
      </c>
      <c r="F13">
        <v>1</v>
      </c>
      <c r="G13">
        <v>5</v>
      </c>
      <c r="H13" t="s">
        <v>3754</v>
      </c>
      <c r="I13" t="s">
        <v>7891</v>
      </c>
      <c r="J13" t="s">
        <v>3461</v>
      </c>
      <c r="K13" t="s">
        <v>7892</v>
      </c>
      <c r="L13" t="s">
        <v>7893</v>
      </c>
      <c r="N13" t="s">
        <v>8066</v>
      </c>
    </row>
    <row r="14" spans="1:15" x14ac:dyDescent="0.25">
      <c r="A14" t="s">
        <v>3906</v>
      </c>
      <c r="B14" t="s">
        <v>176</v>
      </c>
      <c r="C14" t="s">
        <v>3779</v>
      </c>
      <c r="D14" t="s">
        <v>3746</v>
      </c>
      <c r="E14" t="s">
        <v>1029</v>
      </c>
      <c r="F14">
        <v>1</v>
      </c>
      <c r="G14">
        <v>5</v>
      </c>
      <c r="H14" t="s">
        <v>3754</v>
      </c>
      <c r="I14" t="s">
        <v>3907</v>
      </c>
      <c r="J14" t="s">
        <v>7450</v>
      </c>
      <c r="K14" t="s">
        <v>3908</v>
      </c>
      <c r="N14" t="s">
        <v>8066</v>
      </c>
    </row>
    <row r="15" spans="1:15" x14ac:dyDescent="0.25">
      <c r="A15" t="s">
        <v>3909</v>
      </c>
      <c r="B15" t="s">
        <v>176</v>
      </c>
      <c r="C15" t="s">
        <v>3779</v>
      </c>
      <c r="D15" t="s">
        <v>3746</v>
      </c>
      <c r="E15" t="s">
        <v>1298</v>
      </c>
      <c r="F15">
        <v>1</v>
      </c>
      <c r="G15">
        <v>5</v>
      </c>
      <c r="H15" t="s">
        <v>3754</v>
      </c>
      <c r="I15" t="s">
        <v>3910</v>
      </c>
      <c r="J15" t="s">
        <v>3461</v>
      </c>
      <c r="K15" t="s">
        <v>3909</v>
      </c>
      <c r="N15" t="s">
        <v>8066</v>
      </c>
    </row>
    <row r="16" spans="1:15" x14ac:dyDescent="0.25">
      <c r="A16" t="s">
        <v>7905</v>
      </c>
      <c r="B16" t="s">
        <v>176</v>
      </c>
      <c r="C16" t="s">
        <v>3779</v>
      </c>
      <c r="D16" t="s">
        <v>7906</v>
      </c>
      <c r="E16" t="s">
        <v>1046</v>
      </c>
      <c r="F16">
        <v>1</v>
      </c>
      <c r="G16">
        <v>5</v>
      </c>
      <c r="H16" t="s">
        <v>3754</v>
      </c>
      <c r="I16" t="s">
        <v>7904</v>
      </c>
      <c r="J16" t="s">
        <v>3461</v>
      </c>
      <c r="K16" t="s">
        <v>7905</v>
      </c>
      <c r="N16" t="s">
        <v>8066</v>
      </c>
    </row>
    <row r="17" spans="1:14" x14ac:dyDescent="0.25">
      <c r="A17" t="s">
        <v>3471</v>
      </c>
      <c r="B17" t="s">
        <v>176</v>
      </c>
      <c r="C17" t="s">
        <v>3793</v>
      </c>
      <c r="D17" t="s">
        <v>3746</v>
      </c>
      <c r="E17" t="s">
        <v>160</v>
      </c>
      <c r="F17">
        <v>1</v>
      </c>
      <c r="G17">
        <v>7</v>
      </c>
      <c r="H17" t="s">
        <v>3747</v>
      </c>
      <c r="I17" t="s">
        <v>3911</v>
      </c>
      <c r="J17" t="s">
        <v>3461</v>
      </c>
      <c r="K17" t="s">
        <v>3471</v>
      </c>
      <c r="N17" t="s">
        <v>8066</v>
      </c>
    </row>
    <row r="18" spans="1:14" x14ac:dyDescent="0.25">
      <c r="A18" t="s">
        <v>3912</v>
      </c>
      <c r="B18" t="s">
        <v>176</v>
      </c>
      <c r="C18" t="s">
        <v>3913</v>
      </c>
      <c r="D18" t="s">
        <v>3790</v>
      </c>
      <c r="E18" t="s">
        <v>1046</v>
      </c>
      <c r="F18">
        <v>1</v>
      </c>
      <c r="G18">
        <v>9</v>
      </c>
      <c r="H18" t="s">
        <v>3747</v>
      </c>
      <c r="I18" t="s">
        <v>3914</v>
      </c>
      <c r="J18" t="s">
        <v>3461</v>
      </c>
      <c r="K18" t="s">
        <v>3912</v>
      </c>
      <c r="L18" t="s">
        <v>3765</v>
      </c>
      <c r="N18" t="s">
        <v>8066</v>
      </c>
    </row>
    <row r="19" spans="1:14" x14ac:dyDescent="0.25">
      <c r="A19" t="s">
        <v>7910</v>
      </c>
      <c r="B19" t="s">
        <v>176</v>
      </c>
      <c r="C19" t="s">
        <v>3913</v>
      </c>
      <c r="D19" t="s">
        <v>3795</v>
      </c>
      <c r="E19" t="s">
        <v>709</v>
      </c>
      <c r="F19">
        <v>1</v>
      </c>
      <c r="G19">
        <v>9</v>
      </c>
      <c r="H19" t="s">
        <v>3754</v>
      </c>
      <c r="I19" t="s">
        <v>7911</v>
      </c>
      <c r="J19" t="s">
        <v>3461</v>
      </c>
      <c r="K19" t="s">
        <v>7912</v>
      </c>
      <c r="N19" t="s">
        <v>8066</v>
      </c>
    </row>
    <row r="20" spans="1:14" x14ac:dyDescent="0.25">
      <c r="A20" t="s">
        <v>7900</v>
      </c>
      <c r="B20" t="s">
        <v>182</v>
      </c>
      <c r="C20" t="s">
        <v>3745</v>
      </c>
      <c r="D20" t="s">
        <v>3746</v>
      </c>
      <c r="E20" t="s">
        <v>90</v>
      </c>
      <c r="F20">
        <v>1</v>
      </c>
      <c r="G20">
        <v>3</v>
      </c>
      <c r="H20" t="s">
        <v>3754</v>
      </c>
      <c r="I20" t="s">
        <v>7899</v>
      </c>
      <c r="J20" t="s">
        <v>3461</v>
      </c>
      <c r="K20" t="s">
        <v>7901</v>
      </c>
      <c r="N20" t="s">
        <v>8066</v>
      </c>
    </row>
    <row r="21" spans="1:14" x14ac:dyDescent="0.25">
      <c r="A21" t="s">
        <v>3915</v>
      </c>
      <c r="B21" t="s">
        <v>182</v>
      </c>
      <c r="C21" t="s">
        <v>3745</v>
      </c>
      <c r="D21" t="s">
        <v>3795</v>
      </c>
      <c r="E21" t="s">
        <v>90</v>
      </c>
      <c r="F21">
        <v>1</v>
      </c>
      <c r="G21">
        <v>3</v>
      </c>
      <c r="H21" t="s">
        <v>3754</v>
      </c>
      <c r="I21" t="s">
        <v>3916</v>
      </c>
      <c r="J21" t="s">
        <v>3461</v>
      </c>
      <c r="K21" t="s">
        <v>3917</v>
      </c>
      <c r="N21" t="s">
        <v>8066</v>
      </c>
    </row>
    <row r="22" spans="1:14" x14ac:dyDescent="0.25">
      <c r="A22" t="s">
        <v>3918</v>
      </c>
      <c r="B22" t="s">
        <v>182</v>
      </c>
      <c r="C22" t="s">
        <v>3745</v>
      </c>
      <c r="D22" t="s">
        <v>3746</v>
      </c>
      <c r="E22" t="s">
        <v>38</v>
      </c>
      <c r="F22">
        <v>1</v>
      </c>
      <c r="G22">
        <v>3</v>
      </c>
      <c r="H22" t="s">
        <v>3754</v>
      </c>
      <c r="I22" t="s">
        <v>3919</v>
      </c>
      <c r="J22" t="s">
        <v>7415</v>
      </c>
      <c r="K22" t="s">
        <v>3918</v>
      </c>
      <c r="N22" t="s">
        <v>8066</v>
      </c>
    </row>
    <row r="23" spans="1:14" x14ac:dyDescent="0.25">
      <c r="A23" t="s">
        <v>3920</v>
      </c>
      <c r="B23" t="s">
        <v>182</v>
      </c>
      <c r="C23" t="s">
        <v>3779</v>
      </c>
      <c r="D23" t="s">
        <v>3746</v>
      </c>
      <c r="E23" t="s">
        <v>353</v>
      </c>
      <c r="F23">
        <v>1</v>
      </c>
      <c r="G23">
        <v>5</v>
      </c>
      <c r="H23" t="s">
        <v>3835</v>
      </c>
      <c r="I23" t="s">
        <v>8081</v>
      </c>
      <c r="J23" t="s">
        <v>3461</v>
      </c>
      <c r="K23" t="s">
        <v>3921</v>
      </c>
      <c r="N23" t="s">
        <v>8067</v>
      </c>
    </row>
    <row r="24" spans="1:14" x14ac:dyDescent="0.25">
      <c r="A24" t="s">
        <v>3922</v>
      </c>
      <c r="B24" t="s">
        <v>182</v>
      </c>
      <c r="C24" t="s">
        <v>3779</v>
      </c>
      <c r="D24" t="s">
        <v>3746</v>
      </c>
      <c r="E24" t="s">
        <v>353</v>
      </c>
      <c r="F24">
        <v>1</v>
      </c>
      <c r="G24">
        <v>5</v>
      </c>
      <c r="H24" t="s">
        <v>3835</v>
      </c>
      <c r="I24" t="s">
        <v>8084</v>
      </c>
      <c r="J24" t="s">
        <v>3461</v>
      </c>
      <c r="K24" t="s">
        <v>3923</v>
      </c>
      <c r="N24" t="s">
        <v>8067</v>
      </c>
    </row>
    <row r="25" spans="1:14" x14ac:dyDescent="0.25">
      <c r="A25" t="s">
        <v>3924</v>
      </c>
      <c r="B25" t="s">
        <v>182</v>
      </c>
      <c r="C25" t="s">
        <v>3779</v>
      </c>
      <c r="D25" t="s">
        <v>3746</v>
      </c>
      <c r="E25" t="s">
        <v>353</v>
      </c>
      <c r="F25">
        <v>1</v>
      </c>
      <c r="G25">
        <v>5</v>
      </c>
      <c r="H25" t="s">
        <v>3835</v>
      </c>
      <c r="I25" t="s">
        <v>8082</v>
      </c>
      <c r="J25" t="s">
        <v>3461</v>
      </c>
      <c r="K25" t="s">
        <v>3925</v>
      </c>
      <c r="N25" t="s">
        <v>8067</v>
      </c>
    </row>
    <row r="26" spans="1:14" x14ac:dyDescent="0.25">
      <c r="A26" t="s">
        <v>3926</v>
      </c>
      <c r="B26" t="s">
        <v>182</v>
      </c>
      <c r="C26" t="s">
        <v>3779</v>
      </c>
      <c r="D26" t="s">
        <v>3795</v>
      </c>
      <c r="E26" t="s">
        <v>38</v>
      </c>
      <c r="F26">
        <v>1</v>
      </c>
      <c r="G26">
        <v>5</v>
      </c>
      <c r="H26" t="s">
        <v>3747</v>
      </c>
      <c r="I26" t="s">
        <v>3927</v>
      </c>
      <c r="J26" t="s">
        <v>7466</v>
      </c>
      <c r="K26" t="s">
        <v>3928</v>
      </c>
      <c r="N26" t="s">
        <v>8066</v>
      </c>
    </row>
    <row r="27" spans="1:14" x14ac:dyDescent="0.25">
      <c r="A27" t="s">
        <v>3929</v>
      </c>
      <c r="B27" t="s">
        <v>182</v>
      </c>
      <c r="C27" t="s">
        <v>3779</v>
      </c>
      <c r="D27" t="s">
        <v>3746</v>
      </c>
      <c r="E27" t="s">
        <v>353</v>
      </c>
      <c r="F27">
        <v>1</v>
      </c>
      <c r="G27">
        <v>5</v>
      </c>
      <c r="H27" t="s">
        <v>3835</v>
      </c>
      <c r="I27" t="s">
        <v>8083</v>
      </c>
      <c r="J27" t="s">
        <v>3461</v>
      </c>
      <c r="K27" t="s">
        <v>3930</v>
      </c>
      <c r="N27" t="s">
        <v>8067</v>
      </c>
    </row>
    <row r="28" spans="1:14" x14ac:dyDescent="0.25">
      <c r="A28" t="s">
        <v>3931</v>
      </c>
      <c r="B28" t="s">
        <v>182</v>
      </c>
      <c r="C28" t="s">
        <v>3793</v>
      </c>
      <c r="D28" t="s">
        <v>3746</v>
      </c>
      <c r="E28" t="s">
        <v>353</v>
      </c>
      <c r="F28">
        <v>1</v>
      </c>
      <c r="G28">
        <v>7</v>
      </c>
      <c r="H28" t="s">
        <v>3835</v>
      </c>
      <c r="I28" t="s">
        <v>8097</v>
      </c>
      <c r="J28" t="s">
        <v>3461</v>
      </c>
      <c r="K28" t="s">
        <v>3933</v>
      </c>
      <c r="N28" t="s">
        <v>8067</v>
      </c>
    </row>
    <row r="29" spans="1:14" x14ac:dyDescent="0.25">
      <c r="A29" t="s">
        <v>7902</v>
      </c>
      <c r="B29" t="s">
        <v>182</v>
      </c>
      <c r="C29" t="s">
        <v>3793</v>
      </c>
      <c r="D29" t="s">
        <v>3746</v>
      </c>
      <c r="E29" t="s">
        <v>353</v>
      </c>
      <c r="F29">
        <v>1</v>
      </c>
      <c r="G29">
        <v>7</v>
      </c>
      <c r="H29" t="s">
        <v>3835</v>
      </c>
      <c r="I29" t="s">
        <v>8089</v>
      </c>
      <c r="J29" t="s">
        <v>3461</v>
      </c>
      <c r="K29" t="s">
        <v>7903</v>
      </c>
      <c r="N29" t="s">
        <v>8067</v>
      </c>
    </row>
    <row r="30" spans="1:14" x14ac:dyDescent="0.25">
      <c r="A30" t="s">
        <v>3934</v>
      </c>
      <c r="B30" t="s">
        <v>182</v>
      </c>
      <c r="C30" t="s">
        <v>3793</v>
      </c>
      <c r="D30" t="s">
        <v>3746</v>
      </c>
      <c r="E30" t="s">
        <v>90</v>
      </c>
      <c r="F30">
        <v>1</v>
      </c>
      <c r="G30">
        <v>7</v>
      </c>
      <c r="H30" t="s">
        <v>3835</v>
      </c>
      <c r="I30" t="s">
        <v>3935</v>
      </c>
      <c r="J30" t="s">
        <v>7436</v>
      </c>
      <c r="K30" t="s">
        <v>3936</v>
      </c>
      <c r="N30" t="s">
        <v>8067</v>
      </c>
    </row>
    <row r="31" spans="1:14" x14ac:dyDescent="0.25">
      <c r="A31" t="s">
        <v>3937</v>
      </c>
      <c r="B31" t="s">
        <v>182</v>
      </c>
      <c r="C31" t="s">
        <v>3913</v>
      </c>
      <c r="D31" t="s">
        <v>3795</v>
      </c>
      <c r="E31" t="s">
        <v>90</v>
      </c>
      <c r="F31">
        <v>1</v>
      </c>
      <c r="G31">
        <v>9</v>
      </c>
      <c r="H31" t="s">
        <v>3754</v>
      </c>
      <c r="I31" t="s">
        <v>3938</v>
      </c>
      <c r="J31" t="s">
        <v>7463</v>
      </c>
      <c r="K31" t="s">
        <v>3939</v>
      </c>
      <c r="N31" t="s">
        <v>8066</v>
      </c>
    </row>
    <row r="32" spans="1:14" x14ac:dyDescent="0.25">
      <c r="A32" t="s">
        <v>3940</v>
      </c>
      <c r="B32" t="s">
        <v>222</v>
      </c>
      <c r="C32" t="s">
        <v>3745</v>
      </c>
      <c r="D32" t="s">
        <v>3795</v>
      </c>
      <c r="E32" t="s">
        <v>1129</v>
      </c>
      <c r="F32">
        <v>1</v>
      </c>
      <c r="G32">
        <v>3</v>
      </c>
      <c r="H32" t="s">
        <v>3747</v>
      </c>
      <c r="I32" t="s">
        <v>3941</v>
      </c>
      <c r="J32" t="s">
        <v>3461</v>
      </c>
      <c r="K32" t="s">
        <v>3942</v>
      </c>
      <c r="L32" t="s">
        <v>3773</v>
      </c>
      <c r="N32" t="s">
        <v>8066</v>
      </c>
    </row>
    <row r="33" spans="1:14" x14ac:dyDescent="0.25">
      <c r="A33" t="s">
        <v>3943</v>
      </c>
      <c r="B33" t="s">
        <v>222</v>
      </c>
      <c r="C33" t="s">
        <v>3745</v>
      </c>
      <c r="D33" t="s">
        <v>3746</v>
      </c>
      <c r="E33" t="s">
        <v>501</v>
      </c>
      <c r="F33">
        <v>1</v>
      </c>
      <c r="G33">
        <v>3</v>
      </c>
      <c r="H33" t="s">
        <v>3754</v>
      </c>
      <c r="I33" t="s">
        <v>3944</v>
      </c>
      <c r="J33" t="s">
        <v>7457</v>
      </c>
      <c r="K33" t="s">
        <v>3943</v>
      </c>
      <c r="L33" t="s">
        <v>3678</v>
      </c>
      <c r="N33" t="s">
        <v>8066</v>
      </c>
    </row>
    <row r="34" spans="1:14" x14ac:dyDescent="0.25">
      <c r="A34" t="s">
        <v>3945</v>
      </c>
      <c r="B34" t="s">
        <v>222</v>
      </c>
      <c r="C34" t="s">
        <v>3745</v>
      </c>
      <c r="D34" t="s">
        <v>3746</v>
      </c>
      <c r="E34" t="s">
        <v>1649</v>
      </c>
      <c r="F34">
        <v>1</v>
      </c>
      <c r="G34">
        <v>3</v>
      </c>
      <c r="H34" t="s">
        <v>3754</v>
      </c>
      <c r="I34" t="s">
        <v>3946</v>
      </c>
      <c r="J34" t="s">
        <v>3461</v>
      </c>
      <c r="K34" t="s">
        <v>3945</v>
      </c>
      <c r="L34" t="s">
        <v>3866</v>
      </c>
      <c r="N34" t="s">
        <v>8066</v>
      </c>
    </row>
    <row r="35" spans="1:14" x14ac:dyDescent="0.25">
      <c r="A35" t="s">
        <v>3947</v>
      </c>
      <c r="B35" t="s">
        <v>222</v>
      </c>
      <c r="C35" t="s">
        <v>3745</v>
      </c>
      <c r="D35" t="s">
        <v>3795</v>
      </c>
      <c r="E35" t="s">
        <v>501</v>
      </c>
      <c r="F35">
        <v>1</v>
      </c>
      <c r="G35">
        <v>3</v>
      </c>
      <c r="H35" t="s">
        <v>3758</v>
      </c>
      <c r="I35" t="s">
        <v>3948</v>
      </c>
      <c r="J35" t="s">
        <v>3461</v>
      </c>
      <c r="K35" t="s">
        <v>3947</v>
      </c>
      <c r="L35" t="s">
        <v>3849</v>
      </c>
      <c r="N35" t="s">
        <v>8066</v>
      </c>
    </row>
    <row r="36" spans="1:14" x14ac:dyDescent="0.25">
      <c r="A36" t="s">
        <v>3949</v>
      </c>
      <c r="B36" t="s">
        <v>222</v>
      </c>
      <c r="C36" t="s">
        <v>3745</v>
      </c>
      <c r="D36" t="s">
        <v>3746</v>
      </c>
      <c r="E36" t="s">
        <v>1649</v>
      </c>
      <c r="F36">
        <v>1</v>
      </c>
      <c r="G36">
        <v>3</v>
      </c>
      <c r="H36" t="s">
        <v>3754</v>
      </c>
      <c r="I36" t="s">
        <v>3950</v>
      </c>
      <c r="J36" t="s">
        <v>7449</v>
      </c>
      <c r="K36" t="s">
        <v>3949</v>
      </c>
      <c r="L36" t="s">
        <v>3866</v>
      </c>
      <c r="N36" t="s">
        <v>8066</v>
      </c>
    </row>
    <row r="37" spans="1:14" x14ac:dyDescent="0.25">
      <c r="A37" t="s">
        <v>3951</v>
      </c>
      <c r="B37" t="s">
        <v>222</v>
      </c>
      <c r="C37" t="s">
        <v>3745</v>
      </c>
      <c r="D37" t="s">
        <v>3746</v>
      </c>
      <c r="E37" t="s">
        <v>501</v>
      </c>
      <c r="F37">
        <v>1</v>
      </c>
      <c r="G37">
        <v>3</v>
      </c>
      <c r="H37" t="s">
        <v>3747</v>
      </c>
      <c r="I37" t="s">
        <v>3952</v>
      </c>
      <c r="J37" t="s">
        <v>3461</v>
      </c>
      <c r="K37" t="s">
        <v>3953</v>
      </c>
      <c r="N37" t="s">
        <v>8066</v>
      </c>
    </row>
    <row r="38" spans="1:14" x14ac:dyDescent="0.25">
      <c r="A38" t="s">
        <v>7914</v>
      </c>
      <c r="B38" t="s">
        <v>222</v>
      </c>
      <c r="C38" t="s">
        <v>3779</v>
      </c>
      <c r="D38" t="s">
        <v>3790</v>
      </c>
      <c r="E38" t="s">
        <v>1649</v>
      </c>
      <c r="F38">
        <v>1</v>
      </c>
      <c r="G38">
        <v>5</v>
      </c>
      <c r="H38" t="s">
        <v>3754</v>
      </c>
      <c r="I38" t="s">
        <v>7915</v>
      </c>
      <c r="J38" t="s">
        <v>3461</v>
      </c>
      <c r="K38" t="s">
        <v>7913</v>
      </c>
      <c r="L38" t="s">
        <v>7916</v>
      </c>
      <c r="N38" t="s">
        <v>8066</v>
      </c>
    </row>
    <row r="39" spans="1:14" x14ac:dyDescent="0.25">
      <c r="A39" t="s">
        <v>3954</v>
      </c>
      <c r="B39" t="s">
        <v>222</v>
      </c>
      <c r="C39" t="s">
        <v>3779</v>
      </c>
      <c r="D39" t="s">
        <v>3746</v>
      </c>
      <c r="E39" t="s">
        <v>1649</v>
      </c>
      <c r="F39">
        <v>1</v>
      </c>
      <c r="G39">
        <v>5</v>
      </c>
      <c r="H39" t="s">
        <v>3754</v>
      </c>
      <c r="I39" t="s">
        <v>3955</v>
      </c>
      <c r="J39" t="s">
        <v>3461</v>
      </c>
      <c r="K39" t="s">
        <v>3954</v>
      </c>
      <c r="N39" t="s">
        <v>8066</v>
      </c>
    </row>
    <row r="40" spans="1:14" x14ac:dyDescent="0.25">
      <c r="A40" t="s">
        <v>7432</v>
      </c>
      <c r="B40" t="s">
        <v>222</v>
      </c>
      <c r="C40" t="s">
        <v>3779</v>
      </c>
      <c r="D40" t="s">
        <v>3795</v>
      </c>
      <c r="E40" t="s">
        <v>1649</v>
      </c>
      <c r="F40">
        <v>1</v>
      </c>
      <c r="G40">
        <v>5</v>
      </c>
      <c r="H40" t="s">
        <v>7472</v>
      </c>
      <c r="I40" t="s">
        <v>8098</v>
      </c>
      <c r="J40" t="s">
        <v>7461</v>
      </c>
      <c r="K40" t="s">
        <v>7473</v>
      </c>
      <c r="L40" t="s">
        <v>3866</v>
      </c>
      <c r="M40">
        <v>3</v>
      </c>
      <c r="N40" t="s">
        <v>8066</v>
      </c>
    </row>
    <row r="41" spans="1:14" x14ac:dyDescent="0.25">
      <c r="A41" t="s">
        <v>3956</v>
      </c>
      <c r="B41" t="s">
        <v>222</v>
      </c>
      <c r="C41" t="s">
        <v>3779</v>
      </c>
      <c r="D41" t="s">
        <v>3901</v>
      </c>
      <c r="E41" t="s">
        <v>1649</v>
      </c>
      <c r="F41">
        <v>1</v>
      </c>
      <c r="G41">
        <v>5</v>
      </c>
      <c r="H41" t="s">
        <v>3758</v>
      </c>
      <c r="I41" t="s">
        <v>3957</v>
      </c>
      <c r="J41" t="s">
        <v>7466</v>
      </c>
      <c r="K41" t="s">
        <v>3958</v>
      </c>
      <c r="N41" t="s">
        <v>8066</v>
      </c>
    </row>
    <row r="42" spans="1:14" x14ac:dyDescent="0.25">
      <c r="A42" t="s">
        <v>3959</v>
      </c>
      <c r="B42" t="s">
        <v>222</v>
      </c>
      <c r="C42" t="s">
        <v>3779</v>
      </c>
      <c r="D42" t="s">
        <v>3746</v>
      </c>
      <c r="E42" t="s">
        <v>1649</v>
      </c>
      <c r="F42">
        <v>1</v>
      </c>
      <c r="G42">
        <v>5</v>
      </c>
      <c r="H42" t="s">
        <v>3754</v>
      </c>
      <c r="I42" t="s">
        <v>3960</v>
      </c>
      <c r="J42" t="s">
        <v>3461</v>
      </c>
      <c r="K42" t="s">
        <v>3959</v>
      </c>
      <c r="L42" t="s">
        <v>3866</v>
      </c>
      <c r="N42" t="s">
        <v>8066</v>
      </c>
    </row>
    <row r="43" spans="1:14" x14ac:dyDescent="0.25">
      <c r="A43" t="s">
        <v>3961</v>
      </c>
      <c r="B43" t="s">
        <v>222</v>
      </c>
      <c r="C43" t="s">
        <v>3793</v>
      </c>
      <c r="D43" t="s">
        <v>3962</v>
      </c>
      <c r="E43" t="s">
        <v>1649</v>
      </c>
      <c r="F43">
        <v>1</v>
      </c>
      <c r="G43">
        <v>7</v>
      </c>
      <c r="H43" t="s">
        <v>3841</v>
      </c>
      <c r="I43" t="s">
        <v>3963</v>
      </c>
      <c r="J43" t="s">
        <v>7383</v>
      </c>
      <c r="K43" t="s">
        <v>3964</v>
      </c>
      <c r="N43" t="s">
        <v>8066</v>
      </c>
    </row>
    <row r="44" spans="1:14" x14ac:dyDescent="0.25">
      <c r="A44" t="s">
        <v>3965</v>
      </c>
      <c r="B44" t="s">
        <v>222</v>
      </c>
      <c r="C44" t="s">
        <v>3793</v>
      </c>
      <c r="D44" t="s">
        <v>3795</v>
      </c>
      <c r="E44" t="s">
        <v>1649</v>
      </c>
      <c r="F44">
        <v>1</v>
      </c>
      <c r="G44">
        <v>7</v>
      </c>
      <c r="H44" t="s">
        <v>3758</v>
      </c>
      <c r="I44" t="s">
        <v>3966</v>
      </c>
      <c r="J44" t="s">
        <v>7453</v>
      </c>
      <c r="K44" t="s">
        <v>3967</v>
      </c>
      <c r="N44" t="s">
        <v>8066</v>
      </c>
    </row>
    <row r="45" spans="1:14" x14ac:dyDescent="0.25">
      <c r="A45" t="s">
        <v>3968</v>
      </c>
      <c r="B45" t="s">
        <v>222</v>
      </c>
      <c r="C45" t="s">
        <v>3913</v>
      </c>
      <c r="D45" t="s">
        <v>3795</v>
      </c>
      <c r="E45" t="s">
        <v>1649</v>
      </c>
      <c r="F45">
        <v>1</v>
      </c>
      <c r="G45">
        <v>9</v>
      </c>
      <c r="H45" t="s">
        <v>3747</v>
      </c>
      <c r="I45" t="s">
        <v>8072</v>
      </c>
      <c r="J45" t="s">
        <v>3461</v>
      </c>
      <c r="K45" t="s">
        <v>3969</v>
      </c>
      <c r="L45" t="s">
        <v>3970</v>
      </c>
      <c r="N45" t="s">
        <v>8066</v>
      </c>
    </row>
    <row r="46" spans="1:14" x14ac:dyDescent="0.25">
      <c r="A46" t="s">
        <v>3971</v>
      </c>
      <c r="B46" t="s">
        <v>179</v>
      </c>
      <c r="C46" t="s">
        <v>3745</v>
      </c>
      <c r="D46" t="s">
        <v>3746</v>
      </c>
      <c r="E46" t="s">
        <v>689</v>
      </c>
      <c r="F46">
        <v>1</v>
      </c>
      <c r="G46">
        <v>3</v>
      </c>
      <c r="H46" t="s">
        <v>3835</v>
      </c>
      <c r="I46" t="s">
        <v>8077</v>
      </c>
      <c r="J46" t="s">
        <v>3461</v>
      </c>
      <c r="K46" t="s">
        <v>3971</v>
      </c>
      <c r="N46" t="s">
        <v>8067</v>
      </c>
    </row>
    <row r="47" spans="1:14" x14ac:dyDescent="0.25">
      <c r="A47" t="s">
        <v>3972</v>
      </c>
      <c r="B47" t="s">
        <v>179</v>
      </c>
      <c r="C47" t="s">
        <v>3779</v>
      </c>
      <c r="D47" t="s">
        <v>3746</v>
      </c>
      <c r="E47" t="s">
        <v>689</v>
      </c>
      <c r="F47">
        <v>1</v>
      </c>
      <c r="G47">
        <v>5</v>
      </c>
      <c r="H47" t="s">
        <v>3835</v>
      </c>
      <c r="I47" t="s">
        <v>8077</v>
      </c>
      <c r="J47" t="s">
        <v>3461</v>
      </c>
      <c r="K47" t="s">
        <v>3973</v>
      </c>
      <c r="N47" t="s">
        <v>8067</v>
      </c>
    </row>
    <row r="48" spans="1:14" x14ac:dyDescent="0.25">
      <c r="A48" t="s">
        <v>3974</v>
      </c>
      <c r="B48" t="s">
        <v>179</v>
      </c>
      <c r="C48" t="s">
        <v>3793</v>
      </c>
      <c r="D48" t="s">
        <v>3790</v>
      </c>
      <c r="E48" t="s">
        <v>2154</v>
      </c>
      <c r="F48">
        <v>1</v>
      </c>
      <c r="G48">
        <v>7</v>
      </c>
      <c r="H48" t="s">
        <v>3747</v>
      </c>
      <c r="I48" t="s">
        <v>3975</v>
      </c>
      <c r="J48" t="s">
        <v>7459</v>
      </c>
      <c r="K48" t="s">
        <v>3974</v>
      </c>
      <c r="N48" t="s">
        <v>8066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7386</v>
      </c>
      <c r="D1" t="s">
        <v>3456</v>
      </c>
      <c r="E1" t="s">
        <v>3499</v>
      </c>
    </row>
    <row r="2" spans="1:5" x14ac:dyDescent="0.25">
      <c r="A2" t="s">
        <v>7445</v>
      </c>
      <c r="B2" t="s">
        <v>7416</v>
      </c>
      <c r="C2" t="s">
        <v>7447</v>
      </c>
      <c r="D2" t="s">
        <v>7446</v>
      </c>
      <c r="E2" t="s">
        <v>8006</v>
      </c>
    </row>
    <row r="3" spans="1:5" x14ac:dyDescent="0.25">
      <c r="A3" t="s">
        <v>7474</v>
      </c>
      <c r="B3" t="s">
        <v>3683</v>
      </c>
      <c r="C3" t="s">
        <v>3461</v>
      </c>
      <c r="D3" t="s">
        <v>7475</v>
      </c>
      <c r="E3" t="s">
        <v>8007</v>
      </c>
    </row>
    <row r="4" spans="1:5" x14ac:dyDescent="0.25">
      <c r="A4" t="s">
        <v>7435</v>
      </c>
      <c r="B4" t="s">
        <v>3986</v>
      </c>
      <c r="C4" t="s">
        <v>7399</v>
      </c>
      <c r="D4" t="s">
        <v>7438</v>
      </c>
      <c r="E4" t="s">
        <v>8008</v>
      </c>
    </row>
    <row r="5" spans="1:5" x14ac:dyDescent="0.25">
      <c r="A5" t="s">
        <v>7405</v>
      </c>
      <c r="B5" t="s">
        <v>5289</v>
      </c>
      <c r="C5" t="s">
        <v>7394</v>
      </c>
      <c r="D5" t="s">
        <v>7407</v>
      </c>
      <c r="E5" t="s">
        <v>8009</v>
      </c>
    </row>
    <row r="6" spans="1:5" x14ac:dyDescent="0.25">
      <c r="A6" t="s">
        <v>7400</v>
      </c>
      <c r="B6" t="s">
        <v>5725</v>
      </c>
      <c r="C6" t="s">
        <v>7393</v>
      </c>
      <c r="D6" t="s">
        <v>7414</v>
      </c>
      <c r="E6" t="s">
        <v>8010</v>
      </c>
    </row>
    <row r="7" spans="1:5" x14ac:dyDescent="0.25">
      <c r="A7" t="s">
        <v>7451</v>
      </c>
      <c r="B7" t="s">
        <v>5725</v>
      </c>
      <c r="C7" t="s">
        <v>3461</v>
      </c>
      <c r="D7" t="s">
        <v>7465</v>
      </c>
      <c r="E7" t="s">
        <v>8011</v>
      </c>
    </row>
    <row r="8" spans="1:5" x14ac:dyDescent="0.25">
      <c r="A8" t="s">
        <v>7697</v>
      </c>
      <c r="B8" t="s">
        <v>5725</v>
      </c>
      <c r="C8" t="s">
        <v>7698</v>
      </c>
      <c r="D8" t="s">
        <v>7699</v>
      </c>
      <c r="E8" t="s">
        <v>8012</v>
      </c>
    </row>
    <row r="9" spans="1:5" x14ac:dyDescent="0.25">
      <c r="A9" t="s">
        <v>7700</v>
      </c>
      <c r="B9" t="s">
        <v>7387</v>
      </c>
      <c r="C9" t="s">
        <v>7389</v>
      </c>
      <c r="D9" t="s">
        <v>7701</v>
      </c>
      <c r="E9" t="s">
        <v>8013</v>
      </c>
    </row>
    <row r="10" spans="1:5" x14ac:dyDescent="0.25">
      <c r="A10" t="s">
        <v>5205</v>
      </c>
      <c r="B10" t="s">
        <v>7416</v>
      </c>
      <c r="C10" t="s">
        <v>7393</v>
      </c>
      <c r="D10" t="s">
        <v>7417</v>
      </c>
      <c r="E10" t="s">
        <v>8014</v>
      </c>
    </row>
    <row r="11" spans="1:5" x14ac:dyDescent="0.25">
      <c r="A11" t="s">
        <v>7391</v>
      </c>
      <c r="B11" t="s">
        <v>7392</v>
      </c>
      <c r="C11" t="s">
        <v>3461</v>
      </c>
      <c r="D11" t="s">
        <v>7424</v>
      </c>
      <c r="E11" t="s">
        <v>8015</v>
      </c>
    </row>
    <row r="12" spans="1:5" x14ac:dyDescent="0.25">
      <c r="A12" t="s">
        <v>1322</v>
      </c>
      <c r="B12" t="s">
        <v>3986</v>
      </c>
      <c r="C12" t="s">
        <v>7394</v>
      </c>
      <c r="D12" t="s">
        <v>7422</v>
      </c>
      <c r="E12" t="s">
        <v>8016</v>
      </c>
    </row>
    <row r="13" spans="1:5" x14ac:dyDescent="0.25">
      <c r="A13" t="s">
        <v>7413</v>
      </c>
      <c r="B13" t="s">
        <v>5725</v>
      </c>
      <c r="C13" t="s">
        <v>7393</v>
      </c>
      <c r="D13" t="s">
        <v>7476</v>
      </c>
      <c r="E13" t="s">
        <v>8017</v>
      </c>
    </row>
    <row r="14" spans="1:5" x14ac:dyDescent="0.25">
      <c r="A14" t="s">
        <v>7428</v>
      </c>
      <c r="B14" t="s">
        <v>7416</v>
      </c>
      <c r="C14" t="s">
        <v>3461</v>
      </c>
      <c r="D14" t="s">
        <v>7429</v>
      </c>
      <c r="E14" t="s">
        <v>8018</v>
      </c>
    </row>
    <row r="15" spans="1:5" x14ac:dyDescent="0.25">
      <c r="A15" t="s">
        <v>7426</v>
      </c>
      <c r="B15" t="s">
        <v>7387</v>
      </c>
      <c r="C15" t="s">
        <v>7389</v>
      </c>
      <c r="D15" t="s">
        <v>7427</v>
      </c>
      <c r="E15" t="s">
        <v>8019</v>
      </c>
    </row>
    <row r="16" spans="1:5" x14ac:dyDescent="0.25">
      <c r="A16" t="s">
        <v>7409</v>
      </c>
      <c r="B16" t="s">
        <v>3683</v>
      </c>
      <c r="C16" t="s">
        <v>3461</v>
      </c>
      <c r="D16" t="s">
        <v>7411</v>
      </c>
      <c r="E16" t="s">
        <v>8020</v>
      </c>
    </row>
    <row r="17" spans="1:5" x14ac:dyDescent="0.25">
      <c r="A17" t="s">
        <v>7455</v>
      </c>
      <c r="B17" t="s">
        <v>5725</v>
      </c>
      <c r="C17" t="s">
        <v>7399</v>
      </c>
      <c r="D17" t="s">
        <v>7456</v>
      </c>
      <c r="E17" t="s">
        <v>8021</v>
      </c>
    </row>
    <row r="18" spans="1:5" x14ac:dyDescent="0.25">
      <c r="A18" t="s">
        <v>7401</v>
      </c>
      <c r="B18" t="s">
        <v>3986</v>
      </c>
      <c r="C18" t="s">
        <v>3461</v>
      </c>
      <c r="D18" t="s">
        <v>7419</v>
      </c>
      <c r="E18" t="s">
        <v>8022</v>
      </c>
    </row>
    <row r="19" spans="1:5" x14ac:dyDescent="0.25">
      <c r="A19" t="s">
        <v>7415</v>
      </c>
      <c r="B19" t="s">
        <v>5725</v>
      </c>
      <c r="C19" t="s">
        <v>3461</v>
      </c>
      <c r="D19" t="s">
        <v>7477</v>
      </c>
      <c r="E19" t="s">
        <v>8023</v>
      </c>
    </row>
    <row r="20" spans="1:5" x14ac:dyDescent="0.25">
      <c r="A20" t="s">
        <v>7397</v>
      </c>
      <c r="B20" t="s">
        <v>5289</v>
      </c>
      <c r="C20" t="s">
        <v>7399</v>
      </c>
      <c r="D20" t="s">
        <v>7398</v>
      </c>
      <c r="E20" t="s">
        <v>8024</v>
      </c>
    </row>
    <row r="21" spans="1:5" x14ac:dyDescent="0.25">
      <c r="A21" t="s">
        <v>7390</v>
      </c>
      <c r="B21" t="s">
        <v>7387</v>
      </c>
      <c r="C21" t="s">
        <v>7393</v>
      </c>
      <c r="D21" t="s">
        <v>7421</v>
      </c>
      <c r="E21" t="s">
        <v>8025</v>
      </c>
    </row>
    <row r="22" spans="1:5" x14ac:dyDescent="0.25">
      <c r="A22" t="s">
        <v>7388</v>
      </c>
      <c r="B22" t="s">
        <v>7387</v>
      </c>
      <c r="C22" t="s">
        <v>7389</v>
      </c>
      <c r="D22" t="s">
        <v>7423</v>
      </c>
      <c r="E22" t="s">
        <v>8026</v>
      </c>
    </row>
    <row r="23" spans="1:5" x14ac:dyDescent="0.25">
      <c r="A23" t="s">
        <v>7404</v>
      </c>
      <c r="B23" t="s">
        <v>3683</v>
      </c>
      <c r="C23" t="s">
        <v>3461</v>
      </c>
      <c r="D23" t="s">
        <v>7418</v>
      </c>
      <c r="E23" t="s">
        <v>8027</v>
      </c>
    </row>
    <row r="24" spans="1:5" x14ac:dyDescent="0.25">
      <c r="A24" t="s">
        <v>5452</v>
      </c>
      <c r="B24" t="s">
        <v>5725</v>
      </c>
      <c r="C24" t="s">
        <v>7385</v>
      </c>
      <c r="D24" t="s">
        <v>7410</v>
      </c>
      <c r="E24" t="s">
        <v>8028</v>
      </c>
    </row>
    <row r="25" spans="1:5" x14ac:dyDescent="0.25">
      <c r="A25" t="s">
        <v>5265</v>
      </c>
      <c r="B25" t="s">
        <v>5289</v>
      </c>
      <c r="C25" t="s">
        <v>3461</v>
      </c>
      <c r="D25" t="s">
        <v>7406</v>
      </c>
      <c r="E25" t="s">
        <v>8029</v>
      </c>
    </row>
    <row r="26" spans="1:5" x14ac:dyDescent="0.25">
      <c r="A26" t="s">
        <v>7453</v>
      </c>
      <c r="B26" t="s">
        <v>5725</v>
      </c>
      <c r="C26" t="s">
        <v>3461</v>
      </c>
      <c r="D26" t="s">
        <v>7464</v>
      </c>
      <c r="E26" t="s">
        <v>8030</v>
      </c>
    </row>
    <row r="27" spans="1:5" x14ac:dyDescent="0.25">
      <c r="A27" t="s">
        <v>5279</v>
      </c>
      <c r="B27" t="s">
        <v>7416</v>
      </c>
      <c r="C27" t="s">
        <v>7389</v>
      </c>
      <c r="D27" t="s">
        <v>7396</v>
      </c>
      <c r="E27" t="s">
        <v>8031</v>
      </c>
    </row>
    <row r="28" spans="1:5" x14ac:dyDescent="0.25">
      <c r="A28" t="s">
        <v>7395</v>
      </c>
      <c r="B28" t="s">
        <v>3986</v>
      </c>
      <c r="C28" t="s">
        <v>7394</v>
      </c>
      <c r="D28" t="s">
        <v>7420</v>
      </c>
      <c r="E28" t="s">
        <v>8032</v>
      </c>
    </row>
    <row r="29" spans="1:5" x14ac:dyDescent="0.25">
      <c r="A29" t="s">
        <v>7403</v>
      </c>
      <c r="B29" t="s">
        <v>5289</v>
      </c>
      <c r="C29" t="s">
        <v>7402</v>
      </c>
      <c r="D29" t="s">
        <v>7478</v>
      </c>
      <c r="E29" t="s">
        <v>8033</v>
      </c>
    </row>
    <row r="30" spans="1:5" x14ac:dyDescent="0.25">
      <c r="A30" t="s">
        <v>7383</v>
      </c>
      <c r="B30" t="s">
        <v>3683</v>
      </c>
      <c r="C30" t="s">
        <v>3461</v>
      </c>
      <c r="D30" t="s">
        <v>7384</v>
      </c>
      <c r="E30" t="s">
        <v>8034</v>
      </c>
    </row>
    <row r="31" spans="1:5" x14ac:dyDescent="0.25">
      <c r="A31" t="s">
        <v>7433</v>
      </c>
      <c r="B31" t="s">
        <v>7416</v>
      </c>
      <c r="C31" t="s">
        <v>7393</v>
      </c>
      <c r="D31" t="s">
        <v>7434</v>
      </c>
      <c r="E31" t="s">
        <v>8035</v>
      </c>
    </row>
    <row r="32" spans="1:5" x14ac:dyDescent="0.25">
      <c r="A32" t="s">
        <v>7978</v>
      </c>
      <c r="B32" t="s">
        <v>7416</v>
      </c>
      <c r="C32" t="s">
        <v>3461</v>
      </c>
      <c r="D32" t="s">
        <v>7979</v>
      </c>
      <c r="E32" t="s">
        <v>8036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3976</v>
      </c>
      <c r="E1" t="s">
        <v>3977</v>
      </c>
      <c r="F1" t="s">
        <v>3978</v>
      </c>
      <c r="G1" t="s">
        <v>3979</v>
      </c>
      <c r="H1" t="s">
        <v>3980</v>
      </c>
      <c r="I1" t="s">
        <v>3981</v>
      </c>
      <c r="J1" t="s">
        <v>3982</v>
      </c>
      <c r="K1" t="s">
        <v>3983</v>
      </c>
      <c r="L1" t="s">
        <v>3984</v>
      </c>
      <c r="M1" t="s">
        <v>7</v>
      </c>
    </row>
    <row r="2" spans="1:13" x14ac:dyDescent="0.25">
      <c r="A2" t="s">
        <v>4005</v>
      </c>
      <c r="B2" t="s">
        <v>3995</v>
      </c>
      <c r="C2" t="s">
        <v>501</v>
      </c>
      <c r="D2" t="s">
        <v>8099</v>
      </c>
      <c r="E2" t="s">
        <v>4006</v>
      </c>
      <c r="F2" t="s">
        <v>8100</v>
      </c>
      <c r="G2" t="s">
        <v>4007</v>
      </c>
      <c r="H2" t="s">
        <v>4008</v>
      </c>
      <c r="I2" t="s">
        <v>3999</v>
      </c>
      <c r="J2" t="s">
        <v>187</v>
      </c>
      <c r="K2" t="s">
        <v>4009</v>
      </c>
      <c r="L2" t="s">
        <v>4010</v>
      </c>
      <c r="M2" t="s">
        <v>4005</v>
      </c>
    </row>
    <row r="3" spans="1:13" x14ac:dyDescent="0.25">
      <c r="A3" t="s">
        <v>4002</v>
      </c>
      <c r="B3" t="s">
        <v>3986</v>
      </c>
      <c r="C3" t="s">
        <v>90</v>
      </c>
      <c r="D3" t="s">
        <v>8101</v>
      </c>
      <c r="E3" t="s">
        <v>7483</v>
      </c>
      <c r="F3" t="s">
        <v>8102</v>
      </c>
      <c r="G3" t="s">
        <v>7484</v>
      </c>
      <c r="H3" t="s">
        <v>4003</v>
      </c>
      <c r="I3" t="s">
        <v>3461</v>
      </c>
      <c r="J3" t="s">
        <v>187</v>
      </c>
      <c r="K3" t="s">
        <v>4004</v>
      </c>
      <c r="L3" t="s">
        <v>3989</v>
      </c>
      <c r="M3" t="s">
        <v>4002</v>
      </c>
    </row>
    <row r="4" spans="1:13" x14ac:dyDescent="0.25">
      <c r="A4" t="s">
        <v>3994</v>
      </c>
      <c r="B4" t="s">
        <v>3995</v>
      </c>
      <c r="C4" t="s">
        <v>1649</v>
      </c>
      <c r="D4" t="s">
        <v>8103</v>
      </c>
      <c r="E4" t="s">
        <v>3996</v>
      </c>
      <c r="F4" t="s">
        <v>8104</v>
      </c>
      <c r="G4" t="s">
        <v>3997</v>
      </c>
      <c r="H4" t="s">
        <v>3998</v>
      </c>
      <c r="I4" t="s">
        <v>3999</v>
      </c>
      <c r="J4" t="s">
        <v>4000</v>
      </c>
      <c r="K4" t="s">
        <v>4001</v>
      </c>
      <c r="L4" t="s">
        <v>3989</v>
      </c>
      <c r="M4" t="s">
        <v>3994</v>
      </c>
    </row>
    <row r="5" spans="1:13" x14ac:dyDescent="0.25">
      <c r="A5" t="s">
        <v>3990</v>
      </c>
      <c r="B5" t="s">
        <v>3986</v>
      </c>
      <c r="C5" t="s">
        <v>1649</v>
      </c>
      <c r="D5" t="s">
        <v>8037</v>
      </c>
      <c r="E5" t="s">
        <v>3991</v>
      </c>
      <c r="F5" t="s">
        <v>8105</v>
      </c>
      <c r="G5" t="s">
        <v>8106</v>
      </c>
      <c r="H5" t="s">
        <v>3992</v>
      </c>
      <c r="I5" t="s">
        <v>3461</v>
      </c>
      <c r="J5" t="s">
        <v>187</v>
      </c>
      <c r="K5" t="s">
        <v>3993</v>
      </c>
      <c r="L5" t="s">
        <v>3989</v>
      </c>
      <c r="M5" t="s">
        <v>3990</v>
      </c>
    </row>
    <row r="6" spans="1:13" x14ac:dyDescent="0.25">
      <c r="A6" t="s">
        <v>3985</v>
      </c>
      <c r="B6" t="s">
        <v>3986</v>
      </c>
      <c r="C6" t="s">
        <v>90</v>
      </c>
      <c r="D6" t="s">
        <v>7678</v>
      </c>
      <c r="E6" t="s">
        <v>7485</v>
      </c>
      <c r="F6" t="s">
        <v>8107</v>
      </c>
      <c r="G6" t="s">
        <v>7486</v>
      </c>
      <c r="H6" t="s">
        <v>3987</v>
      </c>
      <c r="I6" t="s">
        <v>3461</v>
      </c>
      <c r="J6" t="s">
        <v>187</v>
      </c>
      <c r="K6" t="s">
        <v>3988</v>
      </c>
      <c r="L6" t="s">
        <v>3989</v>
      </c>
      <c r="M6" t="s">
        <v>3985</v>
      </c>
    </row>
    <row r="7" spans="1:13" x14ac:dyDescent="0.25">
      <c r="A7" t="s">
        <v>5154</v>
      </c>
      <c r="B7" t="s">
        <v>3995</v>
      </c>
      <c r="C7" t="s">
        <v>1649</v>
      </c>
      <c r="D7" t="s">
        <v>8108</v>
      </c>
      <c r="E7" t="s">
        <v>7641</v>
      </c>
      <c r="F7" t="s">
        <v>8109</v>
      </c>
      <c r="G7" t="s">
        <v>7642</v>
      </c>
      <c r="H7" t="s">
        <v>7623</v>
      </c>
      <c r="I7" t="s">
        <v>7624</v>
      </c>
      <c r="J7" t="s">
        <v>187</v>
      </c>
      <c r="K7" t="s">
        <v>7643</v>
      </c>
      <c r="L7" t="s">
        <v>3989</v>
      </c>
      <c r="M7" t="s">
        <v>5154</v>
      </c>
    </row>
    <row r="8" spans="1:13" x14ac:dyDescent="0.25">
      <c r="A8" t="s">
        <v>5283</v>
      </c>
      <c r="B8" t="s">
        <v>3995</v>
      </c>
      <c r="C8" t="s">
        <v>90</v>
      </c>
      <c r="D8" t="s">
        <v>7644</v>
      </c>
      <c r="E8" t="s">
        <v>7645</v>
      </c>
      <c r="F8" t="s">
        <v>7707</v>
      </c>
      <c r="G8" t="s">
        <v>7646</v>
      </c>
      <c r="H8" t="s">
        <v>7621</v>
      </c>
      <c r="I8" t="s">
        <v>7620</v>
      </c>
      <c r="J8" t="s">
        <v>187</v>
      </c>
      <c r="K8" t="s">
        <v>7647</v>
      </c>
      <c r="L8" t="s">
        <v>3989</v>
      </c>
      <c r="M8" t="s">
        <v>5283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7798</v>
      </c>
      <c r="B6" t="s">
        <v>2698</v>
      </c>
      <c r="C6" t="s">
        <v>39</v>
      </c>
      <c r="F6" t="s">
        <v>40</v>
      </c>
      <c r="G6" t="s">
        <v>41</v>
      </c>
      <c r="H6" t="s">
        <v>7799</v>
      </c>
      <c r="O6" t="s">
        <v>7800</v>
      </c>
      <c r="R6" t="s">
        <v>7801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7795</v>
      </c>
      <c r="B9" t="s">
        <v>2698</v>
      </c>
      <c r="C9" t="s">
        <v>39</v>
      </c>
      <c r="F9" t="s">
        <v>40</v>
      </c>
      <c r="G9" t="s">
        <v>3505</v>
      </c>
      <c r="H9" t="s">
        <v>7796</v>
      </c>
      <c r="J9" t="s">
        <v>7797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7782</v>
      </c>
      <c r="B11" t="s">
        <v>38</v>
      </c>
      <c r="C11" t="s">
        <v>39</v>
      </c>
      <c r="E11" t="s">
        <v>7783</v>
      </c>
      <c r="F11" t="s">
        <v>40</v>
      </c>
      <c r="G11" t="s">
        <v>41</v>
      </c>
      <c r="H11" t="s">
        <v>7784</v>
      </c>
      <c r="I11" t="s">
        <v>7785</v>
      </c>
      <c r="O11" t="s">
        <v>7786</v>
      </c>
      <c r="Q11" t="s">
        <v>7787</v>
      </c>
      <c r="R11" t="s">
        <v>7788</v>
      </c>
      <c r="S11" t="s">
        <v>7789</v>
      </c>
      <c r="U11" t="s">
        <v>7790</v>
      </c>
      <c r="V11" t="s">
        <v>7791</v>
      </c>
      <c r="W11" t="s">
        <v>7792</v>
      </c>
      <c r="Y11" t="s">
        <v>7793</v>
      </c>
      <c r="Z11" t="s">
        <v>7794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7812</v>
      </c>
      <c r="B14" t="s">
        <v>90</v>
      </c>
      <c r="C14" t="s">
        <v>39</v>
      </c>
      <c r="E14" t="s">
        <v>7813</v>
      </c>
      <c r="F14" t="s">
        <v>40</v>
      </c>
      <c r="G14" t="s">
        <v>41</v>
      </c>
      <c r="H14" t="s">
        <v>7814</v>
      </c>
      <c r="I14" t="s">
        <v>7815</v>
      </c>
      <c r="O14" t="s">
        <v>7816</v>
      </c>
      <c r="Q14" t="s">
        <v>7817</v>
      </c>
      <c r="R14" t="s">
        <v>7818</v>
      </c>
      <c r="S14" t="s">
        <v>7819</v>
      </c>
      <c r="U14" t="s">
        <v>7817</v>
      </c>
      <c r="V14" t="s">
        <v>7820</v>
      </c>
      <c r="W14" t="s">
        <v>7821</v>
      </c>
      <c r="Y14" t="s">
        <v>7817</v>
      </c>
      <c r="Z14" t="s">
        <v>7822</v>
      </c>
      <c r="AA14" t="s">
        <v>99</v>
      </c>
      <c r="AC14" t="s">
        <v>7823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7802</v>
      </c>
      <c r="B16" t="s">
        <v>90</v>
      </c>
      <c r="C16" t="s">
        <v>39</v>
      </c>
      <c r="E16" t="s">
        <v>7803</v>
      </c>
      <c r="F16" t="s">
        <v>40</v>
      </c>
      <c r="G16" t="s">
        <v>41</v>
      </c>
      <c r="H16" t="s">
        <v>7804</v>
      </c>
      <c r="I16" t="s">
        <v>7805</v>
      </c>
      <c r="O16" t="s">
        <v>7789</v>
      </c>
      <c r="Q16" t="s">
        <v>7806</v>
      </c>
      <c r="R16" t="s">
        <v>7791</v>
      </c>
      <c r="S16" t="s">
        <v>7786</v>
      </c>
      <c r="U16" t="s">
        <v>7807</v>
      </c>
      <c r="V16" t="s">
        <v>7788</v>
      </c>
      <c r="W16" t="s">
        <v>7808</v>
      </c>
      <c r="Y16" t="s">
        <v>7809</v>
      </c>
      <c r="Z16" t="s">
        <v>7810</v>
      </c>
      <c r="AA16" t="s">
        <v>5725</v>
      </c>
      <c r="AC16" t="s">
        <v>7811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3456</v>
      </c>
      <c r="E1" t="s">
        <v>3499</v>
      </c>
      <c r="F1" t="s">
        <v>170</v>
      </c>
      <c r="G1" t="s">
        <v>1</v>
      </c>
      <c r="H1" t="s">
        <v>7</v>
      </c>
      <c r="I1" t="s">
        <v>7496</v>
      </c>
    </row>
    <row r="2" spans="1:9" x14ac:dyDescent="0.25">
      <c r="A2" t="s">
        <v>7528</v>
      </c>
      <c r="B2" t="s">
        <v>3517</v>
      </c>
      <c r="C2" t="s">
        <v>4511</v>
      </c>
      <c r="D2" t="s">
        <v>7529</v>
      </c>
      <c r="E2" t="s">
        <v>7539</v>
      </c>
      <c r="G2" t="s">
        <v>2619</v>
      </c>
      <c r="H2" t="s">
        <v>7540</v>
      </c>
      <c r="I2" t="s">
        <v>7511</v>
      </c>
    </row>
    <row r="3" spans="1:9" x14ac:dyDescent="0.25">
      <c r="A3" t="s">
        <v>7507</v>
      </c>
      <c r="B3" t="s">
        <v>3517</v>
      </c>
      <c r="C3" t="s">
        <v>4511</v>
      </c>
      <c r="D3" t="s">
        <v>7509</v>
      </c>
      <c r="E3" t="s">
        <v>7533</v>
      </c>
      <c r="F3" t="s">
        <v>8313</v>
      </c>
      <c r="G3" t="s">
        <v>160</v>
      </c>
      <c r="H3" t="s">
        <v>7508</v>
      </c>
      <c r="I3" t="s">
        <v>7498</v>
      </c>
    </row>
    <row r="4" spans="1:9" x14ac:dyDescent="0.25">
      <c r="A4" t="s">
        <v>7512</v>
      </c>
      <c r="B4" t="s">
        <v>3505</v>
      </c>
      <c r="C4" t="s">
        <v>4511</v>
      </c>
      <c r="D4" t="s">
        <v>7513</v>
      </c>
      <c r="E4" t="s">
        <v>7534</v>
      </c>
      <c r="F4" t="s">
        <v>8314</v>
      </c>
      <c r="G4" t="s">
        <v>160</v>
      </c>
      <c r="H4" t="s">
        <v>7517</v>
      </c>
      <c r="I4" t="s">
        <v>7511</v>
      </c>
    </row>
    <row r="5" spans="1:9" x14ac:dyDescent="0.25">
      <c r="A5" t="s">
        <v>7514</v>
      </c>
      <c r="B5" t="s">
        <v>3505</v>
      </c>
      <c r="C5" t="s">
        <v>4511</v>
      </c>
      <c r="D5" t="s">
        <v>7515</v>
      </c>
      <c r="E5" t="s">
        <v>7535</v>
      </c>
      <c r="F5" t="s">
        <v>8314</v>
      </c>
      <c r="G5" t="s">
        <v>160</v>
      </c>
      <c r="H5" t="s">
        <v>7516</v>
      </c>
      <c r="I5" t="s">
        <v>7511</v>
      </c>
    </row>
    <row r="6" spans="1:9" x14ac:dyDescent="0.25">
      <c r="A6" t="s">
        <v>7518</v>
      </c>
      <c r="B6" t="s">
        <v>3505</v>
      </c>
      <c r="C6" t="s">
        <v>4511</v>
      </c>
      <c r="D6" t="s">
        <v>7520</v>
      </c>
      <c r="E6" t="s">
        <v>7536</v>
      </c>
      <c r="F6" t="s">
        <v>8314</v>
      </c>
      <c r="G6" t="s">
        <v>160</v>
      </c>
      <c r="H6" t="s">
        <v>7519</v>
      </c>
      <c r="I6" t="s">
        <v>7511</v>
      </c>
    </row>
    <row r="7" spans="1:9" x14ac:dyDescent="0.25">
      <c r="A7" t="s">
        <v>7524</v>
      </c>
      <c r="B7" t="s">
        <v>3505</v>
      </c>
      <c r="C7" t="s">
        <v>4511</v>
      </c>
      <c r="D7" t="s">
        <v>7525</v>
      </c>
      <c r="E7" t="s">
        <v>7538</v>
      </c>
      <c r="G7" t="s">
        <v>2619</v>
      </c>
      <c r="H7" t="s">
        <v>7526</v>
      </c>
      <c r="I7" t="s">
        <v>7527</v>
      </c>
    </row>
    <row r="8" spans="1:9" x14ac:dyDescent="0.25">
      <c r="A8" t="s">
        <v>3524</v>
      </c>
      <c r="B8" t="s">
        <v>3505</v>
      </c>
      <c r="C8" t="s">
        <v>3526</v>
      </c>
      <c r="D8" t="s">
        <v>8239</v>
      </c>
      <c r="E8" t="s">
        <v>8190</v>
      </c>
      <c r="G8" t="s">
        <v>90</v>
      </c>
      <c r="H8" t="s">
        <v>3524</v>
      </c>
      <c r="I8" t="s">
        <v>7497</v>
      </c>
    </row>
    <row r="9" spans="1:9" x14ac:dyDescent="0.25">
      <c r="A9" t="s">
        <v>8180</v>
      </c>
      <c r="B9" t="s">
        <v>3505</v>
      </c>
      <c r="C9" t="s">
        <v>3526</v>
      </c>
      <c r="D9" t="s">
        <v>8238</v>
      </c>
      <c r="E9" t="s">
        <v>8191</v>
      </c>
      <c r="F9" t="s">
        <v>8315</v>
      </c>
      <c r="G9" t="s">
        <v>353</v>
      </c>
      <c r="H9" t="s">
        <v>8180</v>
      </c>
      <c r="I9" t="s">
        <v>7510</v>
      </c>
    </row>
    <row r="10" spans="1:9" x14ac:dyDescent="0.25">
      <c r="A10" t="s">
        <v>8155</v>
      </c>
      <c r="B10" t="s">
        <v>41</v>
      </c>
      <c r="C10" t="s">
        <v>3526</v>
      </c>
      <c r="D10" t="s">
        <v>8237</v>
      </c>
      <c r="E10" t="s">
        <v>8192</v>
      </c>
      <c r="F10" t="s">
        <v>8315</v>
      </c>
      <c r="G10" t="s">
        <v>353</v>
      </c>
      <c r="H10" t="s">
        <v>8156</v>
      </c>
      <c r="I10" t="s">
        <v>7510</v>
      </c>
    </row>
    <row r="11" spans="1:9" x14ac:dyDescent="0.25">
      <c r="A11" t="s">
        <v>7716</v>
      </c>
      <c r="B11" t="s">
        <v>3505</v>
      </c>
      <c r="C11" t="s">
        <v>3526</v>
      </c>
      <c r="D11" t="s">
        <v>8236</v>
      </c>
      <c r="E11" t="s">
        <v>8193</v>
      </c>
      <c r="G11" t="s">
        <v>90</v>
      </c>
      <c r="H11" t="s">
        <v>7717</v>
      </c>
      <c r="I11" t="s">
        <v>7718</v>
      </c>
    </row>
    <row r="12" spans="1:9" x14ac:dyDescent="0.25">
      <c r="A12" t="s">
        <v>8171</v>
      </c>
      <c r="B12" t="s">
        <v>41</v>
      </c>
      <c r="C12" t="s">
        <v>4511</v>
      </c>
      <c r="D12" t="s">
        <v>8172</v>
      </c>
      <c r="E12" t="s">
        <v>8194</v>
      </c>
      <c r="F12" t="s">
        <v>8313</v>
      </c>
      <c r="G12" t="s">
        <v>160</v>
      </c>
      <c r="H12" t="s">
        <v>8173</v>
      </c>
      <c r="I12" t="s">
        <v>7498</v>
      </c>
    </row>
    <row r="13" spans="1:9" x14ac:dyDescent="0.25">
      <c r="A13" t="s">
        <v>7502</v>
      </c>
      <c r="B13" t="s">
        <v>3517</v>
      </c>
      <c r="C13" t="s">
        <v>4511</v>
      </c>
      <c r="D13" t="s">
        <v>8110</v>
      </c>
      <c r="E13" t="s">
        <v>8111</v>
      </c>
      <c r="F13" t="s">
        <v>8313</v>
      </c>
      <c r="G13" t="s">
        <v>160</v>
      </c>
      <c r="H13" t="s">
        <v>7503</v>
      </c>
      <c r="I13" t="s">
        <v>7498</v>
      </c>
    </row>
    <row r="14" spans="1:9" x14ac:dyDescent="0.25">
      <c r="A14" t="s">
        <v>7521</v>
      </c>
      <c r="B14" t="s">
        <v>3505</v>
      </c>
      <c r="C14" t="s">
        <v>4511</v>
      </c>
      <c r="D14" t="s">
        <v>7522</v>
      </c>
      <c r="E14" t="s">
        <v>7537</v>
      </c>
      <c r="F14" t="s">
        <v>8314</v>
      </c>
      <c r="G14" t="s">
        <v>2619</v>
      </c>
      <c r="H14" t="s">
        <v>7523</v>
      </c>
      <c r="I14" t="s">
        <v>7511</v>
      </c>
    </row>
    <row r="15" spans="1:9" x14ac:dyDescent="0.25">
      <c r="A15" t="s">
        <v>3680</v>
      </c>
      <c r="B15" t="s">
        <v>3517</v>
      </c>
      <c r="C15" t="s">
        <v>4511</v>
      </c>
      <c r="D15" t="s">
        <v>3681</v>
      </c>
      <c r="E15" t="s">
        <v>7530</v>
      </c>
      <c r="F15" t="s">
        <v>8315</v>
      </c>
      <c r="G15" t="s">
        <v>353</v>
      </c>
      <c r="H15" t="s">
        <v>3682</v>
      </c>
      <c r="I15" t="s">
        <v>7510</v>
      </c>
    </row>
    <row r="16" spans="1:9" x14ac:dyDescent="0.25">
      <c r="A16" t="s">
        <v>8181</v>
      </c>
      <c r="B16" t="s">
        <v>3517</v>
      </c>
      <c r="C16" t="s">
        <v>3526</v>
      </c>
      <c r="D16" t="s">
        <v>8233</v>
      </c>
      <c r="E16" t="s">
        <v>8195</v>
      </c>
      <c r="F16" t="s">
        <v>8315</v>
      </c>
      <c r="G16" t="s">
        <v>353</v>
      </c>
      <c r="H16" t="s">
        <v>8181</v>
      </c>
      <c r="I16" t="s">
        <v>7510</v>
      </c>
    </row>
    <row r="17" spans="1:9" x14ac:dyDescent="0.25">
      <c r="A17" t="s">
        <v>8187</v>
      </c>
      <c r="B17" t="s">
        <v>3517</v>
      </c>
      <c r="C17" t="s">
        <v>3526</v>
      </c>
      <c r="D17" t="s">
        <v>8234</v>
      </c>
      <c r="E17" t="s">
        <v>8196</v>
      </c>
      <c r="F17" t="s">
        <v>8315</v>
      </c>
      <c r="G17" t="s">
        <v>353</v>
      </c>
      <c r="H17" t="s">
        <v>8188</v>
      </c>
      <c r="I17" t="s">
        <v>7510</v>
      </c>
    </row>
    <row r="18" spans="1:9" x14ac:dyDescent="0.25">
      <c r="A18" t="s">
        <v>8185</v>
      </c>
      <c r="B18" t="s">
        <v>3517</v>
      </c>
      <c r="C18" t="s">
        <v>3526</v>
      </c>
      <c r="D18" t="s">
        <v>8235</v>
      </c>
      <c r="E18" t="s">
        <v>8197</v>
      </c>
      <c r="F18" t="s">
        <v>8315</v>
      </c>
      <c r="G18" t="s">
        <v>353</v>
      </c>
      <c r="H18" t="s">
        <v>8186</v>
      </c>
      <c r="I18" t="s">
        <v>7510</v>
      </c>
    </row>
    <row r="19" spans="1:9" x14ac:dyDescent="0.25">
      <c r="A19" t="s">
        <v>7499</v>
      </c>
      <c r="B19" t="s">
        <v>41</v>
      </c>
      <c r="C19" t="s">
        <v>4511</v>
      </c>
      <c r="D19" t="s">
        <v>4156</v>
      </c>
      <c r="E19" t="s">
        <v>4157</v>
      </c>
      <c r="F19" t="s">
        <v>8313</v>
      </c>
      <c r="G19" t="s">
        <v>160</v>
      </c>
      <c r="H19" t="s">
        <v>7531</v>
      </c>
      <c r="I19" t="s">
        <v>7498</v>
      </c>
    </row>
    <row r="20" spans="1:9" x14ac:dyDescent="0.25">
      <c r="A20" t="s">
        <v>7500</v>
      </c>
      <c r="B20" t="s">
        <v>41</v>
      </c>
      <c r="C20" t="s">
        <v>4511</v>
      </c>
      <c r="D20" t="s">
        <v>4211</v>
      </c>
      <c r="E20" t="s">
        <v>4212</v>
      </c>
      <c r="F20" t="s">
        <v>8313</v>
      </c>
      <c r="G20" t="s">
        <v>160</v>
      </c>
      <c r="H20" t="s">
        <v>7501</v>
      </c>
      <c r="I20" t="s">
        <v>7498</v>
      </c>
    </row>
    <row r="21" spans="1:9" x14ac:dyDescent="0.25">
      <c r="A21" t="s">
        <v>7504</v>
      </c>
      <c r="B21" t="s">
        <v>41</v>
      </c>
      <c r="C21" t="s">
        <v>4511</v>
      </c>
      <c r="D21" t="s">
        <v>7506</v>
      </c>
      <c r="E21" t="s">
        <v>7532</v>
      </c>
      <c r="F21" t="s">
        <v>8313</v>
      </c>
      <c r="G21" t="s">
        <v>160</v>
      </c>
      <c r="H21" t="s">
        <v>7505</v>
      </c>
      <c r="I21" t="s">
        <v>7498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4011</v>
      </c>
      <c r="B1" t="s">
        <v>1</v>
      </c>
      <c r="C1" t="s">
        <v>4012</v>
      </c>
      <c r="D1" t="s">
        <v>6</v>
      </c>
      <c r="E1" t="s">
        <v>3456</v>
      </c>
      <c r="F1" t="s">
        <v>3499</v>
      </c>
      <c r="G1" t="s">
        <v>170</v>
      </c>
      <c r="H1" t="s">
        <v>171</v>
      </c>
      <c r="I1" t="s">
        <v>4013</v>
      </c>
      <c r="K1" t="s">
        <v>4014</v>
      </c>
      <c r="L1" t="s">
        <v>1</v>
      </c>
      <c r="N1" t="s">
        <v>4015</v>
      </c>
      <c r="O1" t="s">
        <v>1</v>
      </c>
    </row>
    <row r="2" spans="1:15" x14ac:dyDescent="0.25">
      <c r="A2" t="s">
        <v>4016</v>
      </c>
      <c r="B2" t="s">
        <v>2154</v>
      </c>
      <c r="C2" t="s">
        <v>4017</v>
      </c>
      <c r="D2" t="s">
        <v>41</v>
      </c>
      <c r="E2" t="s">
        <v>4018</v>
      </c>
      <c r="F2" t="s">
        <v>4019</v>
      </c>
      <c r="K2" t="s">
        <v>4020</v>
      </c>
      <c r="L2" t="s">
        <v>1795</v>
      </c>
      <c r="N2" t="s">
        <v>4021</v>
      </c>
      <c r="O2" t="s">
        <v>2154</v>
      </c>
    </row>
    <row r="3" spans="1:15" x14ac:dyDescent="0.25">
      <c r="A3" t="s">
        <v>4022</v>
      </c>
      <c r="B3" t="s">
        <v>1284</v>
      </c>
      <c r="C3" t="s">
        <v>4017</v>
      </c>
      <c r="D3" t="s">
        <v>3517</v>
      </c>
      <c r="E3" t="s">
        <v>4023</v>
      </c>
      <c r="F3" t="s">
        <v>4024</v>
      </c>
      <c r="H3" t="s">
        <v>4025</v>
      </c>
      <c r="K3" t="s">
        <v>4026</v>
      </c>
      <c r="L3" t="s">
        <v>1795</v>
      </c>
      <c r="N3" t="s">
        <v>4027</v>
      </c>
      <c r="O3" t="s">
        <v>2154</v>
      </c>
    </row>
    <row r="4" spans="1:15" x14ac:dyDescent="0.25">
      <c r="A4" t="s">
        <v>4028</v>
      </c>
      <c r="B4" t="s">
        <v>2154</v>
      </c>
      <c r="C4" t="s">
        <v>4017</v>
      </c>
      <c r="D4" t="s">
        <v>3517</v>
      </c>
      <c r="E4" t="s">
        <v>4029</v>
      </c>
      <c r="F4" t="s">
        <v>4030</v>
      </c>
      <c r="K4" t="s">
        <v>4031</v>
      </c>
      <c r="L4" t="s">
        <v>1795</v>
      </c>
      <c r="N4" t="s">
        <v>4032</v>
      </c>
      <c r="O4" t="s">
        <v>2154</v>
      </c>
    </row>
    <row r="5" spans="1:15" x14ac:dyDescent="0.25">
      <c r="A5" t="s">
        <v>4033</v>
      </c>
      <c r="B5" t="s">
        <v>2154</v>
      </c>
      <c r="C5" t="s">
        <v>4034</v>
      </c>
      <c r="D5" t="s">
        <v>41</v>
      </c>
      <c r="E5" t="s">
        <v>4035</v>
      </c>
      <c r="F5" t="s">
        <v>4036</v>
      </c>
      <c r="H5" t="s">
        <v>4037</v>
      </c>
      <c r="I5" t="s">
        <v>7479</v>
      </c>
      <c r="K5" t="s">
        <v>4038</v>
      </c>
      <c r="L5" t="s">
        <v>1795</v>
      </c>
      <c r="N5" t="s">
        <v>4039</v>
      </c>
      <c r="O5" t="s">
        <v>2154</v>
      </c>
    </row>
    <row r="6" spans="1:15" x14ac:dyDescent="0.25">
      <c r="A6" t="s">
        <v>4040</v>
      </c>
      <c r="B6" t="s">
        <v>2154</v>
      </c>
      <c r="C6" t="s">
        <v>4034</v>
      </c>
      <c r="D6" t="s">
        <v>3517</v>
      </c>
      <c r="E6" t="s">
        <v>7622</v>
      </c>
      <c r="F6" t="s">
        <v>4041</v>
      </c>
      <c r="K6" t="s">
        <v>4042</v>
      </c>
      <c r="L6" t="s">
        <v>1795</v>
      </c>
      <c r="N6" t="s">
        <v>4043</v>
      </c>
      <c r="O6" t="s">
        <v>2154</v>
      </c>
    </row>
    <row r="7" spans="1:15" x14ac:dyDescent="0.25">
      <c r="A7" t="s">
        <v>4044</v>
      </c>
      <c r="B7" t="s">
        <v>2154</v>
      </c>
      <c r="C7" t="s">
        <v>4045</v>
      </c>
      <c r="D7" t="s">
        <v>41</v>
      </c>
      <c r="E7" t="s">
        <v>4046</v>
      </c>
      <c r="F7" t="s">
        <v>4047</v>
      </c>
      <c r="H7" t="s">
        <v>4048</v>
      </c>
      <c r="K7" t="s">
        <v>4049</v>
      </c>
      <c r="L7" t="s">
        <v>1795</v>
      </c>
      <c r="N7" t="s">
        <v>4050</v>
      </c>
      <c r="O7" t="s">
        <v>2154</v>
      </c>
    </row>
    <row r="8" spans="1:15" x14ac:dyDescent="0.25">
      <c r="A8" t="s">
        <v>4051</v>
      </c>
      <c r="B8" t="s">
        <v>1284</v>
      </c>
      <c r="C8" t="s">
        <v>4017</v>
      </c>
      <c r="D8" t="s">
        <v>3517</v>
      </c>
      <c r="E8" t="s">
        <v>4052</v>
      </c>
      <c r="F8" t="s">
        <v>4053</v>
      </c>
      <c r="G8" t="s">
        <v>8223</v>
      </c>
      <c r="K8" t="s">
        <v>4054</v>
      </c>
      <c r="L8" t="s">
        <v>1795</v>
      </c>
      <c r="N8" t="s">
        <v>4055</v>
      </c>
      <c r="O8" t="s">
        <v>2154</v>
      </c>
    </row>
    <row r="9" spans="1:15" x14ac:dyDescent="0.25">
      <c r="A9" t="s">
        <v>4056</v>
      </c>
      <c r="B9" t="s">
        <v>2154</v>
      </c>
      <c r="C9" t="s">
        <v>4034</v>
      </c>
      <c r="D9" t="s">
        <v>3505</v>
      </c>
      <c r="E9" t="s">
        <v>4057</v>
      </c>
      <c r="F9" t="s">
        <v>4058</v>
      </c>
      <c r="K9" t="s">
        <v>4059</v>
      </c>
      <c r="L9" t="s">
        <v>1795</v>
      </c>
      <c r="N9" t="s">
        <v>4060</v>
      </c>
      <c r="O9" t="s">
        <v>2154</v>
      </c>
    </row>
    <row r="10" spans="1:15" x14ac:dyDescent="0.25">
      <c r="K10" t="s">
        <v>4061</v>
      </c>
      <c r="L10" t="s">
        <v>1795</v>
      </c>
      <c r="N10" t="s">
        <v>4062</v>
      </c>
      <c r="O10" t="s">
        <v>2154</v>
      </c>
    </row>
    <row r="11" spans="1:15" x14ac:dyDescent="0.25">
      <c r="K11" t="s">
        <v>4063</v>
      </c>
      <c r="L11" t="s">
        <v>1795</v>
      </c>
      <c r="N11" t="s">
        <v>4064</v>
      </c>
      <c r="O11" t="s">
        <v>2154</v>
      </c>
    </row>
    <row r="12" spans="1:15" x14ac:dyDescent="0.25">
      <c r="K12" t="s">
        <v>4065</v>
      </c>
      <c r="L12" t="s">
        <v>1795</v>
      </c>
      <c r="N12" t="s">
        <v>4066</v>
      </c>
      <c r="O12" t="s">
        <v>2154</v>
      </c>
    </row>
    <row r="13" spans="1:15" x14ac:dyDescent="0.25">
      <c r="K13" t="s">
        <v>4067</v>
      </c>
      <c r="L13" t="s">
        <v>1795</v>
      </c>
      <c r="N13" t="s">
        <v>4068</v>
      </c>
      <c r="O13" t="s">
        <v>2154</v>
      </c>
    </row>
    <row r="14" spans="1:15" x14ac:dyDescent="0.25">
      <c r="K14" t="s">
        <v>4069</v>
      </c>
      <c r="L14" t="s">
        <v>1795</v>
      </c>
      <c r="N14" t="s">
        <v>4070</v>
      </c>
      <c r="O14" t="s">
        <v>2154</v>
      </c>
    </row>
    <row r="15" spans="1:15" x14ac:dyDescent="0.25">
      <c r="K15" t="s">
        <v>4071</v>
      </c>
      <c r="L15" t="s">
        <v>1795</v>
      </c>
      <c r="N15" t="s">
        <v>4072</v>
      </c>
      <c r="O15" t="s">
        <v>2154</v>
      </c>
    </row>
    <row r="16" spans="1:15" x14ac:dyDescent="0.25">
      <c r="K16" t="s">
        <v>4073</v>
      </c>
      <c r="L16" t="s">
        <v>1795</v>
      </c>
      <c r="N16" t="s">
        <v>4074</v>
      </c>
      <c r="O16" t="s">
        <v>2154</v>
      </c>
    </row>
    <row r="17" spans="11:15" x14ac:dyDescent="0.25">
      <c r="K17" t="s">
        <v>4075</v>
      </c>
      <c r="L17" t="s">
        <v>1795</v>
      </c>
      <c r="N17" t="s">
        <v>4076</v>
      </c>
      <c r="O17" t="s">
        <v>2154</v>
      </c>
    </row>
    <row r="18" spans="11:15" x14ac:dyDescent="0.25">
      <c r="K18" t="s">
        <v>4077</v>
      </c>
      <c r="L18" t="s">
        <v>1795</v>
      </c>
      <c r="N18" t="s">
        <v>4078</v>
      </c>
      <c r="O18" t="s">
        <v>2154</v>
      </c>
    </row>
    <row r="19" spans="11:15" x14ac:dyDescent="0.25">
      <c r="K19" t="s">
        <v>4079</v>
      </c>
      <c r="L19" t="s">
        <v>1795</v>
      </c>
      <c r="N19" t="s">
        <v>4080</v>
      </c>
      <c r="O19" t="s">
        <v>2154</v>
      </c>
    </row>
    <row r="20" spans="11:15" x14ac:dyDescent="0.25">
      <c r="K20" t="s">
        <v>4081</v>
      </c>
      <c r="L20" t="s">
        <v>1795</v>
      </c>
      <c r="N20" t="s">
        <v>4082</v>
      </c>
      <c r="O20" t="s">
        <v>2154</v>
      </c>
    </row>
    <row r="21" spans="11:15" x14ac:dyDescent="0.25">
      <c r="K21" t="s">
        <v>4083</v>
      </c>
      <c r="L21" t="s">
        <v>1795</v>
      </c>
      <c r="N21" t="s">
        <v>4084</v>
      </c>
      <c r="O21" t="s">
        <v>2154</v>
      </c>
    </row>
    <row r="22" spans="11:15" x14ac:dyDescent="0.25">
      <c r="K22" t="s">
        <v>4085</v>
      </c>
      <c r="L22" t="s">
        <v>1795</v>
      </c>
      <c r="N22" t="s">
        <v>4086</v>
      </c>
      <c r="O22" t="s">
        <v>2154</v>
      </c>
    </row>
    <row r="23" spans="11:15" x14ac:dyDescent="0.25">
      <c r="K23" t="s">
        <v>4087</v>
      </c>
      <c r="L23" t="s">
        <v>1795</v>
      </c>
      <c r="N23" t="s">
        <v>4088</v>
      </c>
      <c r="O23" t="s">
        <v>2154</v>
      </c>
    </row>
    <row r="24" spans="11:15" x14ac:dyDescent="0.25">
      <c r="K24" t="s">
        <v>4089</v>
      </c>
      <c r="L24" t="s">
        <v>1795</v>
      </c>
      <c r="N24" t="s">
        <v>4090</v>
      </c>
      <c r="O24" t="s">
        <v>2154</v>
      </c>
    </row>
    <row r="25" spans="11:15" x14ac:dyDescent="0.25">
      <c r="K25" t="s">
        <v>4091</v>
      </c>
      <c r="L25" t="s">
        <v>1795</v>
      </c>
      <c r="N25" t="s">
        <v>4092</v>
      </c>
      <c r="O25" t="s">
        <v>2154</v>
      </c>
    </row>
    <row r="26" spans="11:15" x14ac:dyDescent="0.25">
      <c r="K26" t="s">
        <v>4093</v>
      </c>
      <c r="L26" t="s">
        <v>1795</v>
      </c>
      <c r="N26" t="s">
        <v>4094</v>
      </c>
      <c r="O26" t="s">
        <v>2154</v>
      </c>
    </row>
    <row r="27" spans="11:15" x14ac:dyDescent="0.25">
      <c r="K27" t="s">
        <v>4095</v>
      </c>
      <c r="L27" t="s">
        <v>2866</v>
      </c>
      <c r="N27" t="s">
        <v>4096</v>
      </c>
      <c r="O27" t="s">
        <v>2154</v>
      </c>
    </row>
    <row r="28" spans="11:15" x14ac:dyDescent="0.25">
      <c r="K28" t="s">
        <v>4097</v>
      </c>
      <c r="L28" t="s">
        <v>2866</v>
      </c>
      <c r="N28" t="s">
        <v>4098</v>
      </c>
      <c r="O28" t="s">
        <v>2154</v>
      </c>
    </row>
    <row r="29" spans="11:15" x14ac:dyDescent="0.25">
      <c r="K29" t="s">
        <v>4099</v>
      </c>
      <c r="L29" t="s">
        <v>2866</v>
      </c>
      <c r="N29" t="s">
        <v>4100</v>
      </c>
      <c r="O29" t="s">
        <v>2154</v>
      </c>
    </row>
    <row r="30" spans="11:15" x14ac:dyDescent="0.25">
      <c r="K30" t="s">
        <v>4101</v>
      </c>
      <c r="L30" t="s">
        <v>2866</v>
      </c>
      <c r="N30" t="s">
        <v>4102</v>
      </c>
      <c r="O30" t="s">
        <v>2154</v>
      </c>
    </row>
    <row r="31" spans="11:15" x14ac:dyDescent="0.25">
      <c r="K31" t="s">
        <v>4103</v>
      </c>
      <c r="L31" t="s">
        <v>2866</v>
      </c>
      <c r="N31" t="s">
        <v>4104</v>
      </c>
      <c r="O31" t="s">
        <v>2154</v>
      </c>
    </row>
    <row r="32" spans="11:15" x14ac:dyDescent="0.25">
      <c r="K32" t="s">
        <v>4105</v>
      </c>
      <c r="L32" t="s">
        <v>2866</v>
      </c>
      <c r="N32" t="s">
        <v>4106</v>
      </c>
      <c r="O32" t="s">
        <v>2154</v>
      </c>
    </row>
    <row r="33" spans="11:15" x14ac:dyDescent="0.25">
      <c r="K33" t="s">
        <v>4107</v>
      </c>
      <c r="L33" t="s">
        <v>2866</v>
      </c>
      <c r="N33" t="s">
        <v>4108</v>
      </c>
      <c r="O33" t="s">
        <v>2154</v>
      </c>
    </row>
    <row r="34" spans="11:15" x14ac:dyDescent="0.25">
      <c r="K34" t="s">
        <v>4109</v>
      </c>
      <c r="L34" t="s">
        <v>2866</v>
      </c>
      <c r="N34" t="s">
        <v>4110</v>
      </c>
      <c r="O34" t="s">
        <v>2154</v>
      </c>
    </row>
    <row r="35" spans="11:15" x14ac:dyDescent="0.25">
      <c r="K35" t="s">
        <v>4111</v>
      </c>
      <c r="L35" t="s">
        <v>2866</v>
      </c>
      <c r="N35" t="s">
        <v>4112</v>
      </c>
      <c r="O35" t="s">
        <v>2154</v>
      </c>
    </row>
    <row r="36" spans="11:15" x14ac:dyDescent="0.25">
      <c r="K36" t="s">
        <v>4077</v>
      </c>
      <c r="L36" t="s">
        <v>2866</v>
      </c>
      <c r="N36" t="s">
        <v>4113</v>
      </c>
      <c r="O36" t="s">
        <v>2154</v>
      </c>
    </row>
    <row r="37" spans="11:15" x14ac:dyDescent="0.25">
      <c r="K37" t="s">
        <v>4114</v>
      </c>
      <c r="L37" t="s">
        <v>2866</v>
      </c>
      <c r="N37" t="s">
        <v>4115</v>
      </c>
      <c r="O37" t="s">
        <v>2154</v>
      </c>
    </row>
    <row r="38" spans="11:15" x14ac:dyDescent="0.25">
      <c r="N38" t="s">
        <v>4116</v>
      </c>
      <c r="O38" t="s">
        <v>2154</v>
      </c>
    </row>
    <row r="39" spans="11:15" x14ac:dyDescent="0.25">
      <c r="N39" t="s">
        <v>4117</v>
      </c>
      <c r="O39" t="s">
        <v>2154</v>
      </c>
    </row>
    <row r="40" spans="11:15" x14ac:dyDescent="0.25">
      <c r="N40" t="s">
        <v>4118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4012</v>
      </c>
      <c r="C1" t="s">
        <v>3456</v>
      </c>
      <c r="D1" t="s">
        <v>3499</v>
      </c>
      <c r="E1" t="s">
        <v>4119</v>
      </c>
      <c r="F1" t="s">
        <v>4120</v>
      </c>
      <c r="G1" t="s">
        <v>4013</v>
      </c>
    </row>
    <row r="2" spans="1:7" x14ac:dyDescent="0.25">
      <c r="A2" t="s">
        <v>4133</v>
      </c>
      <c r="B2" t="s">
        <v>4034</v>
      </c>
      <c r="C2" t="s">
        <v>8290</v>
      </c>
      <c r="D2" t="s">
        <v>4134</v>
      </c>
      <c r="E2" t="s">
        <v>8291</v>
      </c>
      <c r="F2" t="s">
        <v>4135</v>
      </c>
    </row>
    <row r="3" spans="1:7" x14ac:dyDescent="0.25">
      <c r="A3" t="s">
        <v>4025</v>
      </c>
      <c r="B3" t="s">
        <v>4017</v>
      </c>
      <c r="C3" t="s">
        <v>7737</v>
      </c>
      <c r="D3" t="s">
        <v>7738</v>
      </c>
      <c r="E3" t="s">
        <v>4160</v>
      </c>
      <c r="F3" t="s">
        <v>4161</v>
      </c>
    </row>
    <row r="4" spans="1:7" x14ac:dyDescent="0.25">
      <c r="A4" t="s">
        <v>4144</v>
      </c>
      <c r="B4" t="s">
        <v>4017</v>
      </c>
      <c r="C4" t="s">
        <v>4145</v>
      </c>
      <c r="D4" t="s">
        <v>4146</v>
      </c>
      <c r="E4" t="s">
        <v>4147</v>
      </c>
      <c r="F4" t="s">
        <v>4148</v>
      </c>
      <c r="G4" t="s">
        <v>4149</v>
      </c>
    </row>
    <row r="5" spans="1:7" x14ac:dyDescent="0.25">
      <c r="A5" t="s">
        <v>4155</v>
      </c>
      <c r="B5" t="s">
        <v>4034</v>
      </c>
      <c r="C5" t="s">
        <v>4156</v>
      </c>
      <c r="D5" t="s">
        <v>4157</v>
      </c>
      <c r="E5" t="s">
        <v>4158</v>
      </c>
      <c r="F5" t="s">
        <v>4159</v>
      </c>
    </row>
    <row r="6" spans="1:7" x14ac:dyDescent="0.25">
      <c r="A6" t="s">
        <v>4150</v>
      </c>
      <c r="B6" t="s">
        <v>4034</v>
      </c>
      <c r="C6" t="s">
        <v>4151</v>
      </c>
      <c r="D6" t="s">
        <v>4152</v>
      </c>
      <c r="E6" t="s">
        <v>4153</v>
      </c>
      <c r="F6" t="s">
        <v>4154</v>
      </c>
    </row>
    <row r="7" spans="1:7" x14ac:dyDescent="0.25">
      <c r="A7" t="s">
        <v>4139</v>
      </c>
      <c r="B7" t="s">
        <v>4017</v>
      </c>
      <c r="C7" t="s">
        <v>4140</v>
      </c>
      <c r="D7" t="s">
        <v>4141</v>
      </c>
      <c r="E7" t="s">
        <v>4142</v>
      </c>
      <c r="F7" t="s">
        <v>4143</v>
      </c>
    </row>
    <row r="8" spans="1:7" x14ac:dyDescent="0.25">
      <c r="A8" t="s">
        <v>4136</v>
      </c>
      <c r="B8" t="s">
        <v>4034</v>
      </c>
      <c r="C8" t="s">
        <v>3632</v>
      </c>
      <c r="D8" t="s">
        <v>4137</v>
      </c>
      <c r="E8" t="s">
        <v>3635</v>
      </c>
      <c r="F8" t="s">
        <v>4138</v>
      </c>
    </row>
    <row r="9" spans="1:7" x14ac:dyDescent="0.25">
      <c r="A9" t="s">
        <v>4125</v>
      </c>
      <c r="B9" t="s">
        <v>4017</v>
      </c>
      <c r="C9" t="s">
        <v>4126</v>
      </c>
      <c r="D9" t="s">
        <v>4127</v>
      </c>
      <c r="E9" t="s">
        <v>4128</v>
      </c>
      <c r="F9" t="s">
        <v>4129</v>
      </c>
    </row>
    <row r="10" spans="1:7" x14ac:dyDescent="0.25">
      <c r="A10" t="s">
        <v>4121</v>
      </c>
      <c r="B10" t="s">
        <v>4034</v>
      </c>
      <c r="C10" t="s">
        <v>3573</v>
      </c>
      <c r="D10" t="s">
        <v>4122</v>
      </c>
      <c r="E10" t="s">
        <v>4123</v>
      </c>
      <c r="F10" t="s">
        <v>4124</v>
      </c>
    </row>
    <row r="11" spans="1:7" x14ac:dyDescent="0.25">
      <c r="A11" t="s">
        <v>4130</v>
      </c>
      <c r="B11" t="s">
        <v>4045</v>
      </c>
      <c r="C11" t="s">
        <v>4046</v>
      </c>
      <c r="D11" t="s">
        <v>4047</v>
      </c>
      <c r="E11" t="s">
        <v>4131</v>
      </c>
      <c r="F11" t="s">
        <v>4132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4012</v>
      </c>
      <c r="D1" t="s">
        <v>3976</v>
      </c>
      <c r="E1" t="s">
        <v>3977</v>
      </c>
      <c r="F1" t="s">
        <v>4162</v>
      </c>
      <c r="G1" t="s">
        <v>4163</v>
      </c>
      <c r="H1" t="s">
        <v>170</v>
      </c>
      <c r="I1" t="s">
        <v>3500</v>
      </c>
      <c r="J1" t="s">
        <v>171</v>
      </c>
    </row>
    <row r="2" spans="1:10" x14ac:dyDescent="0.25">
      <c r="A2" t="s">
        <v>4164</v>
      </c>
      <c r="B2" t="s">
        <v>41</v>
      </c>
      <c r="C2" t="s">
        <v>4017</v>
      </c>
      <c r="D2" t="s">
        <v>7747</v>
      </c>
      <c r="E2" t="s">
        <v>7748</v>
      </c>
      <c r="F2" t="s">
        <v>7749</v>
      </c>
      <c r="G2" t="s">
        <v>7750</v>
      </c>
      <c r="H2" t="s">
        <v>8223</v>
      </c>
      <c r="I2" t="s">
        <v>90</v>
      </c>
      <c r="J2" t="s">
        <v>4165</v>
      </c>
    </row>
    <row r="3" spans="1:10" x14ac:dyDescent="0.25">
      <c r="A3" t="s">
        <v>4166</v>
      </c>
      <c r="B3" t="s">
        <v>41</v>
      </c>
      <c r="C3" t="s">
        <v>4034</v>
      </c>
      <c r="D3" t="s">
        <v>4156</v>
      </c>
      <c r="E3" t="s">
        <v>4157</v>
      </c>
      <c r="F3" t="s">
        <v>4167</v>
      </c>
      <c r="G3" t="s">
        <v>4168</v>
      </c>
      <c r="I3" t="s">
        <v>90</v>
      </c>
      <c r="J3" t="s">
        <v>4169</v>
      </c>
    </row>
    <row r="4" spans="1:10" x14ac:dyDescent="0.25">
      <c r="A4" t="s">
        <v>4170</v>
      </c>
      <c r="B4" t="s">
        <v>41</v>
      </c>
      <c r="C4" t="s">
        <v>4034</v>
      </c>
      <c r="D4" t="s">
        <v>4171</v>
      </c>
      <c r="E4" t="s">
        <v>4172</v>
      </c>
      <c r="F4" t="s">
        <v>4173</v>
      </c>
      <c r="G4" t="s">
        <v>4174</v>
      </c>
      <c r="I4" t="s">
        <v>90</v>
      </c>
      <c r="J4" t="s">
        <v>4175</v>
      </c>
    </row>
    <row r="5" spans="1:10" x14ac:dyDescent="0.25">
      <c r="A5" t="s">
        <v>4176</v>
      </c>
      <c r="B5" t="s">
        <v>41</v>
      </c>
      <c r="C5" t="s">
        <v>4034</v>
      </c>
      <c r="D5" t="s">
        <v>4177</v>
      </c>
      <c r="E5" t="s">
        <v>4178</v>
      </c>
      <c r="F5" t="s">
        <v>4179</v>
      </c>
      <c r="G5" t="s">
        <v>4180</v>
      </c>
      <c r="I5" t="s">
        <v>90</v>
      </c>
      <c r="J5" t="s">
        <v>4181</v>
      </c>
    </row>
    <row r="6" spans="1:10" x14ac:dyDescent="0.25">
      <c r="A6" t="s">
        <v>4182</v>
      </c>
      <c r="B6" t="s">
        <v>3505</v>
      </c>
      <c r="C6" t="s">
        <v>4034</v>
      </c>
      <c r="D6" t="s">
        <v>3632</v>
      </c>
      <c r="E6" t="s">
        <v>4137</v>
      </c>
      <c r="F6" t="s">
        <v>4183</v>
      </c>
      <c r="G6" t="s">
        <v>4184</v>
      </c>
      <c r="I6" t="s">
        <v>90</v>
      </c>
      <c r="J6" t="s">
        <v>4185</v>
      </c>
    </row>
    <row r="7" spans="1:10" x14ac:dyDescent="0.25">
      <c r="A7" t="s">
        <v>4186</v>
      </c>
      <c r="B7" t="s">
        <v>41</v>
      </c>
      <c r="C7" t="s">
        <v>4034</v>
      </c>
      <c r="D7" t="s">
        <v>4187</v>
      </c>
      <c r="E7" t="s">
        <v>4188</v>
      </c>
      <c r="F7" t="s">
        <v>4189</v>
      </c>
      <c r="G7" t="s">
        <v>4190</v>
      </c>
      <c r="I7" t="s">
        <v>90</v>
      </c>
      <c r="J7" t="s">
        <v>4191</v>
      </c>
    </row>
    <row r="8" spans="1:10" x14ac:dyDescent="0.25">
      <c r="A8" t="s">
        <v>4192</v>
      </c>
      <c r="B8" t="s">
        <v>41</v>
      </c>
      <c r="C8" t="s">
        <v>4034</v>
      </c>
      <c r="D8" t="s">
        <v>4193</v>
      </c>
      <c r="E8" t="s">
        <v>4194</v>
      </c>
      <c r="F8" t="s">
        <v>4195</v>
      </c>
      <c r="G8" t="s">
        <v>4196</v>
      </c>
      <c r="I8" t="s">
        <v>90</v>
      </c>
      <c r="J8" t="s">
        <v>4197</v>
      </c>
    </row>
    <row r="9" spans="1:10" x14ac:dyDescent="0.25">
      <c r="A9" t="s">
        <v>4198</v>
      </c>
      <c r="B9" t="s">
        <v>41</v>
      </c>
      <c r="C9" t="s">
        <v>4017</v>
      </c>
      <c r="D9" t="s">
        <v>4199</v>
      </c>
      <c r="E9" t="s">
        <v>4200</v>
      </c>
      <c r="F9" t="s">
        <v>4201</v>
      </c>
      <c r="G9" t="s">
        <v>4202</v>
      </c>
      <c r="I9" t="s">
        <v>90</v>
      </c>
      <c r="J9" t="s">
        <v>4203</v>
      </c>
    </row>
    <row r="10" spans="1:10" x14ac:dyDescent="0.25">
      <c r="A10" t="s">
        <v>4204</v>
      </c>
      <c r="B10" t="s">
        <v>3517</v>
      </c>
      <c r="C10" t="s">
        <v>4034</v>
      </c>
      <c r="D10" t="s">
        <v>4205</v>
      </c>
      <c r="E10" t="s">
        <v>4206</v>
      </c>
      <c r="F10" t="s">
        <v>4207</v>
      </c>
      <c r="G10" t="s">
        <v>4208</v>
      </c>
      <c r="I10" t="s">
        <v>38</v>
      </c>
      <c r="J10" t="s">
        <v>4209</v>
      </c>
    </row>
    <row r="11" spans="1:10" x14ac:dyDescent="0.25">
      <c r="A11" t="s">
        <v>4210</v>
      </c>
      <c r="B11" t="s">
        <v>41</v>
      </c>
      <c r="C11" t="s">
        <v>4034</v>
      </c>
      <c r="D11" t="s">
        <v>4211</v>
      </c>
      <c r="E11" t="s">
        <v>4212</v>
      </c>
      <c r="F11" t="s">
        <v>4213</v>
      </c>
      <c r="G11" t="s">
        <v>4214</v>
      </c>
      <c r="I11" t="s">
        <v>2154</v>
      </c>
      <c r="J11" t="s">
        <v>3461</v>
      </c>
    </row>
    <row r="12" spans="1:10" x14ac:dyDescent="0.25">
      <c r="A12" t="s">
        <v>4215</v>
      </c>
      <c r="B12" t="s">
        <v>3505</v>
      </c>
      <c r="C12" t="s">
        <v>4034</v>
      </c>
      <c r="D12" t="s">
        <v>4216</v>
      </c>
      <c r="E12" t="s">
        <v>4217</v>
      </c>
      <c r="F12" t="s">
        <v>3461</v>
      </c>
      <c r="G12" t="s">
        <v>4218</v>
      </c>
      <c r="I12" t="s">
        <v>2154</v>
      </c>
      <c r="J12" t="s">
        <v>3461</v>
      </c>
    </row>
    <row r="13" spans="1:10" x14ac:dyDescent="0.25">
      <c r="A13" t="s">
        <v>4219</v>
      </c>
      <c r="B13" t="s">
        <v>3505</v>
      </c>
      <c r="C13" t="s">
        <v>4034</v>
      </c>
      <c r="D13" t="s">
        <v>4220</v>
      </c>
      <c r="E13" t="s">
        <v>4221</v>
      </c>
      <c r="F13" t="s">
        <v>4222</v>
      </c>
      <c r="G13" t="s">
        <v>4223</v>
      </c>
      <c r="I13" t="s">
        <v>2154</v>
      </c>
      <c r="J13" t="s">
        <v>3461</v>
      </c>
    </row>
    <row r="14" spans="1:10" x14ac:dyDescent="0.25">
      <c r="A14" t="s">
        <v>4224</v>
      </c>
      <c r="B14" t="s">
        <v>3517</v>
      </c>
      <c r="C14" t="s">
        <v>4034</v>
      </c>
      <c r="D14" t="s">
        <v>4225</v>
      </c>
      <c r="E14" t="s">
        <v>4226</v>
      </c>
      <c r="F14" t="s">
        <v>4227</v>
      </c>
      <c r="G14" t="s">
        <v>4228</v>
      </c>
      <c r="I14" t="s">
        <v>2154</v>
      </c>
      <c r="J14" t="s">
        <v>3461</v>
      </c>
    </row>
    <row r="15" spans="1:10" x14ac:dyDescent="0.25">
      <c r="A15" t="s">
        <v>4229</v>
      </c>
      <c r="B15" t="s">
        <v>41</v>
      </c>
      <c r="C15" t="s">
        <v>4017</v>
      </c>
      <c r="D15" t="s">
        <v>4199</v>
      </c>
      <c r="E15" t="s">
        <v>4200</v>
      </c>
      <c r="F15" t="s">
        <v>4230</v>
      </c>
      <c r="G15" t="s">
        <v>4231</v>
      </c>
      <c r="I15" t="s">
        <v>256</v>
      </c>
      <c r="J15" t="s">
        <v>3461</v>
      </c>
    </row>
    <row r="16" spans="1:10" x14ac:dyDescent="0.25">
      <c r="A16" t="s">
        <v>4232</v>
      </c>
      <c r="B16" t="s">
        <v>3517</v>
      </c>
      <c r="C16" t="s">
        <v>4045</v>
      </c>
      <c r="D16" t="s">
        <v>4233</v>
      </c>
      <c r="E16" t="s">
        <v>4218</v>
      </c>
      <c r="F16" t="s">
        <v>4233</v>
      </c>
      <c r="G16" t="s">
        <v>4218</v>
      </c>
      <c r="I16" t="s">
        <v>256</v>
      </c>
      <c r="J16" t="s">
        <v>3461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4012</v>
      </c>
      <c r="E1" t="s">
        <v>167</v>
      </c>
      <c r="F1" t="s">
        <v>7630</v>
      </c>
      <c r="G1" t="s">
        <v>3456</v>
      </c>
      <c r="H1" t="s">
        <v>3499</v>
      </c>
      <c r="I1" t="s">
        <v>170</v>
      </c>
      <c r="J1" t="s">
        <v>171</v>
      </c>
    </row>
    <row r="2" spans="1:10" x14ac:dyDescent="0.25">
      <c r="A2" t="s">
        <v>7664</v>
      </c>
      <c r="B2" t="s">
        <v>3517</v>
      </c>
      <c r="C2" t="s">
        <v>2154</v>
      </c>
      <c r="D2" t="s">
        <v>4034</v>
      </c>
      <c r="E2" t="s">
        <v>7636</v>
      </c>
      <c r="F2">
        <v>2</v>
      </c>
      <c r="G2" t="s">
        <v>7672</v>
      </c>
      <c r="H2" t="s">
        <v>7679</v>
      </c>
      <c r="J2" t="s">
        <v>3461</v>
      </c>
    </row>
    <row r="3" spans="1:10" x14ac:dyDescent="0.25">
      <c r="A3" t="s">
        <v>7639</v>
      </c>
      <c r="B3" t="s">
        <v>3505</v>
      </c>
      <c r="C3" t="s">
        <v>1795</v>
      </c>
      <c r="D3" t="s">
        <v>4017</v>
      </c>
      <c r="E3" t="s">
        <v>7635</v>
      </c>
      <c r="F3">
        <v>4</v>
      </c>
      <c r="G3" t="s">
        <v>7638</v>
      </c>
      <c r="H3" t="s">
        <v>4030</v>
      </c>
      <c r="J3" t="s">
        <v>3461</v>
      </c>
    </row>
    <row r="4" spans="1:10" x14ac:dyDescent="0.25">
      <c r="A4" t="s">
        <v>7666</v>
      </c>
      <c r="B4" t="s">
        <v>3728</v>
      </c>
      <c r="C4" t="s">
        <v>1795</v>
      </c>
      <c r="D4" t="s">
        <v>4034</v>
      </c>
      <c r="E4" t="s">
        <v>7636</v>
      </c>
      <c r="F4">
        <v>1</v>
      </c>
      <c r="G4" t="s">
        <v>7674</v>
      </c>
      <c r="H4" t="s">
        <v>7680</v>
      </c>
      <c r="J4" t="s">
        <v>3461</v>
      </c>
    </row>
    <row r="5" spans="1:10" x14ac:dyDescent="0.25">
      <c r="A5" t="s">
        <v>7637</v>
      </c>
      <c r="B5" t="s">
        <v>3505</v>
      </c>
      <c r="C5" t="s">
        <v>2154</v>
      </c>
      <c r="D5" t="s">
        <v>4034</v>
      </c>
      <c r="E5" t="s">
        <v>7636</v>
      </c>
      <c r="F5">
        <v>3</v>
      </c>
      <c r="G5" t="s">
        <v>7668</v>
      </c>
      <c r="H5" t="s">
        <v>7649</v>
      </c>
      <c r="I5" t="s">
        <v>8224</v>
      </c>
      <c r="J5" t="s">
        <v>3461</v>
      </c>
    </row>
    <row r="6" spans="1:10" x14ac:dyDescent="0.25">
      <c r="A6" t="s">
        <v>7662</v>
      </c>
      <c r="B6" t="s">
        <v>41</v>
      </c>
      <c r="C6" t="s">
        <v>2154</v>
      </c>
      <c r="D6" t="s">
        <v>4017</v>
      </c>
      <c r="E6" t="s">
        <v>7636</v>
      </c>
      <c r="F6">
        <v>3</v>
      </c>
      <c r="G6" t="s">
        <v>7670</v>
      </c>
      <c r="H6" t="s">
        <v>7681</v>
      </c>
      <c r="J6" t="s">
        <v>3461</v>
      </c>
    </row>
    <row r="7" spans="1:10" x14ac:dyDescent="0.25">
      <c r="A7" t="s">
        <v>7661</v>
      </c>
      <c r="B7" t="s">
        <v>41</v>
      </c>
      <c r="C7" t="s">
        <v>2154</v>
      </c>
      <c r="D7" t="s">
        <v>4017</v>
      </c>
      <c r="E7" t="s">
        <v>7636</v>
      </c>
      <c r="F7">
        <v>3</v>
      </c>
      <c r="G7" t="s">
        <v>7669</v>
      </c>
      <c r="H7" t="s">
        <v>7682</v>
      </c>
      <c r="J7" t="s">
        <v>3461</v>
      </c>
    </row>
    <row r="8" spans="1:10" x14ac:dyDescent="0.25">
      <c r="A8" t="s">
        <v>7663</v>
      </c>
      <c r="B8" t="s">
        <v>41</v>
      </c>
      <c r="C8" t="s">
        <v>2154</v>
      </c>
      <c r="D8" t="s">
        <v>4034</v>
      </c>
      <c r="E8" t="s">
        <v>7636</v>
      </c>
      <c r="F8">
        <v>2</v>
      </c>
      <c r="G8" t="s">
        <v>7671</v>
      </c>
      <c r="H8" t="s">
        <v>7683</v>
      </c>
      <c r="J8" t="s">
        <v>3461</v>
      </c>
    </row>
    <row r="9" spans="1:10" x14ac:dyDescent="0.25">
      <c r="A9" t="s">
        <v>7634</v>
      </c>
      <c r="B9" t="s">
        <v>41</v>
      </c>
      <c r="C9" t="s">
        <v>2154</v>
      </c>
      <c r="D9" t="s">
        <v>4045</v>
      </c>
      <c r="E9" t="s">
        <v>3453</v>
      </c>
      <c r="F9">
        <v>4</v>
      </c>
      <c r="G9" t="s">
        <v>4233</v>
      </c>
      <c r="H9" t="s">
        <v>101</v>
      </c>
      <c r="J9" t="s">
        <v>3461</v>
      </c>
    </row>
    <row r="10" spans="1:10" x14ac:dyDescent="0.25">
      <c r="A10" t="s">
        <v>7676</v>
      </c>
      <c r="B10" t="s">
        <v>3517</v>
      </c>
      <c r="C10" t="s">
        <v>490</v>
      </c>
      <c r="D10" t="s">
        <v>4045</v>
      </c>
      <c r="E10" t="s">
        <v>7636</v>
      </c>
      <c r="F10">
        <v>2</v>
      </c>
      <c r="G10" t="s">
        <v>7677</v>
      </c>
      <c r="H10" t="s">
        <v>7684</v>
      </c>
      <c r="J10" t="s">
        <v>3461</v>
      </c>
    </row>
    <row r="11" spans="1:10" x14ac:dyDescent="0.25">
      <c r="A11" t="s">
        <v>7665</v>
      </c>
      <c r="B11" t="s">
        <v>3505</v>
      </c>
      <c r="C11" t="s">
        <v>2154</v>
      </c>
      <c r="D11" t="s">
        <v>4034</v>
      </c>
      <c r="E11" t="s">
        <v>7636</v>
      </c>
      <c r="F11">
        <v>3</v>
      </c>
      <c r="G11" t="s">
        <v>7673</v>
      </c>
      <c r="H11" t="s">
        <v>7685</v>
      </c>
      <c r="J11" t="s">
        <v>3461</v>
      </c>
    </row>
    <row r="12" spans="1:10" x14ac:dyDescent="0.25">
      <c r="A12" t="s">
        <v>7667</v>
      </c>
      <c r="B12" t="s">
        <v>3505</v>
      </c>
      <c r="C12" t="s">
        <v>2154</v>
      </c>
      <c r="D12" t="s">
        <v>4034</v>
      </c>
      <c r="E12" t="s">
        <v>7636</v>
      </c>
      <c r="F12">
        <v>3</v>
      </c>
      <c r="G12" t="s">
        <v>7675</v>
      </c>
      <c r="H12" t="s">
        <v>7686</v>
      </c>
      <c r="J12" t="s">
        <v>3461</v>
      </c>
    </row>
    <row r="13" spans="1:10" x14ac:dyDescent="0.25">
      <c r="A13" t="s">
        <v>3727</v>
      </c>
      <c r="B13" t="s">
        <v>3728</v>
      </c>
      <c r="C13" t="s">
        <v>1795</v>
      </c>
      <c r="D13" t="s">
        <v>4034</v>
      </c>
      <c r="E13" t="s">
        <v>7635</v>
      </c>
      <c r="F13">
        <v>1</v>
      </c>
      <c r="G13" t="s">
        <v>3729</v>
      </c>
      <c r="H13" t="s">
        <v>7648</v>
      </c>
      <c r="J13" t="s">
        <v>3461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3738</v>
      </c>
      <c r="D1" t="s">
        <v>167</v>
      </c>
      <c r="E1" t="s">
        <v>3456</v>
      </c>
      <c r="F1" t="s">
        <v>3499</v>
      </c>
      <c r="G1" t="s">
        <v>3743</v>
      </c>
      <c r="H1" t="s">
        <v>1</v>
      </c>
      <c r="I1" t="s">
        <v>7</v>
      </c>
    </row>
    <row r="2" spans="1:9" x14ac:dyDescent="0.25">
      <c r="A2" t="s">
        <v>8159</v>
      </c>
      <c r="B2" t="s">
        <v>41</v>
      </c>
      <c r="C2" t="s">
        <v>3746</v>
      </c>
      <c r="D2" t="s">
        <v>3526</v>
      </c>
      <c r="E2" t="s">
        <v>8226</v>
      </c>
      <c r="F2" t="s">
        <v>8198</v>
      </c>
      <c r="G2" t="s">
        <v>8162</v>
      </c>
      <c r="H2" t="s">
        <v>160</v>
      </c>
      <c r="I2" t="s">
        <v>8160</v>
      </c>
    </row>
    <row r="3" spans="1:9" x14ac:dyDescent="0.25">
      <c r="A3" t="s">
        <v>8215</v>
      </c>
      <c r="B3" t="s">
        <v>3517</v>
      </c>
      <c r="C3" t="s">
        <v>3901</v>
      </c>
      <c r="D3" t="s">
        <v>8225</v>
      </c>
      <c r="E3" t="s">
        <v>8240</v>
      </c>
      <c r="F3" t="s">
        <v>8282</v>
      </c>
      <c r="G3" t="s">
        <v>4624</v>
      </c>
      <c r="H3" t="s">
        <v>344</v>
      </c>
      <c r="I3" t="s">
        <v>8215</v>
      </c>
    </row>
    <row r="4" spans="1:9" x14ac:dyDescent="0.25">
      <c r="A4" t="s">
        <v>8157</v>
      </c>
      <c r="B4" t="s">
        <v>3517</v>
      </c>
      <c r="C4" t="s">
        <v>3746</v>
      </c>
      <c r="D4" t="s">
        <v>3526</v>
      </c>
      <c r="E4" t="s">
        <v>8227</v>
      </c>
      <c r="F4" t="s">
        <v>8199</v>
      </c>
      <c r="G4" t="s">
        <v>4656</v>
      </c>
      <c r="H4" t="s">
        <v>160</v>
      </c>
      <c r="I4" t="s">
        <v>8158</v>
      </c>
    </row>
    <row r="5" spans="1:9" x14ac:dyDescent="0.25">
      <c r="A5" t="s">
        <v>8220</v>
      </c>
      <c r="B5" t="s">
        <v>3517</v>
      </c>
      <c r="C5" t="s">
        <v>3790</v>
      </c>
      <c r="D5" t="s">
        <v>8225</v>
      </c>
      <c r="E5" t="s">
        <v>8241</v>
      </c>
      <c r="F5" t="s">
        <v>8283</v>
      </c>
      <c r="G5" t="s">
        <v>4624</v>
      </c>
      <c r="H5" t="s">
        <v>344</v>
      </c>
      <c r="I5" t="s">
        <v>8220</v>
      </c>
    </row>
    <row r="6" spans="1:9" x14ac:dyDescent="0.25">
      <c r="A6" t="s">
        <v>8164</v>
      </c>
      <c r="B6" t="s">
        <v>3517</v>
      </c>
      <c r="C6" t="s">
        <v>3746</v>
      </c>
      <c r="D6" t="s">
        <v>3526</v>
      </c>
      <c r="E6" t="s">
        <v>8284</v>
      </c>
      <c r="F6" t="s">
        <v>8200</v>
      </c>
      <c r="G6" t="s">
        <v>4656</v>
      </c>
      <c r="H6" t="s">
        <v>2619</v>
      </c>
      <c r="I6" t="s">
        <v>8165</v>
      </c>
    </row>
    <row r="7" spans="1:9" x14ac:dyDescent="0.25">
      <c r="A7" t="s">
        <v>8218</v>
      </c>
      <c r="B7" t="s">
        <v>3505</v>
      </c>
      <c r="C7" t="s">
        <v>3790</v>
      </c>
      <c r="D7" t="s">
        <v>8225</v>
      </c>
      <c r="E7" t="s">
        <v>8242</v>
      </c>
      <c r="F7" t="s">
        <v>8285</v>
      </c>
      <c r="G7" t="s">
        <v>8219</v>
      </c>
      <c r="H7" t="s">
        <v>344</v>
      </c>
      <c r="I7" t="s">
        <v>8218</v>
      </c>
    </row>
    <row r="8" spans="1:9" x14ac:dyDescent="0.25">
      <c r="A8" t="s">
        <v>8161</v>
      </c>
      <c r="B8" t="s">
        <v>3505</v>
      </c>
      <c r="C8" t="s">
        <v>3746</v>
      </c>
      <c r="D8" t="s">
        <v>3526</v>
      </c>
      <c r="E8" t="s">
        <v>8228</v>
      </c>
      <c r="F8" t="s">
        <v>8201</v>
      </c>
      <c r="G8" t="s">
        <v>4656</v>
      </c>
      <c r="H8" t="s">
        <v>160</v>
      </c>
      <c r="I8" t="s">
        <v>8163</v>
      </c>
    </row>
    <row r="9" spans="1:9" x14ac:dyDescent="0.25">
      <c r="A9" t="s">
        <v>8216</v>
      </c>
      <c r="B9" t="s">
        <v>3505</v>
      </c>
      <c r="C9" t="s">
        <v>3746</v>
      </c>
      <c r="D9" t="s">
        <v>8225</v>
      </c>
      <c r="E9" t="s">
        <v>8243</v>
      </c>
      <c r="F9" t="s">
        <v>8286</v>
      </c>
      <c r="G9" t="s">
        <v>8217</v>
      </c>
      <c r="H9" t="s">
        <v>344</v>
      </c>
      <c r="I9" t="s">
        <v>8216</v>
      </c>
    </row>
    <row r="10" spans="1:9" x14ac:dyDescent="0.25">
      <c r="A10" t="s">
        <v>4592</v>
      </c>
      <c r="B10" t="s">
        <v>3505</v>
      </c>
      <c r="C10" t="s">
        <v>3746</v>
      </c>
      <c r="D10" t="s">
        <v>3526</v>
      </c>
      <c r="E10" t="s">
        <v>8302</v>
      </c>
      <c r="F10" t="s">
        <v>8329</v>
      </c>
      <c r="G10" t="s">
        <v>4808</v>
      </c>
      <c r="H10" t="s">
        <v>2804</v>
      </c>
      <c r="I10" t="s">
        <v>4592</v>
      </c>
    </row>
    <row r="11" spans="1:9" x14ac:dyDescent="0.25">
      <c r="A11" t="s">
        <v>8174</v>
      </c>
      <c r="B11" t="s">
        <v>3517</v>
      </c>
      <c r="C11" t="s">
        <v>3746</v>
      </c>
      <c r="D11" t="s">
        <v>3526</v>
      </c>
      <c r="E11" t="s">
        <v>8229</v>
      </c>
      <c r="F11" t="s">
        <v>8202</v>
      </c>
      <c r="H11" t="s">
        <v>2619</v>
      </c>
      <c r="I11" t="s">
        <v>8175</v>
      </c>
    </row>
    <row r="12" spans="1:9" x14ac:dyDescent="0.25">
      <c r="A12" t="s">
        <v>4621</v>
      </c>
      <c r="B12" t="s">
        <v>41</v>
      </c>
      <c r="C12" t="s">
        <v>3901</v>
      </c>
      <c r="D12" t="s">
        <v>8225</v>
      </c>
      <c r="E12" t="s">
        <v>8244</v>
      </c>
      <c r="F12" t="s">
        <v>8287</v>
      </c>
      <c r="G12" t="s">
        <v>8263</v>
      </c>
      <c r="H12" t="s">
        <v>344</v>
      </c>
      <c r="I12" t="s">
        <v>4621</v>
      </c>
    </row>
    <row r="13" spans="1:9" x14ac:dyDescent="0.25">
      <c r="A13" t="s">
        <v>8178</v>
      </c>
      <c r="B13" t="s">
        <v>41</v>
      </c>
      <c r="C13" t="s">
        <v>3746</v>
      </c>
      <c r="D13" t="s">
        <v>3526</v>
      </c>
      <c r="E13" t="s">
        <v>4437</v>
      </c>
      <c r="F13" t="s">
        <v>8203</v>
      </c>
      <c r="H13" t="s">
        <v>160</v>
      </c>
      <c r="I13" t="s">
        <v>8179</v>
      </c>
    </row>
    <row r="14" spans="1:9" x14ac:dyDescent="0.25">
      <c r="A14" t="s">
        <v>8170</v>
      </c>
      <c r="B14" t="s">
        <v>41</v>
      </c>
      <c r="C14" t="s">
        <v>3746</v>
      </c>
      <c r="D14" t="s">
        <v>3526</v>
      </c>
      <c r="E14" t="s">
        <v>8288</v>
      </c>
      <c r="F14" t="s">
        <v>8204</v>
      </c>
      <c r="H14" t="s">
        <v>2619</v>
      </c>
      <c r="I14" t="s">
        <v>8170</v>
      </c>
    </row>
    <row r="15" spans="1:9" x14ac:dyDescent="0.25">
      <c r="A15" t="s">
        <v>8176</v>
      </c>
      <c r="B15" t="s">
        <v>41</v>
      </c>
      <c r="C15" t="s">
        <v>3746</v>
      </c>
      <c r="D15" t="s">
        <v>3526</v>
      </c>
      <c r="E15" t="s">
        <v>8230</v>
      </c>
      <c r="F15" t="s">
        <v>8205</v>
      </c>
      <c r="H15" t="s">
        <v>160</v>
      </c>
      <c r="I15" t="s">
        <v>8177</v>
      </c>
    </row>
    <row r="16" spans="1:9" x14ac:dyDescent="0.25">
      <c r="A16" t="s">
        <v>4709</v>
      </c>
      <c r="B16" t="s">
        <v>3517</v>
      </c>
      <c r="C16" t="s">
        <v>3746</v>
      </c>
      <c r="D16" t="s">
        <v>3526</v>
      </c>
      <c r="E16" t="s">
        <v>3573</v>
      </c>
      <c r="F16" t="s">
        <v>3574</v>
      </c>
      <c r="H16" t="s">
        <v>160</v>
      </c>
      <c r="I16" t="s">
        <v>4711</v>
      </c>
    </row>
    <row r="17" spans="1:9" x14ac:dyDescent="0.25">
      <c r="A17" t="s">
        <v>8166</v>
      </c>
      <c r="B17" t="s">
        <v>3517</v>
      </c>
      <c r="C17" t="s">
        <v>3746</v>
      </c>
      <c r="D17" t="s">
        <v>3526</v>
      </c>
      <c r="E17" t="s">
        <v>8231</v>
      </c>
      <c r="F17" t="s">
        <v>3670</v>
      </c>
      <c r="G17" t="s">
        <v>4656</v>
      </c>
      <c r="H17" t="s">
        <v>2619</v>
      </c>
      <c r="I17" t="s">
        <v>8167</v>
      </c>
    </row>
    <row r="18" spans="1:9" x14ac:dyDescent="0.25">
      <c r="A18" t="s">
        <v>4915</v>
      </c>
      <c r="B18" t="s">
        <v>41</v>
      </c>
      <c r="C18" t="s">
        <v>3746</v>
      </c>
      <c r="D18" t="s">
        <v>3526</v>
      </c>
      <c r="E18" t="s">
        <v>8262</v>
      </c>
      <c r="F18" t="s">
        <v>8289</v>
      </c>
      <c r="G18" t="s">
        <v>8264</v>
      </c>
      <c r="H18" t="s">
        <v>344</v>
      </c>
      <c r="I18" t="s">
        <v>4915</v>
      </c>
    </row>
    <row r="19" spans="1:9" x14ac:dyDescent="0.25">
      <c r="A19" t="s">
        <v>8168</v>
      </c>
      <c r="B19" t="s">
        <v>3505</v>
      </c>
      <c r="C19" t="s">
        <v>3746</v>
      </c>
      <c r="D19" t="s">
        <v>3526</v>
      </c>
      <c r="E19" t="s">
        <v>8232</v>
      </c>
      <c r="F19" t="s">
        <v>3513</v>
      </c>
      <c r="G19" t="s">
        <v>3691</v>
      </c>
      <c r="H19" t="s">
        <v>2619</v>
      </c>
      <c r="I19" t="s">
        <v>8169</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3738</v>
      </c>
      <c r="D1" t="s">
        <v>8249</v>
      </c>
      <c r="E1" t="s">
        <v>8250</v>
      </c>
      <c r="F1" t="s">
        <v>3499</v>
      </c>
      <c r="G1" t="s">
        <v>167</v>
      </c>
      <c r="H1" t="s">
        <v>3526</v>
      </c>
      <c r="I1" t="s">
        <v>8292</v>
      </c>
      <c r="J1" t="s">
        <v>3741</v>
      </c>
      <c r="K1" t="s">
        <v>8222</v>
      </c>
      <c r="L1" t="s">
        <v>3743</v>
      </c>
      <c r="M1" t="s">
        <v>1</v>
      </c>
      <c r="N1" t="s">
        <v>7</v>
      </c>
    </row>
    <row r="2" spans="1:14" x14ac:dyDescent="0.25">
      <c r="A2" t="s">
        <v>8321</v>
      </c>
      <c r="B2" t="s">
        <v>3505</v>
      </c>
      <c r="C2" t="s">
        <v>3795</v>
      </c>
      <c r="D2" t="s">
        <v>8251</v>
      </c>
      <c r="E2" t="s">
        <v>8208</v>
      </c>
      <c r="F2" t="s">
        <v>8270</v>
      </c>
      <c r="G2" t="s">
        <v>5445</v>
      </c>
      <c r="H2" t="s">
        <v>8322</v>
      </c>
      <c r="I2" t="s">
        <v>8330</v>
      </c>
      <c r="J2" t="s">
        <v>8319</v>
      </c>
      <c r="K2">
        <v>3</v>
      </c>
      <c r="L2" t="s">
        <v>3534</v>
      </c>
      <c r="M2" t="s">
        <v>2804</v>
      </c>
      <c r="N2" t="s">
        <v>8323</v>
      </c>
    </row>
    <row r="3" spans="1:14" x14ac:dyDescent="0.25">
      <c r="A3" t="s">
        <v>8268</v>
      </c>
      <c r="B3" t="s">
        <v>3505</v>
      </c>
      <c r="C3" t="s">
        <v>8269</v>
      </c>
      <c r="D3" t="s">
        <v>8251</v>
      </c>
      <c r="E3" t="s">
        <v>8273</v>
      </c>
      <c r="F3" t="s">
        <v>8310</v>
      </c>
      <c r="G3" t="s">
        <v>5445</v>
      </c>
      <c r="H3" t="s">
        <v>8271</v>
      </c>
      <c r="I3" t="s">
        <v>8293</v>
      </c>
      <c r="J3" t="s">
        <v>8248</v>
      </c>
      <c r="K3">
        <v>3</v>
      </c>
      <c r="M3" t="s">
        <v>344</v>
      </c>
      <c r="N3" t="s">
        <v>8272</v>
      </c>
    </row>
    <row r="4" spans="1:14" x14ac:dyDescent="0.25">
      <c r="A4" t="s">
        <v>8247</v>
      </c>
      <c r="B4" t="s">
        <v>3517</v>
      </c>
      <c r="C4" t="s">
        <v>3901</v>
      </c>
      <c r="D4" t="s">
        <v>8251</v>
      </c>
      <c r="E4" t="s">
        <v>3901</v>
      </c>
      <c r="F4" t="s">
        <v>8252</v>
      </c>
      <c r="G4" t="s">
        <v>5445</v>
      </c>
      <c r="H4" t="s">
        <v>8255</v>
      </c>
      <c r="I4" t="s">
        <v>8294</v>
      </c>
      <c r="J4" t="s">
        <v>8248</v>
      </c>
      <c r="K4">
        <v>3</v>
      </c>
      <c r="M4" t="s">
        <v>344</v>
      </c>
      <c r="N4" t="s">
        <v>8253</v>
      </c>
    </row>
    <row r="5" spans="1:14" x14ac:dyDescent="0.25">
      <c r="A5" t="s">
        <v>6835</v>
      </c>
      <c r="B5" t="s">
        <v>3505</v>
      </c>
      <c r="C5" t="s">
        <v>3790</v>
      </c>
      <c r="D5" t="s">
        <v>8276</v>
      </c>
      <c r="E5" t="s">
        <v>8277</v>
      </c>
      <c r="F5" t="s">
        <v>8270</v>
      </c>
      <c r="G5" t="s">
        <v>5452</v>
      </c>
      <c r="H5" t="s">
        <v>8295</v>
      </c>
      <c r="I5" t="s">
        <v>8296</v>
      </c>
      <c r="J5" t="s">
        <v>8278</v>
      </c>
      <c r="K5">
        <v>3</v>
      </c>
      <c r="M5" t="s">
        <v>1046</v>
      </c>
      <c r="N5" t="s">
        <v>8281</v>
      </c>
    </row>
    <row r="6" spans="1:14" x14ac:dyDescent="0.25">
      <c r="A6" t="s">
        <v>8303</v>
      </c>
      <c r="B6" t="s">
        <v>3517</v>
      </c>
      <c r="C6" t="s">
        <v>3746</v>
      </c>
      <c r="D6" t="s">
        <v>8304</v>
      </c>
      <c r="E6" t="s">
        <v>3746</v>
      </c>
      <c r="F6" t="s">
        <v>8252</v>
      </c>
      <c r="G6" t="s">
        <v>5452</v>
      </c>
      <c r="H6" t="s">
        <v>8317</v>
      </c>
      <c r="I6" t="s">
        <v>8331</v>
      </c>
      <c r="J6" t="s">
        <v>8305</v>
      </c>
      <c r="K6">
        <v>3</v>
      </c>
      <c r="L6" t="s">
        <v>8307</v>
      </c>
      <c r="M6" t="s">
        <v>2804</v>
      </c>
      <c r="N6" t="s">
        <v>8306</v>
      </c>
    </row>
    <row r="7" spans="1:14" x14ac:dyDescent="0.25">
      <c r="A7" t="s">
        <v>4696</v>
      </c>
      <c r="B7" t="s">
        <v>41</v>
      </c>
      <c r="C7" t="s">
        <v>3790</v>
      </c>
      <c r="D7" t="s">
        <v>8276</v>
      </c>
      <c r="E7" t="s">
        <v>8277</v>
      </c>
      <c r="F7" t="s">
        <v>8252</v>
      </c>
      <c r="G7" t="s">
        <v>5452</v>
      </c>
      <c r="H7" t="s">
        <v>3461</v>
      </c>
      <c r="J7" t="s">
        <v>8278</v>
      </c>
      <c r="K7">
        <v>3</v>
      </c>
      <c r="M7" t="s">
        <v>1046</v>
      </c>
      <c r="N7" t="s">
        <v>4699</v>
      </c>
    </row>
    <row r="8" spans="1:14" x14ac:dyDescent="0.25">
      <c r="A8" t="s">
        <v>8254</v>
      </c>
      <c r="B8" t="s">
        <v>3505</v>
      </c>
      <c r="C8" t="s">
        <v>3901</v>
      </c>
      <c r="D8" t="s">
        <v>8251</v>
      </c>
      <c r="E8" t="s">
        <v>3901</v>
      </c>
      <c r="F8" t="s">
        <v>8252</v>
      </c>
      <c r="G8" t="s">
        <v>5445</v>
      </c>
      <c r="H8" t="s">
        <v>8256</v>
      </c>
      <c r="I8" t="s">
        <v>8297</v>
      </c>
      <c r="J8" t="s">
        <v>8258</v>
      </c>
      <c r="K8">
        <v>3</v>
      </c>
      <c r="M8" t="s">
        <v>344</v>
      </c>
      <c r="N8" t="s">
        <v>8257</v>
      </c>
    </row>
    <row r="9" spans="1:14" x14ac:dyDescent="0.25">
      <c r="A9" t="s">
        <v>8308</v>
      </c>
      <c r="B9" t="s">
        <v>3505</v>
      </c>
      <c r="C9" t="s">
        <v>3746</v>
      </c>
      <c r="D9" t="s">
        <v>8304</v>
      </c>
      <c r="E9" t="s">
        <v>8277</v>
      </c>
      <c r="F9" t="s">
        <v>8252</v>
      </c>
      <c r="G9" t="s">
        <v>5452</v>
      </c>
      <c r="H9" t="s">
        <v>8317</v>
      </c>
      <c r="I9" t="s">
        <v>8331</v>
      </c>
      <c r="J9" t="s">
        <v>8305</v>
      </c>
      <c r="K9">
        <v>3</v>
      </c>
      <c r="L9" t="s">
        <v>8307</v>
      </c>
      <c r="M9" t="s">
        <v>2804</v>
      </c>
      <c r="N9" t="s">
        <v>8309</v>
      </c>
    </row>
    <row r="10" spans="1:14" x14ac:dyDescent="0.25">
      <c r="A10" t="s">
        <v>8318</v>
      </c>
      <c r="B10" t="s">
        <v>41</v>
      </c>
      <c r="C10" t="s">
        <v>3795</v>
      </c>
      <c r="D10" t="s">
        <v>8251</v>
      </c>
      <c r="E10" t="s">
        <v>8269</v>
      </c>
      <c r="F10" t="s">
        <v>8252</v>
      </c>
      <c r="G10" t="s">
        <v>5445</v>
      </c>
      <c r="H10" t="s">
        <v>3461</v>
      </c>
      <c r="J10" t="s">
        <v>8319</v>
      </c>
      <c r="K10">
        <v>3</v>
      </c>
      <c r="M10" t="s">
        <v>2804</v>
      </c>
      <c r="N10" t="s">
        <v>8318</v>
      </c>
    </row>
    <row r="11" spans="1:14" x14ac:dyDescent="0.25">
      <c r="A11" t="s">
        <v>8259</v>
      </c>
      <c r="B11" t="s">
        <v>41</v>
      </c>
      <c r="C11" t="s">
        <v>3901</v>
      </c>
      <c r="D11" t="s">
        <v>8251</v>
      </c>
      <c r="E11" t="s">
        <v>3901</v>
      </c>
      <c r="F11" t="s">
        <v>8252</v>
      </c>
      <c r="G11" t="s">
        <v>5445</v>
      </c>
      <c r="H11" t="s">
        <v>3461</v>
      </c>
      <c r="J11" t="s">
        <v>8261</v>
      </c>
      <c r="K11">
        <v>3</v>
      </c>
      <c r="L11" t="s">
        <v>3691</v>
      </c>
      <c r="M11" t="s">
        <v>344</v>
      </c>
      <c r="N11" t="s">
        <v>8260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6832</v>
      </c>
      <c r="C1" t="s">
        <v>6833</v>
      </c>
      <c r="D1" t="s">
        <v>8266</v>
      </c>
    </row>
    <row r="2" spans="1:4" x14ac:dyDescent="0.25">
      <c r="A2" t="s">
        <v>8268</v>
      </c>
      <c r="B2" t="s">
        <v>8247</v>
      </c>
      <c r="C2" t="s">
        <v>8274</v>
      </c>
      <c r="D2" t="s">
        <v>8275</v>
      </c>
    </row>
    <row r="3" spans="1:4" x14ac:dyDescent="0.25">
      <c r="A3" t="s">
        <v>8247</v>
      </c>
      <c r="B3" t="s">
        <v>8259</v>
      </c>
      <c r="C3" t="s">
        <v>8265</v>
      </c>
      <c r="D3" t="s">
        <v>8275</v>
      </c>
    </row>
    <row r="4" spans="1:4" x14ac:dyDescent="0.25">
      <c r="A4" t="s">
        <v>6835</v>
      </c>
      <c r="B4" t="s">
        <v>4696</v>
      </c>
      <c r="C4" t="s">
        <v>8280</v>
      </c>
      <c r="D4" t="s">
        <v>8279</v>
      </c>
    </row>
    <row r="5" spans="1:4" x14ac:dyDescent="0.25">
      <c r="A5" t="s">
        <v>8254</v>
      </c>
      <c r="B5" t="s">
        <v>8247</v>
      </c>
      <c r="C5" t="s">
        <v>8267</v>
      </c>
      <c r="D5" t="s">
        <v>8275</v>
      </c>
    </row>
    <row r="6" spans="1:4" x14ac:dyDescent="0.25">
      <c r="A6" t="s">
        <v>8308</v>
      </c>
      <c r="B6" t="s">
        <v>8303</v>
      </c>
      <c r="C6" t="s">
        <v>4592</v>
      </c>
      <c r="D6" t="s">
        <v>8279</v>
      </c>
    </row>
    <row r="7" spans="1:4" x14ac:dyDescent="0.25">
      <c r="A7" t="s">
        <v>8321</v>
      </c>
      <c r="B7" t="s">
        <v>8318</v>
      </c>
      <c r="C7" t="s">
        <v>8320</v>
      </c>
      <c r="D7" t="s">
        <v>8279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3738</v>
      </c>
      <c r="D1" t="s">
        <v>3456</v>
      </c>
      <c r="E1" t="s">
        <v>3499</v>
      </c>
      <c r="F1" t="s">
        <v>1</v>
      </c>
      <c r="G1" t="s">
        <v>7</v>
      </c>
    </row>
    <row r="2" spans="1:7" x14ac:dyDescent="0.25">
      <c r="A2" t="s">
        <v>7869</v>
      </c>
      <c r="B2" t="s">
        <v>41</v>
      </c>
      <c r="C2" t="s">
        <v>3790</v>
      </c>
      <c r="D2" t="s">
        <v>8245</v>
      </c>
      <c r="E2" t="s">
        <v>8298</v>
      </c>
      <c r="F2" t="s">
        <v>344</v>
      </c>
      <c r="G2" t="s">
        <v>7872</v>
      </c>
    </row>
    <row r="3" spans="1:7" x14ac:dyDescent="0.25">
      <c r="A3" t="s">
        <v>8221</v>
      </c>
      <c r="B3" t="s">
        <v>3505</v>
      </c>
      <c r="C3" t="s">
        <v>7906</v>
      </c>
      <c r="D3" t="s">
        <v>8246</v>
      </c>
      <c r="E3" t="s">
        <v>8299</v>
      </c>
      <c r="F3" t="s">
        <v>344</v>
      </c>
      <c r="G3" t="s">
        <v>8221</v>
      </c>
    </row>
    <row r="4" spans="1:7" x14ac:dyDescent="0.25">
      <c r="A4" t="s">
        <v>8212</v>
      </c>
      <c r="B4" t="s">
        <v>41</v>
      </c>
      <c r="C4" t="s">
        <v>3795</v>
      </c>
      <c r="D4" t="s">
        <v>3461</v>
      </c>
      <c r="E4" t="s">
        <v>3461</v>
      </c>
      <c r="F4" t="s">
        <v>344</v>
      </c>
      <c r="G4" t="s">
        <v>8213</v>
      </c>
    </row>
    <row r="5" spans="1:7" x14ac:dyDescent="0.25">
      <c r="A5" t="s">
        <v>8206</v>
      </c>
      <c r="B5" t="s">
        <v>3505</v>
      </c>
      <c r="C5" t="s">
        <v>8208</v>
      </c>
      <c r="D5" t="s">
        <v>8209</v>
      </c>
      <c r="E5" t="s">
        <v>8214</v>
      </c>
      <c r="F5" t="s">
        <v>344</v>
      </c>
      <c r="G5" t="s">
        <v>8210</v>
      </c>
    </row>
    <row r="6" spans="1:7" x14ac:dyDescent="0.25">
      <c r="A6" t="s">
        <v>8207</v>
      </c>
      <c r="B6" t="s">
        <v>3517</v>
      </c>
      <c r="C6" t="s">
        <v>3746</v>
      </c>
      <c r="D6" t="s">
        <v>7470</v>
      </c>
      <c r="E6" t="s">
        <v>3513</v>
      </c>
      <c r="F6" t="s">
        <v>344</v>
      </c>
      <c r="G6" t="s">
        <v>8211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3743</v>
      </c>
      <c r="D1" t="s">
        <v>7</v>
      </c>
      <c r="E1" t="s">
        <v>6</v>
      </c>
      <c r="F1" t="s">
        <v>4234</v>
      </c>
      <c r="G1" t="s">
        <v>4235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4236</v>
      </c>
      <c r="B2" t="s">
        <v>160</v>
      </c>
      <c r="C2" t="s">
        <v>4237</v>
      </c>
      <c r="D2" t="s">
        <v>4238</v>
      </c>
      <c r="E2" t="s">
        <v>41</v>
      </c>
      <c r="L2" t="s">
        <v>4239</v>
      </c>
      <c r="N2" t="s">
        <v>4240</v>
      </c>
      <c r="O2" t="s">
        <v>49</v>
      </c>
      <c r="Q2" t="s">
        <v>4241</v>
      </c>
      <c r="R2" t="s">
        <v>3541</v>
      </c>
      <c r="U2" t="s">
        <v>4242</v>
      </c>
    </row>
    <row r="3" spans="1:37" x14ac:dyDescent="0.25">
      <c r="A3" t="s">
        <v>4243</v>
      </c>
      <c r="B3" t="s">
        <v>2619</v>
      </c>
      <c r="C3" t="s">
        <v>4237</v>
      </c>
      <c r="D3" t="s">
        <v>4244</v>
      </c>
      <c r="E3" t="s">
        <v>41</v>
      </c>
      <c r="G3" t="s">
        <v>187</v>
      </c>
      <c r="N3" t="s">
        <v>4245</v>
      </c>
      <c r="O3" t="s">
        <v>49</v>
      </c>
      <c r="Q3" t="s">
        <v>4246</v>
      </c>
      <c r="R3" t="s">
        <v>3541</v>
      </c>
      <c r="U3" t="s">
        <v>4247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4248</v>
      </c>
      <c r="B1" t="s">
        <v>1</v>
      </c>
      <c r="C1" t="s">
        <v>4249</v>
      </c>
      <c r="D1" t="s">
        <v>4250</v>
      </c>
      <c r="E1" t="s">
        <v>4251</v>
      </c>
      <c r="F1" t="s">
        <v>7</v>
      </c>
    </row>
    <row r="2" spans="1:6" x14ac:dyDescent="0.25">
      <c r="A2" t="s">
        <v>4252</v>
      </c>
      <c r="B2" t="s">
        <v>90</v>
      </c>
      <c r="C2" t="s">
        <v>4253</v>
      </c>
      <c r="D2" t="s">
        <v>4254</v>
      </c>
      <c r="E2" t="s">
        <v>3461</v>
      </c>
      <c r="F2" t="s">
        <v>4255</v>
      </c>
    </row>
    <row r="3" spans="1:6" x14ac:dyDescent="0.25">
      <c r="A3" t="s">
        <v>4256</v>
      </c>
      <c r="B3" t="s">
        <v>38</v>
      </c>
      <c r="C3" t="s">
        <v>4257</v>
      </c>
      <c r="D3" t="s">
        <v>4254</v>
      </c>
      <c r="E3">
        <v>3</v>
      </c>
      <c r="F3" t="s">
        <v>4256</v>
      </c>
    </row>
    <row r="4" spans="1:6" x14ac:dyDescent="0.25">
      <c r="A4" t="s">
        <v>4258</v>
      </c>
      <c r="B4" t="s">
        <v>38</v>
      </c>
      <c r="C4" t="s">
        <v>4259</v>
      </c>
      <c r="D4" t="s">
        <v>4254</v>
      </c>
      <c r="E4">
        <v>3</v>
      </c>
      <c r="F4" t="s">
        <v>4260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3456</v>
      </c>
      <c r="C1" t="s">
        <v>3499</v>
      </c>
      <c r="D1" t="s">
        <v>4261</v>
      </c>
      <c r="E1" t="s">
        <v>4262</v>
      </c>
      <c r="F1" t="s">
        <v>4263</v>
      </c>
    </row>
    <row r="2" spans="1:6" x14ac:dyDescent="0.25">
      <c r="A2" t="s">
        <v>4264</v>
      </c>
      <c r="B2" t="s">
        <v>4265</v>
      </c>
      <c r="C2" t="s">
        <v>4266</v>
      </c>
      <c r="E2" t="s">
        <v>4267</v>
      </c>
      <c r="F2" t="s">
        <v>4264</v>
      </c>
    </row>
    <row r="3" spans="1:6" x14ac:dyDescent="0.25">
      <c r="A3" t="s">
        <v>7615</v>
      </c>
      <c r="B3" t="s">
        <v>7618</v>
      </c>
      <c r="C3" t="s">
        <v>7650</v>
      </c>
      <c r="E3" t="s">
        <v>7619</v>
      </c>
      <c r="F3" t="s">
        <v>7615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3456</v>
      </c>
      <c r="D1" t="s">
        <v>3499</v>
      </c>
      <c r="E1" t="s">
        <v>4261</v>
      </c>
      <c r="F1" t="s">
        <v>3444</v>
      </c>
      <c r="G1" t="s">
        <v>4263</v>
      </c>
    </row>
    <row r="2" spans="1:7" x14ac:dyDescent="0.25">
      <c r="A2" t="s">
        <v>4268</v>
      </c>
      <c r="B2" t="s">
        <v>4269</v>
      </c>
      <c r="C2" t="s">
        <v>4270</v>
      </c>
      <c r="D2" t="s">
        <v>4271</v>
      </c>
      <c r="E2" t="s">
        <v>4272</v>
      </c>
      <c r="F2">
        <v>1</v>
      </c>
      <c r="G2" t="s">
        <v>4268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3741</v>
      </c>
      <c r="B1" t="s">
        <v>167</v>
      </c>
      <c r="C1" t="s">
        <v>3737</v>
      </c>
      <c r="D1" t="s">
        <v>8038</v>
      </c>
      <c r="E1" t="s">
        <v>8039</v>
      </c>
      <c r="F1" t="s">
        <v>8040</v>
      </c>
      <c r="G1" t="s">
        <v>8041</v>
      </c>
      <c r="H1" t="s">
        <v>8065</v>
      </c>
      <c r="I1" t="s">
        <v>8042</v>
      </c>
      <c r="J1" t="s">
        <v>170</v>
      </c>
    </row>
    <row r="2" spans="1:10" x14ac:dyDescent="0.25">
      <c r="A2" t="s">
        <v>3899</v>
      </c>
      <c r="B2" t="s">
        <v>3841</v>
      </c>
      <c r="C2" t="s">
        <v>3745</v>
      </c>
      <c r="D2" t="s">
        <v>8045</v>
      </c>
      <c r="E2" t="s">
        <v>3898</v>
      </c>
      <c r="G2" t="s">
        <v>8044</v>
      </c>
      <c r="H2" t="s">
        <v>8066</v>
      </c>
    </row>
    <row r="3" spans="1:10" x14ac:dyDescent="0.25">
      <c r="A3" t="s">
        <v>8059</v>
      </c>
      <c r="D3" t="s">
        <v>6462</v>
      </c>
      <c r="E3" t="s">
        <v>5283</v>
      </c>
      <c r="F3" t="s">
        <v>8055</v>
      </c>
      <c r="G3" t="s">
        <v>8056</v>
      </c>
      <c r="H3" t="s">
        <v>8067</v>
      </c>
    </row>
    <row r="4" spans="1:10" x14ac:dyDescent="0.25">
      <c r="A4" t="s">
        <v>3489</v>
      </c>
      <c r="D4" t="s">
        <v>8053</v>
      </c>
      <c r="E4" t="s">
        <v>3488</v>
      </c>
      <c r="G4" t="s">
        <v>8044</v>
      </c>
      <c r="H4" t="s">
        <v>8067</v>
      </c>
    </row>
    <row r="5" spans="1:10" x14ac:dyDescent="0.25">
      <c r="A5" t="s">
        <v>7891</v>
      </c>
      <c r="B5" t="s">
        <v>3754</v>
      </c>
      <c r="C5" t="s">
        <v>3779</v>
      </c>
      <c r="D5" t="s">
        <v>8045</v>
      </c>
      <c r="E5" t="s">
        <v>7890</v>
      </c>
      <c r="G5" t="s">
        <v>8044</v>
      </c>
      <c r="H5" t="s">
        <v>8066</v>
      </c>
    </row>
    <row r="6" spans="1:10" x14ac:dyDescent="0.25">
      <c r="A6" t="s">
        <v>8063</v>
      </c>
      <c r="D6" t="s">
        <v>6462</v>
      </c>
      <c r="E6" t="s">
        <v>5154</v>
      </c>
      <c r="F6" t="s">
        <v>8055</v>
      </c>
      <c r="G6" t="s">
        <v>8056</v>
      </c>
      <c r="H6" t="s">
        <v>8067</v>
      </c>
    </row>
    <row r="7" spans="1:10" x14ac:dyDescent="0.25">
      <c r="A7" t="s">
        <v>8064</v>
      </c>
      <c r="D7" t="s">
        <v>6462</v>
      </c>
      <c r="E7" t="s">
        <v>4005</v>
      </c>
      <c r="F7" t="s">
        <v>8055</v>
      </c>
      <c r="G7" t="s">
        <v>8056</v>
      </c>
      <c r="H7" t="s">
        <v>8067</v>
      </c>
    </row>
    <row r="8" spans="1:10" x14ac:dyDescent="0.25">
      <c r="A8" t="s">
        <v>3935</v>
      </c>
      <c r="B8" t="s">
        <v>3835</v>
      </c>
      <c r="C8" t="s">
        <v>3793</v>
      </c>
      <c r="D8" t="s">
        <v>8045</v>
      </c>
      <c r="E8" t="s">
        <v>3934</v>
      </c>
      <c r="G8" t="s">
        <v>8044</v>
      </c>
      <c r="H8" t="s">
        <v>8067</v>
      </c>
    </row>
    <row r="9" spans="1:10" x14ac:dyDescent="0.25">
      <c r="A9" t="s">
        <v>8093</v>
      </c>
      <c r="D9" t="s">
        <v>6462</v>
      </c>
      <c r="E9" t="s">
        <v>3994</v>
      </c>
      <c r="F9" t="s">
        <v>8055</v>
      </c>
      <c r="G9" t="s">
        <v>8056</v>
      </c>
      <c r="H9" t="s">
        <v>8067</v>
      </c>
    </row>
    <row r="10" spans="1:10" x14ac:dyDescent="0.25">
      <c r="A10" t="s">
        <v>3957</v>
      </c>
      <c r="B10" t="s">
        <v>3758</v>
      </c>
      <c r="C10" t="s">
        <v>3779</v>
      </c>
      <c r="D10" t="s">
        <v>8045</v>
      </c>
      <c r="E10" t="s">
        <v>3956</v>
      </c>
      <c r="G10" t="s">
        <v>8044</v>
      </c>
      <c r="H10" t="s">
        <v>8066</v>
      </c>
    </row>
    <row r="11" spans="1:10" x14ac:dyDescent="0.25">
      <c r="A11" t="s">
        <v>3881</v>
      </c>
      <c r="B11" t="s">
        <v>3754</v>
      </c>
      <c r="C11" t="s">
        <v>3779</v>
      </c>
      <c r="D11" t="s">
        <v>8043</v>
      </c>
      <c r="E11" t="s">
        <v>3880</v>
      </c>
      <c r="G11" t="s">
        <v>8044</v>
      </c>
      <c r="H11" t="s">
        <v>8066</v>
      </c>
    </row>
    <row r="12" spans="1:10" x14ac:dyDescent="0.25">
      <c r="A12" t="s">
        <v>3883</v>
      </c>
      <c r="B12" t="s">
        <v>3754</v>
      </c>
      <c r="C12" t="s">
        <v>3793</v>
      </c>
      <c r="D12" t="s">
        <v>8043</v>
      </c>
      <c r="E12" t="s">
        <v>3882</v>
      </c>
      <c r="G12" t="s">
        <v>8044</v>
      </c>
      <c r="H12" t="s">
        <v>8066</v>
      </c>
    </row>
    <row r="13" spans="1:10" x14ac:dyDescent="0.25">
      <c r="A13" t="s">
        <v>3861</v>
      </c>
      <c r="B13" t="s">
        <v>3754</v>
      </c>
      <c r="C13" t="s">
        <v>3779</v>
      </c>
      <c r="D13" t="s">
        <v>8043</v>
      </c>
      <c r="E13" t="s">
        <v>3860</v>
      </c>
      <c r="G13" t="s">
        <v>8044</v>
      </c>
      <c r="H13" t="s">
        <v>8066</v>
      </c>
    </row>
    <row r="14" spans="1:10" x14ac:dyDescent="0.25">
      <c r="A14" t="s">
        <v>3907</v>
      </c>
      <c r="B14" t="s">
        <v>3754</v>
      </c>
      <c r="C14" t="s">
        <v>3779</v>
      </c>
      <c r="D14" t="s">
        <v>8045</v>
      </c>
      <c r="E14" t="s">
        <v>3906</v>
      </c>
      <c r="G14" t="s">
        <v>8044</v>
      </c>
      <c r="H14" t="s">
        <v>8066</v>
      </c>
    </row>
    <row r="15" spans="1:10" x14ac:dyDescent="0.25">
      <c r="A15" t="s">
        <v>7437</v>
      </c>
      <c r="B15" t="s">
        <v>3754</v>
      </c>
      <c r="C15" t="s">
        <v>3793</v>
      </c>
      <c r="D15" t="s">
        <v>8043</v>
      </c>
      <c r="E15" t="s">
        <v>3792</v>
      </c>
      <c r="G15" t="s">
        <v>8044</v>
      </c>
      <c r="H15" t="s">
        <v>8066</v>
      </c>
    </row>
    <row r="16" spans="1:10" x14ac:dyDescent="0.25">
      <c r="A16" t="s">
        <v>3856</v>
      </c>
      <c r="B16" t="s">
        <v>3754</v>
      </c>
      <c r="C16" t="s">
        <v>3779</v>
      </c>
      <c r="D16" t="s">
        <v>8043</v>
      </c>
      <c r="E16" t="s">
        <v>3855</v>
      </c>
      <c r="G16" t="s">
        <v>8044</v>
      </c>
      <c r="H16" t="s">
        <v>8066</v>
      </c>
    </row>
    <row r="17" spans="1:9" x14ac:dyDescent="0.25">
      <c r="A17" t="s">
        <v>3904</v>
      </c>
      <c r="B17" t="s">
        <v>3754</v>
      </c>
      <c r="C17" t="s">
        <v>3779</v>
      </c>
      <c r="D17" t="s">
        <v>8045</v>
      </c>
      <c r="E17" t="s">
        <v>3903</v>
      </c>
      <c r="G17" t="s">
        <v>8044</v>
      </c>
      <c r="H17" t="s">
        <v>8066</v>
      </c>
    </row>
    <row r="18" spans="1:9" x14ac:dyDescent="0.25">
      <c r="A18" t="s">
        <v>3864</v>
      </c>
      <c r="B18" t="s">
        <v>3754</v>
      </c>
      <c r="C18" t="s">
        <v>3779</v>
      </c>
      <c r="D18" t="s">
        <v>8043</v>
      </c>
      <c r="E18" t="s">
        <v>3863</v>
      </c>
      <c r="G18" t="s">
        <v>8044</v>
      </c>
      <c r="H18" t="s">
        <v>8066</v>
      </c>
    </row>
    <row r="19" spans="1:9" x14ac:dyDescent="0.25">
      <c r="A19" t="s">
        <v>8073</v>
      </c>
      <c r="D19" t="s">
        <v>8053</v>
      </c>
      <c r="E19" t="s">
        <v>3475</v>
      </c>
      <c r="G19" t="s">
        <v>8044</v>
      </c>
      <c r="H19" t="s">
        <v>8067</v>
      </c>
    </row>
    <row r="20" spans="1:9" x14ac:dyDescent="0.25">
      <c r="A20" t="s">
        <v>3927</v>
      </c>
      <c r="B20" t="s">
        <v>3747</v>
      </c>
      <c r="C20" t="s">
        <v>3779</v>
      </c>
      <c r="D20" t="s">
        <v>8045</v>
      </c>
      <c r="E20" t="s">
        <v>8046</v>
      </c>
      <c r="G20" t="s">
        <v>8044</v>
      </c>
      <c r="H20" t="s">
        <v>8066</v>
      </c>
    </row>
    <row r="21" spans="1:9" x14ac:dyDescent="0.25">
      <c r="A21" t="s">
        <v>8074</v>
      </c>
      <c r="D21" t="s">
        <v>8053</v>
      </c>
      <c r="E21" t="s">
        <v>3478</v>
      </c>
      <c r="G21" t="s">
        <v>8044</v>
      </c>
      <c r="H21" t="s">
        <v>8067</v>
      </c>
    </row>
    <row r="22" spans="1:9" x14ac:dyDescent="0.25">
      <c r="A22" t="s">
        <v>3837</v>
      </c>
      <c r="B22" t="s">
        <v>3754</v>
      </c>
      <c r="C22" t="s">
        <v>3779</v>
      </c>
      <c r="D22" t="s">
        <v>8043</v>
      </c>
      <c r="E22" t="s">
        <v>3836</v>
      </c>
      <c r="G22" t="s">
        <v>8044</v>
      </c>
      <c r="H22" t="s">
        <v>8066</v>
      </c>
    </row>
    <row r="23" spans="1:9" x14ac:dyDescent="0.25">
      <c r="A23" t="s">
        <v>3897</v>
      </c>
      <c r="B23" t="s">
        <v>3758</v>
      </c>
      <c r="C23" t="s">
        <v>3745</v>
      </c>
      <c r="D23" t="s">
        <v>8045</v>
      </c>
      <c r="E23" t="s">
        <v>3896</v>
      </c>
      <c r="G23" t="s">
        <v>8044</v>
      </c>
      <c r="H23" t="s">
        <v>8066</v>
      </c>
    </row>
    <row r="24" spans="1:9" x14ac:dyDescent="0.25">
      <c r="A24" t="s">
        <v>8069</v>
      </c>
      <c r="B24" t="s">
        <v>3747</v>
      </c>
      <c r="C24" t="s">
        <v>3745</v>
      </c>
      <c r="D24" t="s">
        <v>8043</v>
      </c>
      <c r="E24" t="s">
        <v>3744</v>
      </c>
      <c r="G24" t="s">
        <v>8044</v>
      </c>
      <c r="H24" t="s">
        <v>8066</v>
      </c>
      <c r="I24">
        <v>3</v>
      </c>
    </row>
    <row r="25" spans="1:9" x14ac:dyDescent="0.25">
      <c r="A25" t="s">
        <v>8070</v>
      </c>
      <c r="B25" t="s">
        <v>3747</v>
      </c>
      <c r="C25" t="s">
        <v>3745</v>
      </c>
      <c r="D25" t="s">
        <v>8043</v>
      </c>
      <c r="E25" t="s">
        <v>3845</v>
      </c>
      <c r="G25" t="s">
        <v>8044</v>
      </c>
      <c r="H25" t="s">
        <v>8066</v>
      </c>
      <c r="I25">
        <v>3</v>
      </c>
    </row>
    <row r="26" spans="1:9" x14ac:dyDescent="0.25">
      <c r="A26" t="s">
        <v>8068</v>
      </c>
      <c r="B26" t="s">
        <v>3747</v>
      </c>
      <c r="C26" t="s">
        <v>3779</v>
      </c>
      <c r="D26" t="s">
        <v>8043</v>
      </c>
      <c r="E26" t="s">
        <v>3778</v>
      </c>
      <c r="G26" t="s">
        <v>8044</v>
      </c>
      <c r="H26" t="s">
        <v>8066</v>
      </c>
      <c r="I26">
        <v>5</v>
      </c>
    </row>
    <row r="27" spans="1:9" x14ac:dyDescent="0.25">
      <c r="A27" t="s">
        <v>8071</v>
      </c>
      <c r="B27" t="s">
        <v>3747</v>
      </c>
      <c r="C27" t="s">
        <v>3745</v>
      </c>
      <c r="D27" t="s">
        <v>8043</v>
      </c>
      <c r="E27" t="s">
        <v>3772</v>
      </c>
      <c r="G27" t="s">
        <v>8044</v>
      </c>
      <c r="H27" t="s">
        <v>8066</v>
      </c>
      <c r="I27">
        <v>3</v>
      </c>
    </row>
    <row r="28" spans="1:9" x14ac:dyDescent="0.25">
      <c r="A28" t="s">
        <v>3941</v>
      </c>
      <c r="B28" t="s">
        <v>3747</v>
      </c>
      <c r="C28" t="s">
        <v>3745</v>
      </c>
      <c r="D28" t="s">
        <v>8045</v>
      </c>
      <c r="E28" t="s">
        <v>3940</v>
      </c>
      <c r="G28" t="s">
        <v>8044</v>
      </c>
      <c r="H28" t="s">
        <v>8066</v>
      </c>
    </row>
    <row r="29" spans="1:9" x14ac:dyDescent="0.25">
      <c r="A29" t="s">
        <v>3781</v>
      </c>
      <c r="B29" t="s">
        <v>3747</v>
      </c>
      <c r="C29" t="s">
        <v>3779</v>
      </c>
      <c r="D29" t="s">
        <v>8043</v>
      </c>
      <c r="E29" t="s">
        <v>3780</v>
      </c>
      <c r="G29" t="s">
        <v>8044</v>
      </c>
      <c r="H29" t="s">
        <v>8066</v>
      </c>
    </row>
    <row r="30" spans="1:9" x14ac:dyDescent="0.25">
      <c r="A30" t="s">
        <v>3952</v>
      </c>
      <c r="B30" t="s">
        <v>3747</v>
      </c>
      <c r="C30" t="s">
        <v>3745</v>
      </c>
      <c r="D30" t="s">
        <v>8045</v>
      </c>
      <c r="E30" t="s">
        <v>3951</v>
      </c>
      <c r="G30" t="s">
        <v>8044</v>
      </c>
      <c r="H30" t="s">
        <v>8066</v>
      </c>
    </row>
    <row r="31" spans="1:9" x14ac:dyDescent="0.25">
      <c r="A31" t="s">
        <v>7988</v>
      </c>
      <c r="B31" t="s">
        <v>3747</v>
      </c>
      <c r="C31" t="s">
        <v>3745</v>
      </c>
      <c r="D31" t="s">
        <v>8043</v>
      </c>
      <c r="E31" t="s">
        <v>5085</v>
      </c>
      <c r="G31" t="s">
        <v>8044</v>
      </c>
      <c r="H31" t="s">
        <v>8066</v>
      </c>
    </row>
    <row r="32" spans="1:9" x14ac:dyDescent="0.25">
      <c r="A32" t="s">
        <v>3796</v>
      </c>
      <c r="B32" t="s">
        <v>3747</v>
      </c>
      <c r="C32" t="s">
        <v>3793</v>
      </c>
      <c r="D32" t="s">
        <v>8043</v>
      </c>
      <c r="E32" t="s">
        <v>3794</v>
      </c>
      <c r="G32" t="s">
        <v>8044</v>
      </c>
      <c r="H32" t="s">
        <v>8066</v>
      </c>
    </row>
    <row r="33" spans="1:9" x14ac:dyDescent="0.25">
      <c r="A33" t="s">
        <v>3914</v>
      </c>
      <c r="B33" t="s">
        <v>3747</v>
      </c>
      <c r="C33" t="s">
        <v>3913</v>
      </c>
      <c r="D33" t="s">
        <v>8045</v>
      </c>
      <c r="E33" t="s">
        <v>3912</v>
      </c>
      <c r="G33" t="s">
        <v>8044</v>
      </c>
      <c r="H33" t="s">
        <v>8066</v>
      </c>
    </row>
    <row r="34" spans="1:9" x14ac:dyDescent="0.25">
      <c r="A34" t="s">
        <v>7693</v>
      </c>
      <c r="B34" t="s">
        <v>3747</v>
      </c>
      <c r="C34" t="s">
        <v>3779</v>
      </c>
      <c r="D34" t="s">
        <v>8043</v>
      </c>
      <c r="E34" t="s">
        <v>7692</v>
      </c>
      <c r="G34" t="s">
        <v>8044</v>
      </c>
      <c r="H34" t="s">
        <v>8066</v>
      </c>
    </row>
    <row r="35" spans="1:9" x14ac:dyDescent="0.25">
      <c r="A35" t="s">
        <v>3858</v>
      </c>
      <c r="B35" t="s">
        <v>3747</v>
      </c>
      <c r="C35" t="s">
        <v>3779</v>
      </c>
      <c r="D35" t="s">
        <v>8043</v>
      </c>
      <c r="E35" t="s">
        <v>3857</v>
      </c>
      <c r="G35" t="s">
        <v>8044</v>
      </c>
      <c r="H35" t="s">
        <v>8066</v>
      </c>
    </row>
    <row r="36" spans="1:9" x14ac:dyDescent="0.25">
      <c r="A36" t="s">
        <v>8051</v>
      </c>
      <c r="B36" t="s">
        <v>3747</v>
      </c>
      <c r="C36" t="s">
        <v>3779</v>
      </c>
      <c r="D36" t="s">
        <v>8045</v>
      </c>
      <c r="E36" t="s">
        <v>7432</v>
      </c>
      <c r="F36" t="s">
        <v>8052</v>
      </c>
      <c r="G36" t="s">
        <v>8044</v>
      </c>
      <c r="H36" t="s">
        <v>8066</v>
      </c>
    </row>
    <row r="37" spans="1:9" x14ac:dyDescent="0.25">
      <c r="A37" t="s">
        <v>7980</v>
      </c>
      <c r="B37" t="s">
        <v>3747</v>
      </c>
      <c r="C37" t="s">
        <v>3793</v>
      </c>
      <c r="D37" t="s">
        <v>8043</v>
      </c>
      <c r="E37" t="s">
        <v>7977</v>
      </c>
      <c r="G37" t="s">
        <v>8044</v>
      </c>
      <c r="H37" t="s">
        <v>8066</v>
      </c>
    </row>
    <row r="38" spans="1:9" x14ac:dyDescent="0.25">
      <c r="A38" t="s">
        <v>3770</v>
      </c>
      <c r="B38" t="s">
        <v>3747</v>
      </c>
      <c r="C38" t="s">
        <v>3745</v>
      </c>
      <c r="D38" t="s">
        <v>8043</v>
      </c>
      <c r="E38" t="s">
        <v>3769</v>
      </c>
      <c r="G38" t="s">
        <v>8044</v>
      </c>
      <c r="H38" t="s">
        <v>8066</v>
      </c>
    </row>
    <row r="39" spans="1:9" x14ac:dyDescent="0.25">
      <c r="A39" t="s">
        <v>8060</v>
      </c>
      <c r="B39" t="s">
        <v>3747</v>
      </c>
      <c r="C39" t="s">
        <v>3779</v>
      </c>
      <c r="D39" t="s">
        <v>8043</v>
      </c>
      <c r="E39" t="s">
        <v>3789</v>
      </c>
      <c r="G39" t="s">
        <v>8044</v>
      </c>
      <c r="H39" t="s">
        <v>8066</v>
      </c>
      <c r="I39">
        <v>2</v>
      </c>
    </row>
    <row r="40" spans="1:9" x14ac:dyDescent="0.25">
      <c r="A40" t="s">
        <v>8061</v>
      </c>
      <c r="B40" t="s">
        <v>3747</v>
      </c>
      <c r="C40" t="s">
        <v>3793</v>
      </c>
      <c r="D40" t="s">
        <v>8043</v>
      </c>
      <c r="E40" t="s">
        <v>3802</v>
      </c>
      <c r="G40" t="s">
        <v>8044</v>
      </c>
      <c r="H40" t="s">
        <v>8066</v>
      </c>
      <c r="I40">
        <v>3</v>
      </c>
    </row>
    <row r="41" spans="1:9" x14ac:dyDescent="0.25">
      <c r="A41" t="s">
        <v>3764</v>
      </c>
      <c r="B41" t="s">
        <v>3747</v>
      </c>
      <c r="C41" t="s">
        <v>3745</v>
      </c>
      <c r="D41" t="s">
        <v>8043</v>
      </c>
      <c r="E41" t="s">
        <v>3763</v>
      </c>
      <c r="G41" t="s">
        <v>8044</v>
      </c>
      <c r="H41" t="s">
        <v>8066</v>
      </c>
    </row>
    <row r="42" spans="1:9" x14ac:dyDescent="0.25">
      <c r="A42" t="s">
        <v>3775</v>
      </c>
      <c r="B42" t="s">
        <v>3747</v>
      </c>
      <c r="C42" t="s">
        <v>3745</v>
      </c>
      <c r="D42" t="s">
        <v>8043</v>
      </c>
      <c r="E42" t="s">
        <v>3774</v>
      </c>
      <c r="G42" t="s">
        <v>8044</v>
      </c>
      <c r="H42" t="s">
        <v>8066</v>
      </c>
    </row>
    <row r="43" spans="1:9" x14ac:dyDescent="0.25">
      <c r="A43" t="s">
        <v>3887</v>
      </c>
      <c r="B43" t="s">
        <v>3747</v>
      </c>
      <c r="C43" t="s">
        <v>3745</v>
      </c>
      <c r="D43" t="s">
        <v>8045</v>
      </c>
      <c r="E43" t="s">
        <v>3886</v>
      </c>
      <c r="G43" t="s">
        <v>8044</v>
      </c>
      <c r="H43" t="s">
        <v>8066</v>
      </c>
    </row>
    <row r="44" spans="1:9" x14ac:dyDescent="0.25">
      <c r="A44" t="s">
        <v>7975</v>
      </c>
      <c r="B44" t="s">
        <v>3747</v>
      </c>
      <c r="C44" t="s">
        <v>3913</v>
      </c>
      <c r="D44" t="s">
        <v>8043</v>
      </c>
      <c r="E44" t="s">
        <v>7974</v>
      </c>
      <c r="G44" t="s">
        <v>8044</v>
      </c>
      <c r="H44" t="s">
        <v>8066</v>
      </c>
    </row>
    <row r="45" spans="1:9" x14ac:dyDescent="0.25">
      <c r="A45" t="s">
        <v>3751</v>
      </c>
      <c r="B45" t="s">
        <v>3747</v>
      </c>
      <c r="C45" t="s">
        <v>3745</v>
      </c>
      <c r="D45" t="s">
        <v>8043</v>
      </c>
      <c r="E45" t="s">
        <v>3750</v>
      </c>
      <c r="G45" t="s">
        <v>8044</v>
      </c>
      <c r="H45" t="s">
        <v>8066</v>
      </c>
    </row>
    <row r="46" spans="1:9" x14ac:dyDescent="0.25">
      <c r="A46" t="s">
        <v>7690</v>
      </c>
      <c r="B46" t="s">
        <v>3747</v>
      </c>
      <c r="C46" t="s">
        <v>3745</v>
      </c>
      <c r="D46" t="s">
        <v>8043</v>
      </c>
      <c r="E46" t="s">
        <v>7689</v>
      </c>
      <c r="G46" t="s">
        <v>8044</v>
      </c>
      <c r="H46" t="s">
        <v>8066</v>
      </c>
    </row>
    <row r="47" spans="1:9" x14ac:dyDescent="0.25">
      <c r="A47" t="s">
        <v>3832</v>
      </c>
      <c r="B47" t="s">
        <v>3747</v>
      </c>
      <c r="C47" t="s">
        <v>3779</v>
      </c>
      <c r="D47" t="s">
        <v>8043</v>
      </c>
      <c r="E47" t="s">
        <v>3831</v>
      </c>
      <c r="G47" t="s">
        <v>8044</v>
      </c>
      <c r="H47" t="s">
        <v>8066</v>
      </c>
    </row>
    <row r="48" spans="1:9" x14ac:dyDescent="0.25">
      <c r="A48" t="s">
        <v>3828</v>
      </c>
      <c r="B48" t="s">
        <v>3747</v>
      </c>
      <c r="C48" t="s">
        <v>3745</v>
      </c>
      <c r="D48" t="s">
        <v>8043</v>
      </c>
      <c r="E48" t="s">
        <v>3827</v>
      </c>
      <c r="G48" t="s">
        <v>8044</v>
      </c>
      <c r="H48" t="s">
        <v>8066</v>
      </c>
    </row>
    <row r="49" spans="1:8" x14ac:dyDescent="0.25">
      <c r="A49" t="s">
        <v>3787</v>
      </c>
      <c r="B49" t="s">
        <v>3747</v>
      </c>
      <c r="C49" t="s">
        <v>3779</v>
      </c>
      <c r="D49" t="s">
        <v>8043</v>
      </c>
      <c r="E49" t="s">
        <v>3786</v>
      </c>
      <c r="G49" t="s">
        <v>8044</v>
      </c>
      <c r="H49" t="s">
        <v>8066</v>
      </c>
    </row>
    <row r="50" spans="1:8" x14ac:dyDescent="0.25">
      <c r="A50" t="s">
        <v>7443</v>
      </c>
      <c r="B50" t="s">
        <v>3747</v>
      </c>
      <c r="C50" t="s">
        <v>3745</v>
      </c>
      <c r="D50" t="s">
        <v>8043</v>
      </c>
      <c r="E50" t="s">
        <v>7442</v>
      </c>
      <c r="G50" t="s">
        <v>8044</v>
      </c>
      <c r="H50" t="s">
        <v>8066</v>
      </c>
    </row>
    <row r="51" spans="1:8" x14ac:dyDescent="0.25">
      <c r="A51" t="s">
        <v>3894</v>
      </c>
      <c r="B51" t="s">
        <v>3747</v>
      </c>
      <c r="C51" t="s">
        <v>3745</v>
      </c>
      <c r="D51" t="s">
        <v>8045</v>
      </c>
      <c r="E51" t="s">
        <v>3893</v>
      </c>
      <c r="G51" t="s">
        <v>8044</v>
      </c>
      <c r="H51" t="s">
        <v>8066</v>
      </c>
    </row>
    <row r="52" spans="1:8" x14ac:dyDescent="0.25">
      <c r="A52" t="s">
        <v>3911</v>
      </c>
      <c r="B52" t="s">
        <v>3747</v>
      </c>
      <c r="C52" t="s">
        <v>3793</v>
      </c>
      <c r="D52" t="s">
        <v>8045</v>
      </c>
      <c r="E52" t="s">
        <v>3471</v>
      </c>
      <c r="G52" t="s">
        <v>8044</v>
      </c>
      <c r="H52" t="s">
        <v>8066</v>
      </c>
    </row>
    <row r="53" spans="1:8" x14ac:dyDescent="0.25">
      <c r="A53" t="s">
        <v>7704</v>
      </c>
      <c r="B53" t="s">
        <v>3754</v>
      </c>
      <c r="C53" t="s">
        <v>3745</v>
      </c>
      <c r="D53" t="s">
        <v>8043</v>
      </c>
      <c r="E53" t="s">
        <v>7703</v>
      </c>
      <c r="G53" t="s">
        <v>8044</v>
      </c>
      <c r="H53" t="s">
        <v>8066</v>
      </c>
    </row>
    <row r="54" spans="1:8" x14ac:dyDescent="0.25">
      <c r="A54" t="s">
        <v>7360</v>
      </c>
      <c r="B54" t="s">
        <v>3754</v>
      </c>
      <c r="C54" t="s">
        <v>3745</v>
      </c>
      <c r="D54" t="s">
        <v>8043</v>
      </c>
      <c r="E54" t="s">
        <v>7359</v>
      </c>
      <c r="G54" t="s">
        <v>8044</v>
      </c>
      <c r="H54" t="s">
        <v>8066</v>
      </c>
    </row>
    <row r="55" spans="1:8" x14ac:dyDescent="0.25">
      <c r="A55" t="s">
        <v>7904</v>
      </c>
      <c r="B55" t="s">
        <v>3754</v>
      </c>
      <c r="C55" t="s">
        <v>3779</v>
      </c>
      <c r="D55" t="s">
        <v>8045</v>
      </c>
      <c r="E55" t="s">
        <v>7905</v>
      </c>
      <c r="G55" t="s">
        <v>8044</v>
      </c>
      <c r="H55" t="s">
        <v>8066</v>
      </c>
    </row>
    <row r="56" spans="1:8" x14ac:dyDescent="0.25">
      <c r="A56" t="s">
        <v>3761</v>
      </c>
      <c r="B56" t="s">
        <v>3754</v>
      </c>
      <c r="C56" t="s">
        <v>3745</v>
      </c>
      <c r="D56" t="s">
        <v>8043</v>
      </c>
      <c r="E56" t="s">
        <v>3760</v>
      </c>
      <c r="G56" t="s">
        <v>8044</v>
      </c>
      <c r="H56" t="s">
        <v>8066</v>
      </c>
    </row>
    <row r="57" spans="1:8" x14ac:dyDescent="0.25">
      <c r="A57" t="s">
        <v>3844</v>
      </c>
      <c r="B57" t="s">
        <v>3747</v>
      </c>
      <c r="C57" t="s">
        <v>3745</v>
      </c>
      <c r="D57" t="s">
        <v>8043</v>
      </c>
      <c r="E57" t="s">
        <v>3843</v>
      </c>
      <c r="G57" t="s">
        <v>8044</v>
      </c>
      <c r="H57" t="s">
        <v>8066</v>
      </c>
    </row>
    <row r="58" spans="1:8" x14ac:dyDescent="0.25">
      <c r="A58" t="s">
        <v>8081</v>
      </c>
      <c r="B58" t="s">
        <v>3835</v>
      </c>
      <c r="C58" t="s">
        <v>3779</v>
      </c>
      <c r="D58" t="s">
        <v>8045</v>
      </c>
      <c r="E58" t="s">
        <v>3920</v>
      </c>
      <c r="G58" t="s">
        <v>8044</v>
      </c>
      <c r="H58" t="s">
        <v>8067</v>
      </c>
    </row>
    <row r="59" spans="1:8" x14ac:dyDescent="0.25">
      <c r="A59" t="s">
        <v>8082</v>
      </c>
      <c r="B59" t="s">
        <v>3835</v>
      </c>
      <c r="C59" t="s">
        <v>3779</v>
      </c>
      <c r="D59" t="s">
        <v>8045</v>
      </c>
      <c r="E59" t="s">
        <v>3924</v>
      </c>
      <c r="G59" t="s">
        <v>8044</v>
      </c>
      <c r="H59" t="s">
        <v>8067</v>
      </c>
    </row>
    <row r="60" spans="1:8" x14ac:dyDescent="0.25">
      <c r="A60" t="s">
        <v>8083</v>
      </c>
      <c r="B60" t="s">
        <v>3835</v>
      </c>
      <c r="C60" t="s">
        <v>3779</v>
      </c>
      <c r="D60" t="s">
        <v>8045</v>
      </c>
      <c r="E60" t="s">
        <v>3929</v>
      </c>
      <c r="G60" t="s">
        <v>8044</v>
      </c>
      <c r="H60" t="s">
        <v>8067</v>
      </c>
    </row>
    <row r="61" spans="1:8" x14ac:dyDescent="0.25">
      <c r="A61" t="s">
        <v>8084</v>
      </c>
      <c r="B61" t="s">
        <v>3835</v>
      </c>
      <c r="C61" t="s">
        <v>3779</v>
      </c>
      <c r="D61" t="s">
        <v>8045</v>
      </c>
      <c r="E61" t="s">
        <v>3922</v>
      </c>
      <c r="G61" t="s">
        <v>8044</v>
      </c>
      <c r="H61" t="s">
        <v>8067</v>
      </c>
    </row>
    <row r="62" spans="1:8" x14ac:dyDescent="0.25">
      <c r="A62" t="s">
        <v>8085</v>
      </c>
      <c r="B62" t="s">
        <v>3835</v>
      </c>
      <c r="C62" t="s">
        <v>3793</v>
      </c>
      <c r="D62" t="s">
        <v>8043</v>
      </c>
      <c r="E62" t="s">
        <v>3839</v>
      </c>
      <c r="G62" t="s">
        <v>8044</v>
      </c>
      <c r="H62" t="s">
        <v>8067</v>
      </c>
    </row>
    <row r="63" spans="1:8" x14ac:dyDescent="0.25">
      <c r="A63" t="s">
        <v>8086</v>
      </c>
      <c r="B63" t="s">
        <v>3835</v>
      </c>
      <c r="C63" t="s">
        <v>3745</v>
      </c>
      <c r="D63" t="s">
        <v>8043</v>
      </c>
      <c r="E63" t="s">
        <v>7897</v>
      </c>
      <c r="G63" t="s">
        <v>8044</v>
      </c>
      <c r="H63" t="s">
        <v>8067</v>
      </c>
    </row>
    <row r="64" spans="1:8" x14ac:dyDescent="0.25">
      <c r="A64" t="s">
        <v>8087</v>
      </c>
      <c r="B64" t="s">
        <v>3835</v>
      </c>
      <c r="C64" t="s">
        <v>3779</v>
      </c>
      <c r="D64" t="s">
        <v>8043</v>
      </c>
      <c r="E64" t="s">
        <v>3878</v>
      </c>
      <c r="G64" t="s">
        <v>8044</v>
      </c>
      <c r="H64" t="s">
        <v>8067</v>
      </c>
    </row>
    <row r="65" spans="1:8" x14ac:dyDescent="0.25">
      <c r="A65" t="s">
        <v>8088</v>
      </c>
      <c r="B65" t="s">
        <v>3835</v>
      </c>
      <c r="C65" t="s">
        <v>3745</v>
      </c>
      <c r="D65" t="s">
        <v>8045</v>
      </c>
      <c r="E65" t="s">
        <v>3892</v>
      </c>
      <c r="G65" t="s">
        <v>8044</v>
      </c>
      <c r="H65" t="s">
        <v>8067</v>
      </c>
    </row>
    <row r="66" spans="1:8" x14ac:dyDescent="0.25">
      <c r="A66" t="s">
        <v>8047</v>
      </c>
      <c r="B66" t="s">
        <v>3754</v>
      </c>
      <c r="C66" t="s">
        <v>3779</v>
      </c>
      <c r="D66" t="s">
        <v>8045</v>
      </c>
      <c r="E66" t="s">
        <v>7432</v>
      </c>
      <c r="F66" t="s">
        <v>8048</v>
      </c>
      <c r="G66" t="s">
        <v>8044</v>
      </c>
      <c r="H66" t="s">
        <v>8066</v>
      </c>
    </row>
    <row r="67" spans="1:8" x14ac:dyDescent="0.25">
      <c r="A67" t="s">
        <v>7915</v>
      </c>
      <c r="B67" t="s">
        <v>3754</v>
      </c>
      <c r="C67" t="s">
        <v>3779</v>
      </c>
      <c r="D67" t="s">
        <v>8045</v>
      </c>
      <c r="E67" t="s">
        <v>7914</v>
      </c>
      <c r="G67" t="s">
        <v>8044</v>
      </c>
      <c r="H67" t="s">
        <v>8066</v>
      </c>
    </row>
    <row r="68" spans="1:8" x14ac:dyDescent="0.25">
      <c r="A68" t="s">
        <v>7911</v>
      </c>
      <c r="B68" t="s">
        <v>3754</v>
      </c>
      <c r="C68" t="s">
        <v>3913</v>
      </c>
      <c r="D68" t="s">
        <v>8045</v>
      </c>
      <c r="E68" t="s">
        <v>7910</v>
      </c>
      <c r="G68" t="s">
        <v>8044</v>
      </c>
      <c r="H68" t="s">
        <v>8066</v>
      </c>
    </row>
    <row r="69" spans="1:8" x14ac:dyDescent="0.25">
      <c r="A69" t="s">
        <v>7973</v>
      </c>
      <c r="B69" t="s">
        <v>3758</v>
      </c>
      <c r="C69" t="s">
        <v>3779</v>
      </c>
      <c r="D69" t="s">
        <v>8043</v>
      </c>
      <c r="E69" t="s">
        <v>7972</v>
      </c>
      <c r="G69" t="s">
        <v>8044</v>
      </c>
      <c r="H69" t="s">
        <v>8066</v>
      </c>
    </row>
    <row r="70" spans="1:8" x14ac:dyDescent="0.25">
      <c r="A70" t="s">
        <v>3868</v>
      </c>
      <c r="B70" t="s">
        <v>3841</v>
      </c>
      <c r="C70" t="s">
        <v>3779</v>
      </c>
      <c r="D70" t="s">
        <v>8043</v>
      </c>
      <c r="E70" t="s">
        <v>3867</v>
      </c>
      <c r="G70" t="s">
        <v>8044</v>
      </c>
      <c r="H70" t="s">
        <v>8066</v>
      </c>
    </row>
    <row r="71" spans="1:8" x14ac:dyDescent="0.25">
      <c r="A71" t="s">
        <v>3955</v>
      </c>
      <c r="B71" t="s">
        <v>3754</v>
      </c>
      <c r="C71" t="s">
        <v>3779</v>
      </c>
      <c r="D71" t="s">
        <v>8045</v>
      </c>
      <c r="E71" t="s">
        <v>3954</v>
      </c>
      <c r="G71" t="s">
        <v>8044</v>
      </c>
      <c r="H71" t="s">
        <v>8066</v>
      </c>
    </row>
    <row r="72" spans="1:8" x14ac:dyDescent="0.25">
      <c r="A72" t="s">
        <v>3812</v>
      </c>
      <c r="B72" t="s">
        <v>3754</v>
      </c>
      <c r="C72" t="s">
        <v>3745</v>
      </c>
      <c r="D72" t="s">
        <v>8043</v>
      </c>
      <c r="E72" t="s">
        <v>3811</v>
      </c>
      <c r="G72" t="s">
        <v>8044</v>
      </c>
      <c r="H72" t="s">
        <v>8066</v>
      </c>
    </row>
    <row r="73" spans="1:8" x14ac:dyDescent="0.25">
      <c r="A73" t="s">
        <v>7895</v>
      </c>
      <c r="B73" t="s">
        <v>3754</v>
      </c>
      <c r="C73" t="s">
        <v>3793</v>
      </c>
      <c r="D73" t="s">
        <v>8043</v>
      </c>
      <c r="E73" t="s">
        <v>7894</v>
      </c>
      <c r="G73" t="s">
        <v>8044</v>
      </c>
      <c r="H73" t="s">
        <v>8066</v>
      </c>
    </row>
    <row r="74" spans="1:8" x14ac:dyDescent="0.25">
      <c r="A74" t="s">
        <v>3960</v>
      </c>
      <c r="B74" t="s">
        <v>3754</v>
      </c>
      <c r="C74" t="s">
        <v>3779</v>
      </c>
      <c r="D74" t="s">
        <v>8045</v>
      </c>
      <c r="E74" t="s">
        <v>3959</v>
      </c>
      <c r="G74" t="s">
        <v>8044</v>
      </c>
      <c r="H74" t="s">
        <v>8066</v>
      </c>
    </row>
    <row r="75" spans="1:8" x14ac:dyDescent="0.25">
      <c r="A75" t="s">
        <v>8075</v>
      </c>
      <c r="D75" t="s">
        <v>8053</v>
      </c>
      <c r="E75" t="s">
        <v>3491</v>
      </c>
      <c r="G75" t="s">
        <v>8044</v>
      </c>
      <c r="H75" t="s">
        <v>8067</v>
      </c>
    </row>
    <row r="76" spans="1:8" x14ac:dyDescent="0.25">
      <c r="A76" t="s">
        <v>3808</v>
      </c>
      <c r="B76" t="s">
        <v>3754</v>
      </c>
      <c r="C76" t="s">
        <v>3745</v>
      </c>
      <c r="D76" t="s">
        <v>8043</v>
      </c>
      <c r="E76" t="s">
        <v>3807</v>
      </c>
      <c r="G76" t="s">
        <v>8044</v>
      </c>
      <c r="H76" t="s">
        <v>8066</v>
      </c>
    </row>
    <row r="77" spans="1:8" x14ac:dyDescent="0.25">
      <c r="A77" t="s">
        <v>3870</v>
      </c>
      <c r="B77" t="s">
        <v>3841</v>
      </c>
      <c r="C77" t="s">
        <v>3793</v>
      </c>
      <c r="D77" t="s">
        <v>8043</v>
      </c>
      <c r="E77" t="s">
        <v>3869</v>
      </c>
      <c r="G77" t="s">
        <v>8044</v>
      </c>
      <c r="H77" t="s">
        <v>8066</v>
      </c>
    </row>
    <row r="78" spans="1:8" x14ac:dyDescent="0.25">
      <c r="A78" t="s">
        <v>3938</v>
      </c>
      <c r="B78" t="s">
        <v>3754</v>
      </c>
      <c r="C78" t="s">
        <v>3913</v>
      </c>
      <c r="D78" t="s">
        <v>8045</v>
      </c>
      <c r="E78" t="s">
        <v>3937</v>
      </c>
      <c r="G78" t="s">
        <v>8044</v>
      </c>
      <c r="H78" t="s">
        <v>8066</v>
      </c>
    </row>
    <row r="79" spans="1:8" x14ac:dyDescent="0.25">
      <c r="A79" t="s">
        <v>3963</v>
      </c>
      <c r="B79" t="s">
        <v>3841</v>
      </c>
      <c r="C79" t="s">
        <v>3793</v>
      </c>
      <c r="D79" t="s">
        <v>8045</v>
      </c>
      <c r="E79" t="s">
        <v>3961</v>
      </c>
      <c r="G79" t="s">
        <v>8044</v>
      </c>
      <c r="H79" t="s">
        <v>8066</v>
      </c>
    </row>
    <row r="80" spans="1:8" x14ac:dyDescent="0.25">
      <c r="A80" t="s">
        <v>3916</v>
      </c>
      <c r="B80" t="s">
        <v>3754</v>
      </c>
      <c r="C80" t="s">
        <v>3745</v>
      </c>
      <c r="D80" t="s">
        <v>8045</v>
      </c>
      <c r="E80" t="s">
        <v>3917</v>
      </c>
      <c r="G80" t="s">
        <v>8044</v>
      </c>
      <c r="H80" t="s">
        <v>8066</v>
      </c>
    </row>
    <row r="81" spans="1:8" x14ac:dyDescent="0.25">
      <c r="A81" t="s">
        <v>3777</v>
      </c>
      <c r="B81" t="s">
        <v>3754</v>
      </c>
      <c r="C81" t="s">
        <v>3745</v>
      </c>
      <c r="D81" t="s">
        <v>8043</v>
      </c>
      <c r="E81" t="s">
        <v>3776</v>
      </c>
      <c r="G81" t="s">
        <v>8044</v>
      </c>
      <c r="H81" t="s">
        <v>8066</v>
      </c>
    </row>
    <row r="82" spans="1:8" x14ac:dyDescent="0.25">
      <c r="A82" t="s">
        <v>3946</v>
      </c>
      <c r="B82" t="s">
        <v>3754</v>
      </c>
      <c r="C82" t="s">
        <v>3745</v>
      </c>
      <c r="D82" t="s">
        <v>8045</v>
      </c>
      <c r="E82" t="s">
        <v>3945</v>
      </c>
      <c r="G82" t="s">
        <v>8044</v>
      </c>
      <c r="H82" t="s">
        <v>8066</v>
      </c>
    </row>
    <row r="83" spans="1:8" x14ac:dyDescent="0.25">
      <c r="A83" t="s">
        <v>3800</v>
      </c>
      <c r="B83" t="s">
        <v>3754</v>
      </c>
      <c r="C83" t="s">
        <v>3793</v>
      </c>
      <c r="D83" t="s">
        <v>8043</v>
      </c>
      <c r="E83" t="s">
        <v>3799</v>
      </c>
      <c r="G83" t="s">
        <v>8044</v>
      </c>
      <c r="H83" t="s">
        <v>8066</v>
      </c>
    </row>
    <row r="84" spans="1:8" x14ac:dyDescent="0.25">
      <c r="A84" t="s">
        <v>8057</v>
      </c>
      <c r="D84" t="s">
        <v>6462</v>
      </c>
      <c r="E84" t="s">
        <v>3990</v>
      </c>
      <c r="F84" t="s">
        <v>8055</v>
      </c>
      <c r="G84" t="s">
        <v>8056</v>
      </c>
      <c r="H84" t="s">
        <v>8067</v>
      </c>
    </row>
    <row r="85" spans="1:8" x14ac:dyDescent="0.25">
      <c r="A85" t="s">
        <v>8058</v>
      </c>
      <c r="D85" t="s">
        <v>6462</v>
      </c>
      <c r="E85" t="s">
        <v>3985</v>
      </c>
      <c r="F85" t="s">
        <v>8055</v>
      </c>
      <c r="G85" t="s">
        <v>8056</v>
      </c>
      <c r="H85" t="s">
        <v>8067</v>
      </c>
    </row>
    <row r="86" spans="1:8" x14ac:dyDescent="0.25">
      <c r="A86" t="s">
        <v>8094</v>
      </c>
      <c r="D86" t="s">
        <v>6462</v>
      </c>
      <c r="E86" t="s">
        <v>4002</v>
      </c>
      <c r="F86" t="s">
        <v>8055</v>
      </c>
      <c r="G86" t="s">
        <v>8056</v>
      </c>
      <c r="H86" t="s">
        <v>8067</v>
      </c>
    </row>
    <row r="87" spans="1:8" x14ac:dyDescent="0.25">
      <c r="A87" t="s">
        <v>8072</v>
      </c>
      <c r="B87" t="s">
        <v>3747</v>
      </c>
      <c r="C87" t="s">
        <v>3913</v>
      </c>
      <c r="D87" t="s">
        <v>8045</v>
      </c>
      <c r="E87" t="s">
        <v>3968</v>
      </c>
      <c r="G87" t="s">
        <v>8044</v>
      </c>
      <c r="H87" t="s">
        <v>8066</v>
      </c>
    </row>
    <row r="88" spans="1:8" x14ac:dyDescent="0.25">
      <c r="A88" t="s">
        <v>8300</v>
      </c>
      <c r="D88" t="s">
        <v>8053</v>
      </c>
      <c r="E88" t="s">
        <v>3458</v>
      </c>
      <c r="G88" t="s">
        <v>8044</v>
      </c>
      <c r="H88" t="s">
        <v>8067</v>
      </c>
    </row>
    <row r="89" spans="1:8" x14ac:dyDescent="0.25">
      <c r="A89" t="s">
        <v>3944</v>
      </c>
      <c r="B89" t="s">
        <v>3754</v>
      </c>
      <c r="C89" t="s">
        <v>3745</v>
      </c>
      <c r="D89" t="s">
        <v>8045</v>
      </c>
      <c r="E89" t="s">
        <v>3943</v>
      </c>
      <c r="G89" t="s">
        <v>8044</v>
      </c>
      <c r="H89" t="s">
        <v>8066</v>
      </c>
    </row>
    <row r="90" spans="1:8" x14ac:dyDescent="0.25">
      <c r="A90" t="s">
        <v>8079</v>
      </c>
      <c r="D90" t="s">
        <v>8053</v>
      </c>
      <c r="E90" t="s">
        <v>3467</v>
      </c>
      <c r="G90" t="s">
        <v>8044</v>
      </c>
      <c r="H90" t="s">
        <v>8067</v>
      </c>
    </row>
    <row r="91" spans="1:8" x14ac:dyDescent="0.25">
      <c r="A91" t="s">
        <v>8078</v>
      </c>
      <c r="D91" t="s">
        <v>8053</v>
      </c>
      <c r="E91" t="s">
        <v>3486</v>
      </c>
      <c r="G91" t="s">
        <v>8044</v>
      </c>
      <c r="H91" t="s">
        <v>8067</v>
      </c>
    </row>
    <row r="92" spans="1:8" x14ac:dyDescent="0.25">
      <c r="A92" t="s">
        <v>8077</v>
      </c>
      <c r="B92" t="s">
        <v>3835</v>
      </c>
      <c r="C92" t="s">
        <v>3745</v>
      </c>
      <c r="D92" t="s">
        <v>8045</v>
      </c>
      <c r="E92" t="s">
        <v>3971</v>
      </c>
      <c r="G92" t="s">
        <v>8044</v>
      </c>
      <c r="H92" t="s">
        <v>8067</v>
      </c>
    </row>
    <row r="93" spans="1:8" x14ac:dyDescent="0.25">
      <c r="A93" t="s">
        <v>8077</v>
      </c>
      <c r="B93" t="s">
        <v>3835</v>
      </c>
      <c r="C93" t="s">
        <v>3779</v>
      </c>
      <c r="D93" t="s">
        <v>8045</v>
      </c>
      <c r="E93" t="s">
        <v>3972</v>
      </c>
      <c r="G93" t="s">
        <v>8044</v>
      </c>
      <c r="H93" t="s">
        <v>8067</v>
      </c>
    </row>
    <row r="94" spans="1:8" x14ac:dyDescent="0.25">
      <c r="A94" t="s">
        <v>3848</v>
      </c>
      <c r="B94" t="s">
        <v>3758</v>
      </c>
      <c r="C94" t="s">
        <v>3745</v>
      </c>
      <c r="D94" t="s">
        <v>8043</v>
      </c>
      <c r="E94" t="s">
        <v>3847</v>
      </c>
      <c r="G94" t="s">
        <v>8044</v>
      </c>
      <c r="H94" t="s">
        <v>8066</v>
      </c>
    </row>
    <row r="95" spans="1:8" x14ac:dyDescent="0.25">
      <c r="A95" t="s">
        <v>8062</v>
      </c>
      <c r="B95" t="s">
        <v>3758</v>
      </c>
      <c r="C95" t="s">
        <v>3745</v>
      </c>
      <c r="D95" t="s">
        <v>8043</v>
      </c>
      <c r="E95" t="s">
        <v>3757</v>
      </c>
      <c r="G95" t="s">
        <v>8044</v>
      </c>
      <c r="H95" t="s">
        <v>8066</v>
      </c>
    </row>
    <row r="96" spans="1:8" x14ac:dyDescent="0.25">
      <c r="A96" t="s">
        <v>8091</v>
      </c>
      <c r="B96" t="s">
        <v>3758</v>
      </c>
      <c r="C96" t="s">
        <v>3745</v>
      </c>
      <c r="D96" t="s">
        <v>8045</v>
      </c>
      <c r="E96" t="s">
        <v>3884</v>
      </c>
      <c r="G96" t="s">
        <v>8044</v>
      </c>
      <c r="H96" t="s">
        <v>8066</v>
      </c>
    </row>
    <row r="97" spans="1:9" x14ac:dyDescent="0.25">
      <c r="A97" t="s">
        <v>3948</v>
      </c>
      <c r="B97" t="s">
        <v>3758</v>
      </c>
      <c r="C97" t="s">
        <v>3745</v>
      </c>
      <c r="D97" t="s">
        <v>8045</v>
      </c>
      <c r="E97" t="s">
        <v>3947</v>
      </c>
      <c r="G97" t="s">
        <v>8044</v>
      </c>
      <c r="H97" t="s">
        <v>8066</v>
      </c>
    </row>
    <row r="98" spans="1:9" x14ac:dyDescent="0.25">
      <c r="A98" t="s">
        <v>8089</v>
      </c>
      <c r="B98" t="s">
        <v>3835</v>
      </c>
      <c r="C98" t="s">
        <v>3793</v>
      </c>
      <c r="D98" t="s">
        <v>8045</v>
      </c>
      <c r="E98" t="s">
        <v>7902</v>
      </c>
      <c r="G98" t="s">
        <v>8044</v>
      </c>
      <c r="H98" t="s">
        <v>8067</v>
      </c>
    </row>
    <row r="99" spans="1:9" x14ac:dyDescent="0.25">
      <c r="A99" t="s">
        <v>8095</v>
      </c>
      <c r="D99" t="s">
        <v>8053</v>
      </c>
      <c r="E99" t="s">
        <v>3494</v>
      </c>
      <c r="G99" t="s">
        <v>8044</v>
      </c>
      <c r="H99" t="s">
        <v>8067</v>
      </c>
    </row>
    <row r="100" spans="1:9" x14ac:dyDescent="0.25">
      <c r="A100" t="s">
        <v>3806</v>
      </c>
      <c r="B100" t="s">
        <v>3754</v>
      </c>
      <c r="C100" t="s">
        <v>3745</v>
      </c>
      <c r="D100" t="s">
        <v>8043</v>
      </c>
      <c r="E100" t="s">
        <v>3805</v>
      </c>
      <c r="G100" t="s">
        <v>8044</v>
      </c>
      <c r="H100" t="s">
        <v>8066</v>
      </c>
    </row>
    <row r="101" spans="1:9" x14ac:dyDescent="0.25">
      <c r="A101" t="s">
        <v>3910</v>
      </c>
      <c r="B101" t="s">
        <v>3754</v>
      </c>
      <c r="C101" t="s">
        <v>3779</v>
      </c>
      <c r="D101" t="s">
        <v>8045</v>
      </c>
      <c r="E101" t="s">
        <v>3909</v>
      </c>
      <c r="G101" t="s">
        <v>8044</v>
      </c>
      <c r="H101" t="s">
        <v>8066</v>
      </c>
    </row>
    <row r="102" spans="1:9" x14ac:dyDescent="0.25">
      <c r="A102" t="s">
        <v>7363</v>
      </c>
      <c r="B102" t="s">
        <v>3754</v>
      </c>
      <c r="C102" t="s">
        <v>3745</v>
      </c>
      <c r="D102" t="s">
        <v>8045</v>
      </c>
      <c r="E102" t="s">
        <v>7362</v>
      </c>
      <c r="G102" t="s">
        <v>8044</v>
      </c>
      <c r="H102" t="s">
        <v>8066</v>
      </c>
    </row>
    <row r="103" spans="1:9" x14ac:dyDescent="0.25">
      <c r="A103" t="s">
        <v>3820</v>
      </c>
      <c r="B103" t="s">
        <v>3754</v>
      </c>
      <c r="C103" t="s">
        <v>3745</v>
      </c>
      <c r="D103" t="s">
        <v>8043</v>
      </c>
      <c r="E103" t="s">
        <v>3819</v>
      </c>
      <c r="G103" t="s">
        <v>8044</v>
      </c>
      <c r="H103" t="s">
        <v>8066</v>
      </c>
    </row>
    <row r="104" spans="1:9" x14ac:dyDescent="0.25">
      <c r="A104" t="s">
        <v>3755</v>
      </c>
      <c r="B104" t="s">
        <v>3754</v>
      </c>
      <c r="C104" t="s">
        <v>3745</v>
      </c>
      <c r="D104" t="s">
        <v>8043</v>
      </c>
      <c r="E104" t="s">
        <v>3753</v>
      </c>
      <c r="G104" t="s">
        <v>8044</v>
      </c>
      <c r="H104" t="s">
        <v>8066</v>
      </c>
    </row>
    <row r="105" spans="1:9" x14ac:dyDescent="0.25">
      <c r="A105" t="s">
        <v>3950</v>
      </c>
      <c r="B105" t="s">
        <v>3754</v>
      </c>
      <c r="C105" t="s">
        <v>3745</v>
      </c>
      <c r="D105" t="s">
        <v>8045</v>
      </c>
      <c r="E105" t="s">
        <v>3949</v>
      </c>
      <c r="G105" t="s">
        <v>8044</v>
      </c>
      <c r="H105" t="s">
        <v>8066</v>
      </c>
    </row>
    <row r="106" spans="1:9" x14ac:dyDescent="0.25">
      <c r="A106" t="s">
        <v>8096</v>
      </c>
      <c r="D106" t="s">
        <v>8053</v>
      </c>
      <c r="E106" t="s">
        <v>3463</v>
      </c>
      <c r="G106" t="s">
        <v>8044</v>
      </c>
      <c r="H106" t="s">
        <v>8067</v>
      </c>
    </row>
    <row r="107" spans="1:9" x14ac:dyDescent="0.25">
      <c r="A107" t="s">
        <v>3851</v>
      </c>
      <c r="B107" t="s">
        <v>3754</v>
      </c>
      <c r="C107" t="s">
        <v>3779</v>
      </c>
      <c r="D107" t="s">
        <v>8043</v>
      </c>
      <c r="E107" t="s">
        <v>3850</v>
      </c>
      <c r="G107" t="s">
        <v>8044</v>
      </c>
      <c r="H107" t="s">
        <v>8066</v>
      </c>
    </row>
    <row r="108" spans="1:9" x14ac:dyDescent="0.25">
      <c r="A108" t="s">
        <v>3877</v>
      </c>
      <c r="B108" t="s">
        <v>3841</v>
      </c>
      <c r="C108" t="s">
        <v>3745</v>
      </c>
      <c r="D108" t="s">
        <v>8043</v>
      </c>
      <c r="E108" t="s">
        <v>3876</v>
      </c>
      <c r="G108" t="s">
        <v>8044</v>
      </c>
      <c r="H108" t="s">
        <v>8066</v>
      </c>
    </row>
    <row r="109" spans="1:9" x14ac:dyDescent="0.25">
      <c r="A109" t="s">
        <v>3783</v>
      </c>
      <c r="B109" t="s">
        <v>3754</v>
      </c>
      <c r="C109" t="s">
        <v>3779</v>
      </c>
      <c r="D109" t="s">
        <v>8043</v>
      </c>
      <c r="E109" t="s">
        <v>3782</v>
      </c>
      <c r="G109" t="s">
        <v>8044</v>
      </c>
      <c r="H109" t="s">
        <v>8066</v>
      </c>
    </row>
    <row r="110" spans="1:9" x14ac:dyDescent="0.25">
      <c r="A110" t="s">
        <v>7889</v>
      </c>
      <c r="B110" t="s">
        <v>3754</v>
      </c>
      <c r="C110" t="s">
        <v>3779</v>
      </c>
      <c r="D110" t="s">
        <v>8043</v>
      </c>
      <c r="E110" t="s">
        <v>7888</v>
      </c>
      <c r="G110" t="s">
        <v>8044</v>
      </c>
      <c r="H110" t="s">
        <v>8066</v>
      </c>
    </row>
    <row r="111" spans="1:9" x14ac:dyDescent="0.25">
      <c r="A111" t="s">
        <v>7883</v>
      </c>
      <c r="B111" t="s">
        <v>3754</v>
      </c>
      <c r="C111" t="s">
        <v>3745</v>
      </c>
      <c r="D111" t="s">
        <v>8043</v>
      </c>
      <c r="E111" t="s">
        <v>7882</v>
      </c>
      <c r="G111" t="s">
        <v>8044</v>
      </c>
      <c r="H111" t="s">
        <v>8066</v>
      </c>
    </row>
    <row r="112" spans="1:9" x14ac:dyDescent="0.25">
      <c r="A112" t="s">
        <v>8092</v>
      </c>
      <c r="B112" t="s">
        <v>3754</v>
      </c>
      <c r="C112" t="s">
        <v>3779</v>
      </c>
      <c r="D112" t="s">
        <v>8043</v>
      </c>
      <c r="E112" t="s">
        <v>7886</v>
      </c>
      <c r="G112" t="s">
        <v>8044</v>
      </c>
      <c r="H112" t="s">
        <v>8066</v>
      </c>
      <c r="I112">
        <v>2</v>
      </c>
    </row>
    <row r="113" spans="1:8" x14ac:dyDescent="0.25">
      <c r="A113" t="s">
        <v>3824</v>
      </c>
      <c r="B113" t="s">
        <v>3754</v>
      </c>
      <c r="C113" t="s">
        <v>3745</v>
      </c>
      <c r="D113" t="s">
        <v>8043</v>
      </c>
      <c r="E113" t="s">
        <v>3823</v>
      </c>
      <c r="G113" t="s">
        <v>8044</v>
      </c>
      <c r="H113" t="s">
        <v>8066</v>
      </c>
    </row>
    <row r="114" spans="1:8" x14ac:dyDescent="0.25">
      <c r="A114" t="s">
        <v>3975</v>
      </c>
      <c r="B114" t="s">
        <v>3747</v>
      </c>
      <c r="C114" t="s">
        <v>3793</v>
      </c>
      <c r="D114" t="s">
        <v>8045</v>
      </c>
      <c r="E114" t="s">
        <v>3974</v>
      </c>
      <c r="G114" t="s">
        <v>8044</v>
      </c>
      <c r="H114" t="s">
        <v>8066</v>
      </c>
    </row>
    <row r="115" spans="1:8" x14ac:dyDescent="0.25">
      <c r="A115" t="s">
        <v>3966</v>
      </c>
      <c r="B115" t="s">
        <v>3758</v>
      </c>
      <c r="C115" t="s">
        <v>3793</v>
      </c>
      <c r="D115" t="s">
        <v>8045</v>
      </c>
      <c r="E115" t="s">
        <v>3965</v>
      </c>
      <c r="G115" t="s">
        <v>8044</v>
      </c>
      <c r="H115" t="s">
        <v>8066</v>
      </c>
    </row>
    <row r="116" spans="1:8" x14ac:dyDescent="0.25">
      <c r="A116" t="s">
        <v>7696</v>
      </c>
      <c r="B116" t="s">
        <v>3754</v>
      </c>
      <c r="C116" t="s">
        <v>3913</v>
      </c>
      <c r="D116" t="s">
        <v>8043</v>
      </c>
      <c r="E116" t="s">
        <v>1168</v>
      </c>
      <c r="G116" t="s">
        <v>8044</v>
      </c>
      <c r="H116" t="s">
        <v>8066</v>
      </c>
    </row>
    <row r="117" spans="1:8" x14ac:dyDescent="0.25">
      <c r="A117" t="s">
        <v>3902</v>
      </c>
      <c r="B117" t="s">
        <v>3758</v>
      </c>
      <c r="C117" t="s">
        <v>3779</v>
      </c>
      <c r="D117" t="s">
        <v>8045</v>
      </c>
      <c r="E117" t="s">
        <v>3900</v>
      </c>
      <c r="G117" t="s">
        <v>8044</v>
      </c>
      <c r="H117" t="s">
        <v>8066</v>
      </c>
    </row>
    <row r="118" spans="1:8" x14ac:dyDescent="0.25">
      <c r="A118" t="s">
        <v>8076</v>
      </c>
      <c r="D118" t="s">
        <v>8053</v>
      </c>
      <c r="E118" t="s">
        <v>3482</v>
      </c>
      <c r="G118" t="s">
        <v>8044</v>
      </c>
      <c r="H118" t="s">
        <v>8067</v>
      </c>
    </row>
    <row r="119" spans="1:8" x14ac:dyDescent="0.25">
      <c r="A119" t="s">
        <v>7908</v>
      </c>
      <c r="B119" t="s">
        <v>3754</v>
      </c>
      <c r="C119" t="s">
        <v>3745</v>
      </c>
      <c r="D119" t="s">
        <v>8045</v>
      </c>
      <c r="E119" t="s">
        <v>7907</v>
      </c>
      <c r="G119" t="s">
        <v>8044</v>
      </c>
      <c r="H119" t="s">
        <v>8066</v>
      </c>
    </row>
    <row r="120" spans="1:8" x14ac:dyDescent="0.25">
      <c r="A120" t="s">
        <v>7899</v>
      </c>
      <c r="B120" t="s">
        <v>3754</v>
      </c>
      <c r="C120" t="s">
        <v>3745</v>
      </c>
      <c r="D120" t="s">
        <v>8045</v>
      </c>
      <c r="E120" t="s">
        <v>7900</v>
      </c>
      <c r="G120" t="s">
        <v>8044</v>
      </c>
      <c r="H120" t="s">
        <v>8066</v>
      </c>
    </row>
    <row r="121" spans="1:8" x14ac:dyDescent="0.25">
      <c r="A121" t="s">
        <v>8049</v>
      </c>
      <c r="B121" t="s">
        <v>3754</v>
      </c>
      <c r="C121" t="s">
        <v>3779</v>
      </c>
      <c r="D121" t="s">
        <v>8045</v>
      </c>
      <c r="E121" t="s">
        <v>7432</v>
      </c>
      <c r="F121" t="s">
        <v>8050</v>
      </c>
      <c r="G121" t="s">
        <v>8044</v>
      </c>
      <c r="H121" t="s">
        <v>8066</v>
      </c>
    </row>
    <row r="122" spans="1:8" x14ac:dyDescent="0.25">
      <c r="A122" t="s">
        <v>3816</v>
      </c>
      <c r="B122" t="s">
        <v>3754</v>
      </c>
      <c r="C122" t="s">
        <v>3745</v>
      </c>
      <c r="D122" t="s">
        <v>8043</v>
      </c>
      <c r="E122" t="s">
        <v>3815</v>
      </c>
      <c r="G122" t="s">
        <v>8044</v>
      </c>
      <c r="H122" t="s">
        <v>8066</v>
      </c>
    </row>
    <row r="123" spans="1:8" x14ac:dyDescent="0.25">
      <c r="A123" t="s">
        <v>3873</v>
      </c>
      <c r="B123" t="s">
        <v>3754</v>
      </c>
      <c r="C123" t="s">
        <v>3793</v>
      </c>
      <c r="D123" t="s">
        <v>8043</v>
      </c>
      <c r="E123" t="s">
        <v>3872</v>
      </c>
      <c r="G123" t="s">
        <v>8044</v>
      </c>
      <c r="H123" t="s">
        <v>8066</v>
      </c>
    </row>
    <row r="124" spans="1:8" x14ac:dyDescent="0.25">
      <c r="A124" t="s">
        <v>3767</v>
      </c>
      <c r="B124" t="s">
        <v>3754</v>
      </c>
      <c r="C124" t="s">
        <v>3745</v>
      </c>
      <c r="D124" t="s">
        <v>8043</v>
      </c>
      <c r="E124" t="s">
        <v>3766</v>
      </c>
      <c r="G124" t="s">
        <v>8044</v>
      </c>
      <c r="H124" t="s">
        <v>8066</v>
      </c>
    </row>
    <row r="125" spans="1:8" x14ac:dyDescent="0.25">
      <c r="A125" t="s">
        <v>3919</v>
      </c>
      <c r="B125" t="s">
        <v>3754</v>
      </c>
      <c r="C125" t="s">
        <v>3745</v>
      </c>
      <c r="D125" t="s">
        <v>8045</v>
      </c>
      <c r="E125" t="s">
        <v>3918</v>
      </c>
      <c r="G125" t="s">
        <v>8044</v>
      </c>
      <c r="H125" t="s">
        <v>8066</v>
      </c>
    </row>
    <row r="126" spans="1:8" x14ac:dyDescent="0.25">
      <c r="A126" t="s">
        <v>8080</v>
      </c>
      <c r="D126" t="s">
        <v>8053</v>
      </c>
      <c r="E126" t="s">
        <v>3471</v>
      </c>
      <c r="G126" t="s">
        <v>8044</v>
      </c>
      <c r="H126" t="s">
        <v>8067</v>
      </c>
    </row>
    <row r="127" spans="1:8" x14ac:dyDescent="0.25">
      <c r="A127" t="s">
        <v>3853</v>
      </c>
      <c r="B127" t="s">
        <v>3754</v>
      </c>
      <c r="C127" t="s">
        <v>3779</v>
      </c>
      <c r="D127" t="s">
        <v>8043</v>
      </c>
      <c r="E127" t="s">
        <v>3852</v>
      </c>
      <c r="G127" t="s">
        <v>8044</v>
      </c>
      <c r="H127" t="s">
        <v>8066</v>
      </c>
    </row>
    <row r="128" spans="1:8" x14ac:dyDescent="0.25">
      <c r="A128" t="s">
        <v>8090</v>
      </c>
      <c r="B128" t="s">
        <v>3835</v>
      </c>
      <c r="C128" t="s">
        <v>3793</v>
      </c>
      <c r="D128" t="s">
        <v>8045</v>
      </c>
      <c r="E128" t="s">
        <v>3931</v>
      </c>
      <c r="G128" t="s">
        <v>8044</v>
      </c>
      <c r="H128" t="s">
        <v>8067</v>
      </c>
    </row>
    <row r="129" spans="1:8" x14ac:dyDescent="0.25">
      <c r="A129" t="s">
        <v>7984</v>
      </c>
      <c r="B129" t="s">
        <v>3841</v>
      </c>
      <c r="C129" t="s">
        <v>3779</v>
      </c>
      <c r="D129" t="s">
        <v>8043</v>
      </c>
      <c r="E129" t="s">
        <v>7983</v>
      </c>
      <c r="G129" t="s">
        <v>8044</v>
      </c>
      <c r="H129" t="s">
        <v>8066</v>
      </c>
    </row>
    <row r="130" spans="1:8" x14ac:dyDescent="0.25">
      <c r="A130" t="s">
        <v>3891</v>
      </c>
      <c r="B130" t="s">
        <v>3841</v>
      </c>
      <c r="C130" t="s">
        <v>3745</v>
      </c>
      <c r="D130" t="s">
        <v>8045</v>
      </c>
      <c r="E130" t="s">
        <v>3890</v>
      </c>
      <c r="G130" t="s">
        <v>8044</v>
      </c>
      <c r="H130" t="s">
        <v>8066</v>
      </c>
    </row>
    <row r="131" spans="1:8" x14ac:dyDescent="0.25">
      <c r="A131" t="s">
        <v>3842</v>
      </c>
      <c r="B131" t="s">
        <v>3841</v>
      </c>
      <c r="C131" t="s">
        <v>3793</v>
      </c>
      <c r="D131" t="s">
        <v>8043</v>
      </c>
      <c r="E131" t="s">
        <v>3840</v>
      </c>
      <c r="G131" t="s">
        <v>8044</v>
      </c>
      <c r="H131" t="s">
        <v>8066</v>
      </c>
    </row>
    <row r="132" spans="1:8" x14ac:dyDescent="0.25">
      <c r="A132" t="s">
        <v>4253</v>
      </c>
      <c r="D132" t="s">
        <v>8054</v>
      </c>
      <c r="E132" t="s">
        <v>4252</v>
      </c>
      <c r="G132" t="s">
        <v>8044</v>
      </c>
      <c r="H132" t="s">
        <v>8067</v>
      </c>
    </row>
    <row r="133" spans="1:8" x14ac:dyDescent="0.25">
      <c r="A133" t="s">
        <v>4257</v>
      </c>
      <c r="D133" t="s">
        <v>8054</v>
      </c>
      <c r="E133" t="s">
        <v>4256</v>
      </c>
      <c r="G133" t="s">
        <v>8044</v>
      </c>
      <c r="H133" t="s">
        <v>8067</v>
      </c>
    </row>
    <row r="134" spans="1:8" x14ac:dyDescent="0.25">
      <c r="A134" t="s">
        <v>8096</v>
      </c>
      <c r="B134" t="s">
        <v>3835</v>
      </c>
      <c r="C134" t="s">
        <v>3779</v>
      </c>
      <c r="D134" t="s">
        <v>8043</v>
      </c>
      <c r="E134" t="s">
        <v>3834</v>
      </c>
      <c r="G134" t="s">
        <v>8044</v>
      </c>
      <c r="H134" t="s">
        <v>8067</v>
      </c>
    </row>
    <row r="135" spans="1:8" x14ac:dyDescent="0.25">
      <c r="A135" t="s">
        <v>4259</v>
      </c>
      <c r="D135" t="s">
        <v>8054</v>
      </c>
      <c r="E135" t="s">
        <v>4258</v>
      </c>
      <c r="G135" t="s">
        <v>8044</v>
      </c>
      <c r="H135" t="s">
        <v>8067</v>
      </c>
    </row>
    <row r="136" spans="1:8" x14ac:dyDescent="0.25">
      <c r="A136" t="s">
        <v>8248</v>
      </c>
      <c r="B136" t="s">
        <v>3754</v>
      </c>
      <c r="D136" t="s">
        <v>5758</v>
      </c>
      <c r="E136" t="s">
        <v>8247</v>
      </c>
      <c r="G136" t="s">
        <v>8044</v>
      </c>
      <c r="H136" t="s">
        <v>8066</v>
      </c>
    </row>
    <row r="137" spans="1:8" x14ac:dyDescent="0.25">
      <c r="A137" t="s">
        <v>8258</v>
      </c>
      <c r="B137" t="s">
        <v>3754</v>
      </c>
      <c r="D137" t="s">
        <v>5758</v>
      </c>
      <c r="E137" t="s">
        <v>8254</v>
      </c>
      <c r="G137" t="s">
        <v>8044</v>
      </c>
      <c r="H137" t="s">
        <v>8066</v>
      </c>
    </row>
    <row r="138" spans="1:8" x14ac:dyDescent="0.25">
      <c r="A138" t="s">
        <v>8261</v>
      </c>
      <c r="B138" t="s">
        <v>3747</v>
      </c>
      <c r="D138" t="s">
        <v>5758</v>
      </c>
      <c r="E138" t="s">
        <v>8259</v>
      </c>
      <c r="G138" t="s">
        <v>8044</v>
      </c>
      <c r="H138" t="s">
        <v>8066</v>
      </c>
    </row>
    <row r="139" spans="1:8" x14ac:dyDescent="0.25">
      <c r="A139" t="s">
        <v>8248</v>
      </c>
      <c r="B139" t="s">
        <v>3754</v>
      </c>
      <c r="D139" t="s">
        <v>5758</v>
      </c>
      <c r="E139" t="s">
        <v>8268</v>
      </c>
      <c r="G139" t="s">
        <v>8044</v>
      </c>
      <c r="H139" t="s">
        <v>8066</v>
      </c>
    </row>
    <row r="140" spans="1:8" x14ac:dyDescent="0.25">
      <c r="A140" t="s">
        <v>8278</v>
      </c>
      <c r="B140" t="s">
        <v>3754</v>
      </c>
      <c r="D140" t="s">
        <v>5758</v>
      </c>
      <c r="E140" t="s">
        <v>4696</v>
      </c>
      <c r="G140" t="s">
        <v>8044</v>
      </c>
      <c r="H140" t="s">
        <v>8066</v>
      </c>
    </row>
    <row r="141" spans="1:8" x14ac:dyDescent="0.25">
      <c r="A141" t="s">
        <v>8278</v>
      </c>
      <c r="B141" t="s">
        <v>3754</v>
      </c>
      <c r="D141" t="s">
        <v>5758</v>
      </c>
      <c r="E141" t="s">
        <v>6835</v>
      </c>
      <c r="G141" t="s">
        <v>8044</v>
      </c>
      <c r="H141" t="s">
        <v>8066</v>
      </c>
    </row>
    <row r="142" spans="1:8" x14ac:dyDescent="0.25">
      <c r="A142" t="s">
        <v>8305</v>
      </c>
      <c r="B142" t="s">
        <v>3747</v>
      </c>
      <c r="D142" t="s">
        <v>5758</v>
      </c>
      <c r="E142" t="s">
        <v>8303</v>
      </c>
      <c r="G142" t="s">
        <v>8044</v>
      </c>
      <c r="H142" t="s">
        <v>8066</v>
      </c>
    </row>
    <row r="143" spans="1:8" x14ac:dyDescent="0.25">
      <c r="A143" t="s">
        <v>8305</v>
      </c>
      <c r="B143" t="s">
        <v>3747</v>
      </c>
      <c r="D143" t="s">
        <v>5758</v>
      </c>
      <c r="E143" t="s">
        <v>8308</v>
      </c>
      <c r="G143" t="s">
        <v>8044</v>
      </c>
      <c r="H143" t="s">
        <v>8066</v>
      </c>
    </row>
    <row r="144" spans="1:8" x14ac:dyDescent="0.25">
      <c r="A144" t="s">
        <v>8319</v>
      </c>
      <c r="B144" t="s">
        <v>3747</v>
      </c>
      <c r="D144" t="s">
        <v>5758</v>
      </c>
      <c r="E144" t="s">
        <v>8318</v>
      </c>
      <c r="G144" t="s">
        <v>8044</v>
      </c>
      <c r="H144" t="s">
        <v>8066</v>
      </c>
    </row>
    <row r="145" spans="1:8" x14ac:dyDescent="0.25">
      <c r="A145" t="s">
        <v>8319</v>
      </c>
      <c r="B145" t="s">
        <v>3747</v>
      </c>
      <c r="D145" t="s">
        <v>5758</v>
      </c>
      <c r="E145" t="s">
        <v>8321</v>
      </c>
      <c r="G145" t="s">
        <v>8044</v>
      </c>
      <c r="H145" t="s">
        <v>8066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20" sqref="O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4305</v>
      </c>
    </row>
    <row r="2" spans="1:28" x14ac:dyDescent="0.25">
      <c r="A2" s="13" t="s">
        <v>4306</v>
      </c>
    </row>
    <row r="4" spans="1:28" ht="25.5" customHeight="1" x14ac:dyDescent="0.25">
      <c r="A4" s="14" t="s">
        <v>4307</v>
      </c>
      <c r="B4" s="14" t="s">
        <v>4308</v>
      </c>
      <c r="C4" s="14" t="s">
        <v>4309</v>
      </c>
      <c r="E4" s="14" t="s">
        <v>4310</v>
      </c>
      <c r="F4" s="14" t="s">
        <v>4311</v>
      </c>
      <c r="G4" s="14" t="s">
        <v>172</v>
      </c>
      <c r="I4" s="14" t="s">
        <v>4312</v>
      </c>
      <c r="J4" s="14" t="s">
        <v>4311</v>
      </c>
      <c r="K4" s="14" t="s">
        <v>172</v>
      </c>
      <c r="L4" s="14" t="s">
        <v>4313</v>
      </c>
      <c r="N4" s="14" t="s">
        <v>4314</v>
      </c>
      <c r="O4" s="14" t="s">
        <v>1</v>
      </c>
      <c r="P4" s="14" t="s">
        <v>4310</v>
      </c>
      <c r="R4" s="14" t="s">
        <v>4314</v>
      </c>
      <c r="S4" s="14" t="s">
        <v>4315</v>
      </c>
      <c r="T4" s="14" t="s">
        <v>4310</v>
      </c>
      <c r="V4" s="14" t="s">
        <v>166</v>
      </c>
      <c r="W4" s="14" t="s">
        <v>4311</v>
      </c>
      <c r="X4" s="14" t="s">
        <v>172</v>
      </c>
      <c r="Y4" s="14" t="s">
        <v>4316</v>
      </c>
      <c r="AA4" s="14" t="s">
        <v>4317</v>
      </c>
      <c r="AB4" s="14" t="s">
        <v>4316</v>
      </c>
    </row>
    <row r="5" spans="1:28" x14ac:dyDescent="0.25">
      <c r="A5" s="15" t="s">
        <v>4311</v>
      </c>
      <c r="B5" s="16">
        <f>COUNTA(games!$A$2:$A$950)</f>
        <v>895</v>
      </c>
      <c r="C5" s="17" t="s">
        <v>4318</v>
      </c>
      <c r="E5" t="s">
        <v>4319</v>
      </c>
      <c r="F5">
        <f>COUNTIF('Map Calc'!$D$2:$D$950,0)</f>
        <v>66</v>
      </c>
      <c r="G5">
        <f>COUNTIFS('Map Calc'!$D$2:$D$950,0,'Map Calc'!$P$2:$P$950,"Yes")</f>
        <v>40</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11</v>
      </c>
    </row>
    <row r="6" spans="1:28" x14ac:dyDescent="0.25">
      <c r="A6" s="15" t="s">
        <v>4320</v>
      </c>
      <c r="B6" s="16">
        <f>COUNTIF(games!$H$2:$H$950,"Yes")</f>
        <v>563</v>
      </c>
      <c r="C6" s="17" t="s">
        <v>4321</v>
      </c>
      <c r="E6" t="s">
        <v>4322</v>
      </c>
      <c r="F6">
        <f>COUNTIF('Map Calc'!$D$2:$D$950,1)</f>
        <v>333</v>
      </c>
      <c r="G6">
        <f>COUNTIFS('Map Calc'!$D$2:$D$950,1,'Map Calc'!$P$2:$P$950,"Yes")</f>
        <v>200</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95</v>
      </c>
      <c r="R6">
        <v>2</v>
      </c>
      <c r="S6" t="str">
        <f>IFERROR(INDEX('Map Calc'!$A$2:$A$950,MATCH(LARGE('Map Calc'!$Q$2:$Q$950,2),'Map Calc'!$Q$2:$Q$950,0)),"")</f>
        <v>Vampire Survivors</v>
      </c>
      <c r="T6">
        <f>IFERROR(INDEX('Map Calc'!$D$2:$D$950,MATCH(LARGE('Map Calc'!$Q$2:$Q$950,2),'Map Calc'!$Q$2:$Q$950,0)),"")</f>
        <v>95</v>
      </c>
      <c r="V6">
        <v>1979</v>
      </c>
      <c r="W6">
        <f>COUNTIF(games!$B$2:$B$950,$V6)</f>
        <v>0</v>
      </c>
      <c r="X6">
        <f>COUNTIFS(games!$B$2:$B$950,$V6,games!$H$2:$H$950,"Yes")</f>
        <v>0</v>
      </c>
      <c r="Y6">
        <f>COUNTIF('Map Calc'!$T$2:$T$1400,$V6)</f>
        <v>0</v>
      </c>
      <c r="AA6">
        <v>1</v>
      </c>
      <c r="AB6">
        <f>COUNTIF('Map Calc'!$V$2:$V$1400,$AA6)</f>
        <v>100</v>
      </c>
    </row>
    <row r="7" spans="1:28" x14ac:dyDescent="0.25">
      <c r="A7" s="15" t="s">
        <v>4323</v>
      </c>
      <c r="B7" s="19">
        <f>IF(B5=0,0,B6/B5)</f>
        <v>0.62905027932960889</v>
      </c>
      <c r="C7" s="17" t="s">
        <v>4324</v>
      </c>
      <c r="E7" t="s">
        <v>4325</v>
      </c>
      <c r="F7">
        <f>COUNTIF('Map Calc'!$D$2:$D$950,2)</f>
        <v>213</v>
      </c>
      <c r="G7">
        <f>COUNTIFS('Map Calc'!$D$2:$D$950,2,'Map Calc'!$P$2:$P$950,"Yes")</f>
        <v>120</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177</v>
      </c>
    </row>
    <row r="8" spans="1:28" x14ac:dyDescent="0.25">
      <c r="A8" s="15" t="s">
        <v>4316</v>
      </c>
      <c r="B8" s="25">
        <f>COUNTA(connections!$A$2:$A$1425)</f>
        <v>1424</v>
      </c>
      <c r="C8" s="17" t="s">
        <v>4326</v>
      </c>
      <c r="E8" t="s">
        <v>4327</v>
      </c>
      <c r="F8">
        <f>COUNTIF('Map Calc'!$D$2:$D$950,3)</f>
        <v>122</v>
      </c>
      <c r="G8">
        <f>COUNTIFS('Map Calc'!$D$2:$D$950,3,'Map Calc'!$P$2:$P$950,"Yes")</f>
        <v>87</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62</v>
      </c>
      <c r="R8">
        <v>4</v>
      </c>
      <c r="S8" t="str">
        <f>IFERROR(INDEX('Map Calc'!$A$2:$A$950,MATCH(LARGE('Map Calc'!$Q$2:$Q$950,4),'Map Calc'!$Q$2:$Q$950,0)),"")</f>
        <v>Hades</v>
      </c>
      <c r="T8">
        <f>IFERROR(INDEX('Map Calc'!$D$2:$D$950,MATCH(LARGE('Map Calc'!$Q$2:$Q$950,4),'Map Calc'!$Q$2:$Q$950,0)),"")</f>
        <v>62</v>
      </c>
      <c r="V8">
        <v>1981</v>
      </c>
      <c r="W8">
        <f>COUNTIF(games!$B$2:$B$950,$V8)</f>
        <v>0</v>
      </c>
      <c r="X8">
        <f>COUNTIFS(games!$B$2:$B$950,$V8,games!$H$2:$H$950,"Yes")</f>
        <v>0</v>
      </c>
      <c r="Y8">
        <f>COUNTIF('Map Calc'!$T$2:$T$1400,$V8)</f>
        <v>0</v>
      </c>
      <c r="AA8">
        <v>3</v>
      </c>
      <c r="AB8">
        <f>COUNTIF('Map Calc'!$V$2:$V$1400,$AA8)</f>
        <v>170</v>
      </c>
    </row>
    <row r="9" spans="1:28" x14ac:dyDescent="0.25">
      <c r="A9" s="15" t="s">
        <v>4328</v>
      </c>
      <c r="B9" s="20">
        <f>IF(B5=0,0,2*B8/B5)</f>
        <v>3.1821229050279332</v>
      </c>
      <c r="C9" s="17" t="s">
        <v>4329</v>
      </c>
      <c r="E9" t="s">
        <v>4330</v>
      </c>
      <c r="F9">
        <f>COUNTIF('Map Calc'!$D$2:$D$950,4)</f>
        <v>59</v>
      </c>
      <c r="G9">
        <f>COUNTIFS('Map Calc'!$D$2:$D$950,4,'Map Calc'!$P$2:$P$950,"Yes")</f>
        <v>34</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59</v>
      </c>
      <c r="R9">
        <v>5</v>
      </c>
      <c r="S9" t="str">
        <f>IFERROR(INDEX('Map Calc'!$A$2:$A$950,MATCH(LARGE('Map Calc'!$Q$2:$Q$950,5),'Map Calc'!$Q$2:$Q$950,0)),"")</f>
        <v>Balatro</v>
      </c>
      <c r="T9">
        <f>IFERROR(INDEX('Map Calc'!$D$2:$D$950,MATCH(LARGE('Map Calc'!$Q$2:$Q$950,5),'Map Calc'!$Q$2:$Q$950,0)),"")</f>
        <v>59</v>
      </c>
      <c r="V9">
        <v>1982</v>
      </c>
      <c r="W9">
        <f>COUNTIF(games!$B$2:$B$950,$V9)</f>
        <v>1</v>
      </c>
      <c r="X9">
        <f>COUNTIFS(games!$B$2:$B$950,$V9,games!$H$2:$H$950,"Yes")</f>
        <v>0</v>
      </c>
      <c r="Y9">
        <f>COUNTIF('Map Calc'!$T$2:$T$1400,$V9)</f>
        <v>1</v>
      </c>
      <c r="AA9">
        <v>4</v>
      </c>
      <c r="AB9">
        <f>COUNTIF('Map Calc'!$V$2:$V$1400,$AA9)</f>
        <v>154</v>
      </c>
    </row>
    <row r="10" spans="1:28" x14ac:dyDescent="0.25">
      <c r="A10" s="15" t="s">
        <v>4331</v>
      </c>
      <c r="B10" s="20">
        <f>IFERROR(SUMIFS('Map Calc'!$D$2:$D$950,games!$H$2:$H$950,"Yes")/B6,0)</f>
        <v>3.9271758436944939</v>
      </c>
      <c r="C10" s="17" t="s">
        <v>4332</v>
      </c>
      <c r="E10" t="s">
        <v>4333</v>
      </c>
      <c r="F10">
        <f>COUNTIF('Map Calc'!$D$2:$D$950,5)</f>
        <v>32</v>
      </c>
      <c r="G10">
        <f>COUNTIFS('Map Calc'!$D$2:$D$950,5,'Map Calc'!$P$2:$P$950,"Yes")</f>
        <v>20</v>
      </c>
      <c r="N10">
        <v>6</v>
      </c>
      <c r="O10" t="str">
        <f>IFERROR(INDEX('Map Calc'!$A$2:$A$950,MATCH(LARGE('Map Calc'!$O$2:$O$950,6),'Map Calc'!$O$2:$O$950,0)),"")</f>
        <v>Spelunky Classic</v>
      </c>
      <c r="P10">
        <f>IFERROR(INDEX('Map Calc'!$D$2:$D$950,MATCH(LARGE('Map Calc'!$O$2:$O$950,6),'Map Calc'!$O$2:$O$950,0)),"")</f>
        <v>43</v>
      </c>
      <c r="R10">
        <v>6</v>
      </c>
      <c r="S10" t="str">
        <f>IFERROR(INDEX('Map Calc'!$A$2:$A$950,MATCH(LARGE('Map Calc'!$Q$2:$Q$950,6),'Map Calc'!$Q$2:$Q$950,0)),"")</f>
        <v>Spelunky Classic</v>
      </c>
      <c r="T10">
        <f>IFERROR(INDEX('Map Calc'!$D$2:$D$950,MATCH(LARGE('Map Calc'!$Q$2:$Q$950,6),'Map Calc'!$Q$2:$Q$950,0)),"")</f>
        <v>43</v>
      </c>
      <c r="V10">
        <v>1983</v>
      </c>
      <c r="W10">
        <f>COUNTIF(games!$B$2:$B$950,$V10)</f>
        <v>1</v>
      </c>
      <c r="X10">
        <f>COUNTIFS(games!$B$2:$B$950,$V10,games!$H$2:$H$950,"Yes")</f>
        <v>1</v>
      </c>
      <c r="Y10">
        <f>COUNTIF('Map Calc'!$T$2:$T$1400,$V10)</f>
        <v>3</v>
      </c>
      <c r="AA10">
        <v>5</v>
      </c>
      <c r="AB10">
        <f>COUNTIF('Map Calc'!$V$2:$V$1400,$AA10)</f>
        <v>140</v>
      </c>
    </row>
    <row r="11" spans="1:28" x14ac:dyDescent="0.25">
      <c r="A11" s="15" t="s">
        <v>4334</v>
      </c>
      <c r="B11" s="16">
        <f>MEDIAN('Map Calc'!$D$2:$D$950)</f>
        <v>2</v>
      </c>
      <c r="C11" s="17" t="s">
        <v>4335</v>
      </c>
      <c r="E11" t="s">
        <v>4336</v>
      </c>
      <c r="F11">
        <f>COUNTIFS('Map Calc'!$D$2:$D$950,"&gt;=6",'Map Calc'!$D$2:$D$950,"&lt;=9")</f>
        <v>33</v>
      </c>
      <c r="G11">
        <f>COUNTIFS('Map Calc'!$D$2:$D$950,"&gt;=6",'Map Calc'!$D$2:$D$950,"&lt;=9",'Map Calc'!$P$2:$P$950,"Yes")</f>
        <v>25</v>
      </c>
      <c r="N11">
        <v>7</v>
      </c>
      <c r="O11" t="str">
        <f>IFERROR(INDEX('Map Calc'!$A$2:$A$950,MATCH(LARGE('Map Calc'!$O$2:$O$950,7),'Map Calc'!$O$2:$O$950,0)),"")</f>
        <v>FTL</v>
      </c>
      <c r="P11">
        <f>IFERROR(INDEX('Map Calc'!$D$2:$D$950,MATCH(LARGE('Map Calc'!$O$2:$O$950,7),'Map Calc'!$O$2:$O$950,0)),"")</f>
        <v>42</v>
      </c>
      <c r="R11">
        <v>7</v>
      </c>
      <c r="S11" t="str">
        <f>IFERROR(INDEX('Map Calc'!$A$2:$A$950,MATCH(LARGE('Map Calc'!$Q$2:$Q$950,7),'Map Calc'!$Q$2:$Q$950,0)),"")</f>
        <v>FTL</v>
      </c>
      <c r="T11">
        <f>IFERROR(INDEX('Map Calc'!$D$2:$D$950,MATCH(LARGE('Map Calc'!$Q$2:$Q$950,7),'Map Calc'!$Q$2:$Q$950,0)),"")</f>
        <v>42</v>
      </c>
      <c r="V11">
        <v>1984</v>
      </c>
      <c r="W11">
        <f>COUNTIF(games!$B$2:$B$950,$V11)</f>
        <v>1</v>
      </c>
      <c r="X11">
        <f>COUNTIFS(games!$B$2:$B$950,$V11,games!$H$2:$H$950,"Yes")</f>
        <v>1</v>
      </c>
      <c r="Y11">
        <f>COUNTIF('Map Calc'!$T$2:$T$1400,$V11)</f>
        <v>6</v>
      </c>
      <c r="AA11">
        <v>6</v>
      </c>
      <c r="AB11">
        <f>COUNTIF('Map Calc'!$V$2:$V$1400,$AA11)</f>
        <v>109</v>
      </c>
    </row>
    <row r="12" spans="1:28" x14ac:dyDescent="0.25">
      <c r="A12" s="15" t="s">
        <v>4337</v>
      </c>
      <c r="B12" s="16">
        <f>MAX('Map Calc'!$D$2:$D$950)</f>
        <v>156</v>
      </c>
      <c r="C12" s="17" t="s">
        <v>4338</v>
      </c>
      <c r="E12" t="s">
        <v>4339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35</v>
      </c>
      <c r="R12">
        <v>8</v>
      </c>
      <c r="S12" t="str">
        <f>IFERROR(INDEX('Map Calc'!$A$2:$A$950,MATCH(LARGE('Map Calc'!$Q$2:$Q$950,8),'Map Calc'!$Q$2:$Q$950,0)),"")</f>
        <v>NetHack</v>
      </c>
      <c r="T12">
        <f>IFERROR(INDEX('Map Calc'!$D$2:$D$950,MATCH(LARGE('Map Calc'!$Q$2:$Q$950,8),'Map Calc'!$Q$2:$Q$950,0)),"")</f>
        <v>35</v>
      </c>
      <c r="V12">
        <v>1985</v>
      </c>
      <c r="W12">
        <f>COUNTIF(games!$B$2:$B$950,$V12)</f>
        <v>0</v>
      </c>
      <c r="X12">
        <f>COUNTIFS(games!$B$2:$B$950,$V12,games!$H$2:$H$950,"Yes")</f>
        <v>0</v>
      </c>
      <c r="Y12">
        <f>COUNTIF('Map Calc'!$T$2:$T$1400,$V12)</f>
        <v>0</v>
      </c>
      <c r="AA12">
        <v>7</v>
      </c>
      <c r="AB12">
        <f>COUNTIF('Map Calc'!$V$2:$V$1400,$AA12)</f>
        <v>95</v>
      </c>
    </row>
    <row r="13" spans="1:28" x14ac:dyDescent="0.25">
      <c r="A13" s="15" t="s">
        <v>4340</v>
      </c>
      <c r="B13" s="16">
        <f>COUNTIF('Map Calc'!$D$2:$D$950,1)</f>
        <v>333</v>
      </c>
      <c r="C13" s="17" t="s">
        <v>4341</v>
      </c>
      <c r="E13" t="s">
        <v>4342</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33</v>
      </c>
      <c r="R13">
        <v>9</v>
      </c>
      <c r="S13" t="str">
        <f>IFERROR(INDEX('Map Calc'!$A$2:$A$950,MATCH(LARGE('Map Calc'!$Q$2:$Q$950,9),'Map Calc'!$Q$2:$Q$950,0)),"")</f>
        <v>Enter the Gungeon</v>
      </c>
      <c r="T13">
        <f>IFERROR(INDEX('Map Calc'!$D$2:$D$950,MATCH(LARGE('Map Calc'!$Q$2:$Q$950,9),'Map Calc'!$Q$2:$Q$950,0)),"")</f>
        <v>33</v>
      </c>
      <c r="V13">
        <v>1986</v>
      </c>
      <c r="W13">
        <f>COUNTIF(games!$B$2:$B$950,$V13)</f>
        <v>1</v>
      </c>
      <c r="X13">
        <f>COUNTIFS(games!$B$2:$B$950,$V13,games!$H$2:$H$950,"Yes")</f>
        <v>1</v>
      </c>
      <c r="Y13">
        <f>COUNTIF('Map Calc'!$T$2:$T$1400,$V13)</f>
        <v>0</v>
      </c>
      <c r="AA13">
        <v>8</v>
      </c>
      <c r="AB13">
        <f>COUNTIF('Map Calc'!$V$2:$V$1400,$AA13)</f>
        <v>77</v>
      </c>
    </row>
    <row r="14" spans="1:28" x14ac:dyDescent="0.25">
      <c r="A14" s="15" t="s">
        <v>4343</v>
      </c>
      <c r="B14" s="16">
        <f>COUNTIF('Map Calc'!$D$2:$D$950,0)</f>
        <v>66</v>
      </c>
      <c r="C14" s="17" t="s">
        <v>4344</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36</v>
      </c>
      <c r="AA14">
        <v>9</v>
      </c>
      <c r="AB14">
        <f>COUNTIF('Map Calc'!$V$2:$V$1400,$AA14)</f>
        <v>70</v>
      </c>
    </row>
    <row r="15" spans="1:28" x14ac:dyDescent="0.25">
      <c r="A15" s="15" t="s">
        <v>4345</v>
      </c>
      <c r="B15" s="16">
        <f>B13+B14</f>
        <v>399</v>
      </c>
      <c r="C15" s="17" t="s">
        <v>4346</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34</v>
      </c>
    </row>
    <row r="16" spans="1:28" x14ac:dyDescent="0.25">
      <c r="A16" s="15" t="s">
        <v>4347</v>
      </c>
      <c r="B16" s="16">
        <f>COUNTIFS(games!$H$2:$H$950,"Yes",'Map Calc'!$D$2:$D$950,"&gt;1")</f>
        <v>323</v>
      </c>
      <c r="C16" s="17" t="s">
        <v>4348</v>
      </c>
      <c r="N16">
        <v>12</v>
      </c>
      <c r="O16" t="str">
        <f>IFERROR(INDEX('Map Calc'!$A$2:$A$950,MATCH(LARGE('Map Calc'!$O$2:$O$950,12),'Map Calc'!$O$2:$O$950,0)),"")</f>
        <v>Torneko's Great Adventure: Mystery Dungeon</v>
      </c>
      <c r="P16">
        <f>IFERROR(INDEX('Map Calc'!$D$2:$D$950,MATCH(LARGE('Map Calc'!$O$2:$O$950,12),'Map Calc'!$O$2:$O$950,0)),"")</f>
        <v>27</v>
      </c>
      <c r="R16">
        <v>12</v>
      </c>
      <c r="S16" t="str">
        <f>IFERROR(INDEX('Map Calc'!$A$2:$A$950,MATCH(LARGE('Map Calc'!$Q$2:$Q$950,12),'Map Calc'!$Q$2:$Q$950,0)),"")</f>
        <v>Torneko's Great Adventure: Mystery Dungeon</v>
      </c>
      <c r="T16">
        <f>IFERROR(INDEX('Map Calc'!$D$2:$D$950,MATCH(LARGE('Map Calc'!$Q$2:$Q$950,12),'Map Calc'!$Q$2:$Q$950,0)),"")</f>
        <v>27</v>
      </c>
      <c r="V16">
        <v>1989</v>
      </c>
      <c r="W16">
        <f>COUNTIF(games!$B$2:$B$950,$V16)</f>
        <v>0</v>
      </c>
      <c r="X16">
        <f>COUNTIFS(games!$B$2:$B$950,$V16,games!$H$2:$H$950,"Yes")</f>
        <v>0</v>
      </c>
      <c r="Y16">
        <f>COUNTIF('Map Calc'!$T$2:$T$1400,$V16)</f>
        <v>0</v>
      </c>
      <c r="AA16" t="s">
        <v>4349</v>
      </c>
      <c r="AB16">
        <f>COUNTIFS('Map Calc'!$V$2:$V$1400,"&gt;=11",'Map Calc'!$V$2:$V$1400,"&lt;=20")</f>
        <v>157</v>
      </c>
    </row>
    <row r="17" spans="1:28" x14ac:dyDescent="0.25">
      <c r="A17" s="15" t="s">
        <v>4350</v>
      </c>
      <c r="B17" s="16">
        <f>COUNTIFS(games!$H$2:$H$950,"Yes",'Map Calc'!$D$2:$D$950,"&lt;=1")</f>
        <v>240</v>
      </c>
      <c r="C17" s="17" t="s">
        <v>4351</v>
      </c>
      <c r="N17">
        <v>13</v>
      </c>
      <c r="O17" t="str">
        <f>IFERROR(INDEX('Map Calc'!$A$2:$A$950,MATCH(LARGE('Map Calc'!$O$2:$O$950,13),'Map Calc'!$O$2:$O$950,0)),"")</f>
        <v>Rogue</v>
      </c>
      <c r="P17">
        <f>IFERROR(INDEX('Map Calc'!$D$2:$D$950,MATCH(LARGE('Map Calc'!$O$2:$O$950,13),'Map Calc'!$O$2:$O$950,0)),"")</f>
        <v>27</v>
      </c>
      <c r="R17">
        <v>13</v>
      </c>
      <c r="S17" t="str">
        <f>IFERROR(INDEX('Map Calc'!$A$2:$A$950,MATCH(LARGE('Map Calc'!$Q$2:$Q$950,13),'Map Calc'!$Q$2:$Q$950,0)),"")</f>
        <v>Rogue</v>
      </c>
      <c r="T17">
        <f>IFERROR(INDEX('Map Calc'!$D$2:$D$950,MATCH(LARGE('Map Calc'!$Q$2:$Q$950,13),'Map Calc'!$Q$2:$Q$950,0)),"")</f>
        <v>27</v>
      </c>
      <c r="V17">
        <v>1990</v>
      </c>
      <c r="W17">
        <f>COUNTIF(games!$B$2:$B$950,$V17)</f>
        <v>3</v>
      </c>
      <c r="X17">
        <f>COUNTIFS(games!$B$2:$B$950,$V17,games!$H$2:$H$950,"Yes")</f>
        <v>3</v>
      </c>
      <c r="Y17">
        <f>COUNTIF('Map Calc'!$T$2:$T$1400,$V17)</f>
        <v>15</v>
      </c>
      <c r="AA17" t="s">
        <v>4352</v>
      </c>
      <c r="AB17">
        <f>COUNTIF('Map Calc'!$V$2:$V$1400,"&gt;=21")</f>
        <v>101</v>
      </c>
    </row>
    <row r="18" spans="1:28" x14ac:dyDescent="0.25">
      <c r="A18" s="15" t="s">
        <v>4353</v>
      </c>
      <c r="B18" s="23">
        <f>SUMPRODUCT(('Map Calc'!$V$2:$V$1400&lt;&gt;"")*('Map Calc'!$V$2:$V$1400&lt;0))</f>
        <v>3</v>
      </c>
      <c r="C18" s="17" t="s">
        <v>4354</v>
      </c>
      <c r="N18">
        <v>14</v>
      </c>
      <c r="O18" t="str">
        <f>IFERROR(INDEX('Map Calc'!$A$2:$A$950,MATCH(LARGE('Map Calc'!$O$2:$O$950,14),'Map Calc'!$O$2:$O$950,0)),"")</f>
        <v>Diablo</v>
      </c>
      <c r="P18">
        <f>IFERROR(INDEX('Map Calc'!$D$2:$D$950,MATCH(LARGE('Map Calc'!$O$2:$O$950,14),'Map Calc'!$O$2:$O$950,0)),"")</f>
        <v>27</v>
      </c>
      <c r="R18">
        <v>14</v>
      </c>
      <c r="S18" t="str">
        <f>IFERROR(INDEX('Map Calc'!$A$2:$A$950,MATCH(LARGE('Map Calc'!$Q$2:$Q$950,14),'Map Calc'!$Q$2:$Q$950,0)),"")</f>
        <v>Diablo</v>
      </c>
      <c r="T18">
        <f>IFERROR(INDEX('Map Calc'!$D$2:$D$950,MATCH(LARGE('Map Calc'!$Q$2:$Q$950,14),'Map Calc'!$Q$2:$Q$950,0)),"")</f>
        <v>27</v>
      </c>
      <c r="V18">
        <v>1991</v>
      </c>
      <c r="W18">
        <f>COUNTIF(games!$B$2:$B$950,$V18)</f>
        <v>2</v>
      </c>
      <c r="X18">
        <f>COUNTIFS(games!$B$2:$B$950,$V18,games!$H$2:$H$950,"Yes")</f>
        <v>2</v>
      </c>
      <c r="Y18">
        <f>COUNTIF('Map Calc'!$T$2:$T$1400,$V18)</f>
        <v>2</v>
      </c>
    </row>
    <row r="19" spans="1:28" x14ac:dyDescent="0.25">
      <c r="A19" s="15" t="s">
        <v>4355</v>
      </c>
      <c r="B19" s="16">
        <f>SUMPRODUCT(('Map Calc'!$V$2:$V$1400&lt;&gt;"")*('Map Calc'!$V$2:$V$1400=0))</f>
        <v>11</v>
      </c>
      <c r="C19" s="17" t="s">
        <v>4356</v>
      </c>
      <c r="N19">
        <v>15</v>
      </c>
      <c r="O19" t="str">
        <f>IFERROR(INDEX('Map Calc'!$A$2:$A$950,MATCH(LARGE('Map Calc'!$O$2:$O$950,15),'Map Calc'!$O$2:$O$950,0)),"")</f>
        <v>Darkest Dungeon</v>
      </c>
      <c r="P19">
        <f>IFERROR(INDEX('Map Calc'!$D$2:$D$950,MATCH(LARGE('Map Calc'!$O$2:$O$950,15),'Map Calc'!$O$2:$O$950,0)),"")</f>
        <v>27</v>
      </c>
      <c r="R19">
        <v>15</v>
      </c>
      <c r="S19" t="str">
        <f>IFERROR(INDEX('Map Calc'!$A$2:$A$950,MATCH(LARGE('Map Calc'!$Q$2:$Q$950,15),'Map Calc'!$Q$2:$Q$950,0)),"")</f>
        <v>Darkest Dungeon</v>
      </c>
      <c r="T19">
        <f>IFERROR(INDEX('Map Calc'!$D$2:$D$950,MATCH(LARGE('Map Calc'!$Q$2:$Q$950,15),'Map Calc'!$Q$2:$Q$950,0)),"")</f>
        <v>27</v>
      </c>
      <c r="V19">
        <v>1992</v>
      </c>
      <c r="W19">
        <f>COUNTIF(games!$B$2:$B$950,$V19)</f>
        <v>2</v>
      </c>
      <c r="X19">
        <f>COUNTIFS(games!$B$2:$B$950,$V19,games!$H$2:$H$950,"Yes")</f>
        <v>2</v>
      </c>
      <c r="Y19">
        <f>COUNTIF('Map Calc'!$T$2:$T$1400,$V19)</f>
        <v>2</v>
      </c>
    </row>
    <row r="20" spans="1:28" x14ac:dyDescent="0.25">
      <c r="A20" s="15" t="s">
        <v>4357</v>
      </c>
      <c r="B20" s="24">
        <f>MEDIAN('Map Calc'!$V$2:$V$1400)</f>
        <v>5</v>
      </c>
      <c r="C20" s="17" t="s">
        <v>4358</v>
      </c>
      <c r="V20">
        <v>1993</v>
      </c>
      <c r="W20">
        <f>COUNTIF(games!$B$2:$B$950,$V20)</f>
        <v>2</v>
      </c>
      <c r="X20">
        <f>COUNTIFS(games!$B$2:$B$950,$V20,games!$H$2:$H$950,"Yes")</f>
        <v>1</v>
      </c>
      <c r="Y20">
        <f>COUNTIF('Map Calc'!$T$2:$T$1400,$V20)</f>
        <v>26</v>
      </c>
    </row>
    <row r="21" spans="1:28" x14ac:dyDescent="0.25">
      <c r="A21" s="15" t="s">
        <v>4359</v>
      </c>
      <c r="B21" s="25">
        <f>COUNTIF(connections!$D$2:$D$1425,"Yes")</f>
        <v>147</v>
      </c>
      <c r="C21" s="17" t="s">
        <v>4360</v>
      </c>
      <c r="V21">
        <v>1994</v>
      </c>
      <c r="W21">
        <f>COUNTIF(games!$B$2:$B$950,$V21)</f>
        <v>3</v>
      </c>
      <c r="X21">
        <f>COUNTIFS(games!$B$2:$B$950,$V21,games!$H$2:$H$950,"Yes")</f>
        <v>3</v>
      </c>
      <c r="Y21">
        <f>COUNTIF('Map Calc'!$T$2:$T$1400,$V21)</f>
        <v>22</v>
      </c>
    </row>
    <row r="22" spans="1:28" x14ac:dyDescent="0.25">
      <c r="A22" s="15" t="s">
        <v>4361</v>
      </c>
      <c r="B22" s="25">
        <f>COUNTA(connections!$E$2:$E$1425)</f>
        <v>1275</v>
      </c>
      <c r="C22" s="17" t="s">
        <v>4362</v>
      </c>
      <c r="V22">
        <v>1995</v>
      </c>
      <c r="W22">
        <f>COUNTIF(games!$B$2:$B$950,$V22)</f>
        <v>2</v>
      </c>
      <c r="X22">
        <f>COUNTIFS(games!$B$2:$B$950,$V22,games!$H$2:$H$950,"Yes")</f>
        <v>2</v>
      </c>
      <c r="Y22">
        <f>COUNTIF('Map Calc'!$T$2:$T$1400,$V22)</f>
        <v>14</v>
      </c>
    </row>
    <row r="23" spans="1:28" x14ac:dyDescent="0.25">
      <c r="A23" s="15" t="s">
        <v>4363</v>
      </c>
      <c r="B23" s="16">
        <f>COUNTIFS(games!$H$2:$H$950,"Yes",games!$J$2:$J$950,"")</f>
        <v>89</v>
      </c>
      <c r="C23" s="17" t="s">
        <v>4364</v>
      </c>
      <c r="V23">
        <v>1996</v>
      </c>
      <c r="W23">
        <f>COUNTIF(games!$B$2:$B$950,$V23)</f>
        <v>2</v>
      </c>
      <c r="X23">
        <f>COUNTIFS(games!$B$2:$B$950,$V23,games!$H$2:$H$950,"Yes")</f>
        <v>2</v>
      </c>
      <c r="Y23">
        <f>COUNTIF('Map Calc'!$T$2:$T$1400,$V23)</f>
        <v>24</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45</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82</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17</v>
      </c>
    </row>
    <row r="42" spans="22:25" x14ac:dyDescent="0.25">
      <c r="V42">
        <v>2015</v>
      </c>
      <c r="W42">
        <f>COUNTIF(games!$B$2:$B$950,$V42)</f>
        <v>21</v>
      </c>
      <c r="X42">
        <f>COUNTIFS(games!$B$2:$B$950,$V42,games!$H$2:$H$950,"Yes")</f>
        <v>14</v>
      </c>
      <c r="Y42">
        <f>COUNTIF('Map Calc'!$T$2:$T$1400,$V42)</f>
        <v>78</v>
      </c>
    </row>
    <row r="43" spans="22:25" x14ac:dyDescent="0.25">
      <c r="V43">
        <v>2016</v>
      </c>
      <c r="W43">
        <f>COUNTIF(games!$B$2:$B$950,$V43)</f>
        <v>15</v>
      </c>
      <c r="X43">
        <f>COUNTIFS(games!$B$2:$B$950,$V43,games!$H$2:$H$950,"Yes")</f>
        <v>13</v>
      </c>
      <c r="Y43">
        <f>COUNTIF('Map Calc'!$T$2:$T$1400,$V43)</f>
        <v>36</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77</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57</v>
      </c>
      <c r="Y49">
        <f>COUNTIF('Map Calc'!$T$2:$T$1400,$V49)</f>
        <v>67</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4273</v>
      </c>
      <c r="F1" t="s">
        <v>3499</v>
      </c>
      <c r="G1" t="s">
        <v>4274</v>
      </c>
      <c r="H1" t="s">
        <v>7</v>
      </c>
    </row>
    <row r="2" spans="1:8" x14ac:dyDescent="0.25">
      <c r="B2" t="s">
        <v>4275</v>
      </c>
      <c r="C2" t="s">
        <v>3745</v>
      </c>
      <c r="D2" t="s">
        <v>41</v>
      </c>
      <c r="E2" t="s">
        <v>4276</v>
      </c>
      <c r="F2" t="s">
        <v>3461</v>
      </c>
      <c r="G2" t="s">
        <v>4277</v>
      </c>
    </row>
    <row r="3" spans="1:8" x14ac:dyDescent="0.25">
      <c r="B3" t="s">
        <v>4275</v>
      </c>
      <c r="C3" t="s">
        <v>3779</v>
      </c>
      <c r="D3" t="s">
        <v>41</v>
      </c>
      <c r="E3" t="s">
        <v>4278</v>
      </c>
      <c r="G3" t="s">
        <v>4279</v>
      </c>
    </row>
    <row r="4" spans="1:8" x14ac:dyDescent="0.25">
      <c r="B4" t="s">
        <v>4275</v>
      </c>
      <c r="C4" t="s">
        <v>3793</v>
      </c>
      <c r="D4" t="s">
        <v>41</v>
      </c>
      <c r="E4" t="s">
        <v>4280</v>
      </c>
      <c r="G4" t="s">
        <v>4281</v>
      </c>
    </row>
    <row r="5" spans="1:8" x14ac:dyDescent="0.25">
      <c r="B5" t="s">
        <v>4282</v>
      </c>
      <c r="C5" t="s">
        <v>3745</v>
      </c>
      <c r="D5" t="s">
        <v>41</v>
      </c>
      <c r="E5" t="s">
        <v>4283</v>
      </c>
      <c r="F5" t="s">
        <v>3461</v>
      </c>
      <c r="G5" t="s">
        <v>4284</v>
      </c>
    </row>
    <row r="6" spans="1:8" x14ac:dyDescent="0.25">
      <c r="B6" t="s">
        <v>4282</v>
      </c>
      <c r="C6" t="s">
        <v>3779</v>
      </c>
      <c r="D6" t="s">
        <v>41</v>
      </c>
      <c r="E6" t="s">
        <v>4285</v>
      </c>
      <c r="G6" t="s">
        <v>4286</v>
      </c>
    </row>
    <row r="7" spans="1:8" x14ac:dyDescent="0.25">
      <c r="B7" t="s">
        <v>4282</v>
      </c>
      <c r="C7" t="s">
        <v>3793</v>
      </c>
      <c r="D7" t="s">
        <v>41</v>
      </c>
      <c r="E7" t="s">
        <v>4287</v>
      </c>
      <c r="G7" t="s">
        <v>4288</v>
      </c>
    </row>
    <row r="8" spans="1:8" x14ac:dyDescent="0.25">
      <c r="B8" t="s">
        <v>4289</v>
      </c>
      <c r="C8" t="s">
        <v>3745</v>
      </c>
      <c r="D8" t="s">
        <v>41</v>
      </c>
      <c r="E8" t="s">
        <v>4290</v>
      </c>
      <c r="F8" t="s">
        <v>3461</v>
      </c>
    </row>
    <row r="9" spans="1:8" x14ac:dyDescent="0.25">
      <c r="B9" t="s">
        <v>4289</v>
      </c>
      <c r="C9" t="s">
        <v>3779</v>
      </c>
      <c r="D9" t="s">
        <v>41</v>
      </c>
      <c r="E9" t="s">
        <v>4291</v>
      </c>
    </row>
    <row r="10" spans="1:8" x14ac:dyDescent="0.25">
      <c r="B10" t="s">
        <v>4289</v>
      </c>
      <c r="C10" t="s">
        <v>3793</v>
      </c>
      <c r="D10" t="s">
        <v>41</v>
      </c>
      <c r="E10" t="s">
        <v>4292</v>
      </c>
    </row>
    <row r="11" spans="1:8" x14ac:dyDescent="0.25">
      <c r="B11" t="s">
        <v>4289</v>
      </c>
      <c r="C11" t="s">
        <v>3913</v>
      </c>
      <c r="D11" t="s">
        <v>41</v>
      </c>
      <c r="E11" t="s">
        <v>4293</v>
      </c>
      <c r="G11" t="s">
        <v>4294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3737</v>
      </c>
      <c r="D1" t="s">
        <v>3740</v>
      </c>
      <c r="E1" t="s">
        <v>3741</v>
      </c>
      <c r="F1" t="s">
        <v>4295</v>
      </c>
      <c r="G1" t="s">
        <v>4234</v>
      </c>
      <c r="H1" t="s">
        <v>4296</v>
      </c>
      <c r="I1" t="s">
        <v>4297</v>
      </c>
    </row>
    <row r="2" spans="1:9" x14ac:dyDescent="0.25">
      <c r="A2" t="s">
        <v>4298</v>
      </c>
      <c r="B2" t="s">
        <v>2619</v>
      </c>
      <c r="C2" t="s">
        <v>3745</v>
      </c>
      <c r="D2" t="s">
        <v>3754</v>
      </c>
      <c r="E2" t="s">
        <v>4299</v>
      </c>
      <c r="F2" t="s">
        <v>3468</v>
      </c>
      <c r="G2" t="s">
        <v>4300</v>
      </c>
      <c r="H2" t="s">
        <v>4301</v>
      </c>
      <c r="I2" t="s">
        <v>3678</v>
      </c>
    </row>
    <row r="3" spans="1:9" x14ac:dyDescent="0.25">
      <c r="A3" t="s">
        <v>4302</v>
      </c>
      <c r="B3" t="s">
        <v>2619</v>
      </c>
      <c r="C3" t="s">
        <v>3745</v>
      </c>
      <c r="D3" t="s">
        <v>3747</v>
      </c>
      <c r="E3" t="s">
        <v>4303</v>
      </c>
      <c r="F3" t="s">
        <v>3468</v>
      </c>
      <c r="G3" t="s">
        <v>4300</v>
      </c>
      <c r="I3" t="s">
        <v>4304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7555</v>
      </c>
      <c r="B1" t="s">
        <v>7556</v>
      </c>
      <c r="C1" t="s">
        <v>7574</v>
      </c>
      <c r="D1" t="s">
        <v>7488</v>
      </c>
      <c r="E1" t="s">
        <v>7489</v>
      </c>
      <c r="F1" t="s">
        <v>7542</v>
      </c>
      <c r="G1" t="s">
        <v>7582</v>
      </c>
      <c r="H1" t="s">
        <v>7490</v>
      </c>
      <c r="I1" t="s">
        <v>7491</v>
      </c>
      <c r="J1" t="s">
        <v>7543</v>
      </c>
      <c r="K1" t="s">
        <v>7583</v>
      </c>
      <c r="L1" t="s">
        <v>7492</v>
      </c>
      <c r="M1" t="s">
        <v>7493</v>
      </c>
      <c r="N1" t="s">
        <v>7545</v>
      </c>
      <c r="O1" t="s">
        <v>7584</v>
      </c>
      <c r="P1" t="s">
        <v>7742</v>
      </c>
      <c r="Q1" t="s">
        <v>7743</v>
      </c>
      <c r="R1" t="s">
        <v>7744</v>
      </c>
      <c r="S1" t="s">
        <v>7745</v>
      </c>
      <c r="U1" t="s">
        <v>7564</v>
      </c>
      <c r="V1" t="s">
        <v>7746</v>
      </c>
      <c r="W1" t="s">
        <v>7585</v>
      </c>
    </row>
    <row r="2" spans="1:23" x14ac:dyDescent="0.25">
      <c r="A2" t="s">
        <v>7528</v>
      </c>
      <c r="B2" t="s">
        <v>7600</v>
      </c>
      <c r="C2" t="s">
        <v>4945</v>
      </c>
      <c r="D2" t="s">
        <v>7588</v>
      </c>
      <c r="E2" t="s">
        <v>7720</v>
      </c>
      <c r="F2" t="s">
        <v>7719</v>
      </c>
      <c r="G2" t="s">
        <v>7566</v>
      </c>
      <c r="U2" t="s">
        <v>3446</v>
      </c>
      <c r="V2" t="s">
        <v>7566</v>
      </c>
    </row>
    <row r="3" spans="1:23" x14ac:dyDescent="0.25">
      <c r="A3" t="s">
        <v>7507</v>
      </c>
      <c r="B3" t="s">
        <v>7600</v>
      </c>
      <c r="C3" t="s">
        <v>4945</v>
      </c>
      <c r="D3" t="s">
        <v>3683</v>
      </c>
      <c r="E3" t="s">
        <v>7765</v>
      </c>
      <c r="F3" t="s">
        <v>7719</v>
      </c>
      <c r="G3" t="s">
        <v>7566</v>
      </c>
      <c r="U3" t="s">
        <v>7550</v>
      </c>
      <c r="V3" t="s">
        <v>7566</v>
      </c>
      <c r="W3" t="s">
        <v>7596</v>
      </c>
    </row>
    <row r="4" spans="1:23" x14ac:dyDescent="0.25">
      <c r="A4" t="s">
        <v>7512</v>
      </c>
      <c r="B4" t="s">
        <v>7600</v>
      </c>
      <c r="C4" t="s">
        <v>4945</v>
      </c>
      <c r="D4" t="s">
        <v>3451</v>
      </c>
      <c r="E4" t="s">
        <v>7550</v>
      </c>
      <c r="F4" t="s">
        <v>7719</v>
      </c>
      <c r="G4" t="s">
        <v>7566</v>
      </c>
      <c r="U4" t="s">
        <v>7565</v>
      </c>
      <c r="V4" t="s">
        <v>7566</v>
      </c>
      <c r="W4" t="s">
        <v>3523</v>
      </c>
    </row>
    <row r="5" spans="1:23" x14ac:dyDescent="0.25">
      <c r="A5" t="s">
        <v>7514</v>
      </c>
      <c r="B5" t="s">
        <v>7600</v>
      </c>
      <c r="C5" t="s">
        <v>4945</v>
      </c>
      <c r="D5" t="s">
        <v>3580</v>
      </c>
      <c r="E5" t="s">
        <v>3445</v>
      </c>
      <c r="F5" t="s">
        <v>7719</v>
      </c>
      <c r="G5" t="s">
        <v>7566</v>
      </c>
      <c r="U5" t="s">
        <v>7733</v>
      </c>
      <c r="V5" t="s">
        <v>7566</v>
      </c>
      <c r="W5" t="s">
        <v>3444</v>
      </c>
    </row>
    <row r="6" spans="1:23" x14ac:dyDescent="0.25">
      <c r="A6" t="s">
        <v>7518</v>
      </c>
      <c r="B6" t="s">
        <v>7600</v>
      </c>
      <c r="C6" t="s">
        <v>4945</v>
      </c>
      <c r="D6" t="s">
        <v>3444</v>
      </c>
      <c r="E6" t="s">
        <v>7549</v>
      </c>
      <c r="F6" t="s">
        <v>7719</v>
      </c>
      <c r="G6" t="s">
        <v>7566</v>
      </c>
      <c r="U6" t="s">
        <v>7732</v>
      </c>
      <c r="V6" t="s">
        <v>7567</v>
      </c>
      <c r="W6" t="s">
        <v>3451</v>
      </c>
    </row>
    <row r="7" spans="1:23" x14ac:dyDescent="0.25">
      <c r="A7" t="s">
        <v>7524</v>
      </c>
      <c r="B7" t="s">
        <v>7600</v>
      </c>
      <c r="C7" t="s">
        <v>4945</v>
      </c>
      <c r="D7" t="s">
        <v>5427</v>
      </c>
      <c r="E7" t="s">
        <v>7721</v>
      </c>
      <c r="F7" t="s">
        <v>7719</v>
      </c>
      <c r="G7" t="s">
        <v>7566</v>
      </c>
      <c r="U7" t="s">
        <v>7721</v>
      </c>
      <c r="V7" t="s">
        <v>7566</v>
      </c>
      <c r="W7" t="s">
        <v>7587</v>
      </c>
    </row>
    <row r="8" spans="1:23" x14ac:dyDescent="0.25">
      <c r="A8" t="s">
        <v>3524</v>
      </c>
      <c r="B8" t="s">
        <v>7600</v>
      </c>
      <c r="C8" t="s">
        <v>4945</v>
      </c>
      <c r="D8" t="s">
        <v>7597</v>
      </c>
      <c r="E8" t="s">
        <v>7723</v>
      </c>
      <c r="F8" t="s">
        <v>7551</v>
      </c>
      <c r="G8" t="s">
        <v>7566</v>
      </c>
      <c r="U8" t="s">
        <v>7628</v>
      </c>
      <c r="V8" t="s">
        <v>7566</v>
      </c>
      <c r="W8" t="s">
        <v>7597</v>
      </c>
    </row>
    <row r="9" spans="1:23" x14ac:dyDescent="0.25">
      <c r="A9" t="s">
        <v>7716</v>
      </c>
      <c r="B9" t="s">
        <v>7600</v>
      </c>
      <c r="C9" t="s">
        <v>4945</v>
      </c>
      <c r="D9" t="s">
        <v>3591</v>
      </c>
      <c r="E9" t="s">
        <v>7586</v>
      </c>
      <c r="F9" t="s">
        <v>7719</v>
      </c>
      <c r="G9" t="s">
        <v>7566</v>
      </c>
      <c r="U9" t="s">
        <v>4248</v>
      </c>
      <c r="V9" t="s">
        <v>7567</v>
      </c>
      <c r="W9" t="s">
        <v>3445</v>
      </c>
    </row>
    <row r="10" spans="1:23" x14ac:dyDescent="0.25">
      <c r="A10" t="s">
        <v>7502</v>
      </c>
      <c r="B10" t="s">
        <v>7600</v>
      </c>
      <c r="C10" t="s">
        <v>4945</v>
      </c>
      <c r="D10" t="s">
        <v>3683</v>
      </c>
      <c r="E10" t="s">
        <v>7724</v>
      </c>
      <c r="F10" t="s">
        <v>7719</v>
      </c>
      <c r="G10" t="s">
        <v>7566</v>
      </c>
      <c r="U10" t="s">
        <v>3447</v>
      </c>
      <c r="V10" t="s">
        <v>7566</v>
      </c>
    </row>
    <row r="11" spans="1:23" x14ac:dyDescent="0.25">
      <c r="A11" t="s">
        <v>7521</v>
      </c>
      <c r="B11" t="s">
        <v>7600</v>
      </c>
      <c r="C11" t="s">
        <v>4945</v>
      </c>
      <c r="D11" t="s">
        <v>3444</v>
      </c>
      <c r="E11" t="s">
        <v>7549</v>
      </c>
      <c r="F11" t="s">
        <v>7719</v>
      </c>
      <c r="G11" t="s">
        <v>7566</v>
      </c>
      <c r="U11" t="s">
        <v>7754</v>
      </c>
      <c r="V11" t="s">
        <v>7567</v>
      </c>
      <c r="W11" t="s">
        <v>7587</v>
      </c>
    </row>
    <row r="12" spans="1:23" x14ac:dyDescent="0.25">
      <c r="A12" t="s">
        <v>3680</v>
      </c>
      <c r="B12" t="s">
        <v>7600</v>
      </c>
      <c r="C12" t="s">
        <v>4945</v>
      </c>
      <c r="D12" t="s">
        <v>3683</v>
      </c>
      <c r="E12" t="s">
        <v>7725</v>
      </c>
      <c r="F12" t="s">
        <v>7719</v>
      </c>
      <c r="G12" t="s">
        <v>7566</v>
      </c>
      <c r="U12" t="s">
        <v>7629</v>
      </c>
      <c r="V12" t="s">
        <v>7566</v>
      </c>
      <c r="W12" t="s">
        <v>7588</v>
      </c>
    </row>
    <row r="13" spans="1:23" x14ac:dyDescent="0.25">
      <c r="A13" t="s">
        <v>7499</v>
      </c>
      <c r="B13" t="s">
        <v>7600</v>
      </c>
      <c r="C13" t="s">
        <v>4945</v>
      </c>
      <c r="D13" t="s">
        <v>7597</v>
      </c>
      <c r="E13" t="s">
        <v>7723</v>
      </c>
      <c r="F13" t="s">
        <v>7719</v>
      </c>
      <c r="G13" t="s">
        <v>7566</v>
      </c>
      <c r="U13" t="s">
        <v>7629</v>
      </c>
      <c r="V13" t="s">
        <v>7566</v>
      </c>
      <c r="W13" t="s">
        <v>3591</v>
      </c>
    </row>
    <row r="14" spans="1:23" x14ac:dyDescent="0.25">
      <c r="A14" t="s">
        <v>7500</v>
      </c>
      <c r="B14" t="s">
        <v>7600</v>
      </c>
      <c r="C14" t="s">
        <v>4945</v>
      </c>
      <c r="D14" t="s">
        <v>3444</v>
      </c>
      <c r="E14" t="s">
        <v>7549</v>
      </c>
      <c r="F14" t="s">
        <v>7719</v>
      </c>
      <c r="G14" t="s">
        <v>7566</v>
      </c>
      <c r="U14" t="s">
        <v>7728</v>
      </c>
      <c r="V14" t="s">
        <v>7567</v>
      </c>
    </row>
    <row r="15" spans="1:23" x14ac:dyDescent="0.25">
      <c r="A15" t="s">
        <v>7504</v>
      </c>
      <c r="B15" t="s">
        <v>7600</v>
      </c>
      <c r="C15" t="s">
        <v>4945</v>
      </c>
      <c r="D15" t="s">
        <v>7598</v>
      </c>
      <c r="E15" t="s">
        <v>7593</v>
      </c>
      <c r="F15" t="s">
        <v>7719</v>
      </c>
      <c r="G15" t="s">
        <v>7566</v>
      </c>
      <c r="U15" t="s">
        <v>7755</v>
      </c>
      <c r="V15" t="s">
        <v>7567</v>
      </c>
      <c r="W15" t="s">
        <v>3591</v>
      </c>
    </row>
    <row r="16" spans="1:23" x14ac:dyDescent="0.25">
      <c r="A16" t="s">
        <v>7445</v>
      </c>
      <c r="B16" t="s">
        <v>7544</v>
      </c>
      <c r="C16" t="s">
        <v>7756</v>
      </c>
      <c r="D16" t="s">
        <v>7734</v>
      </c>
      <c r="E16" t="s">
        <v>7578</v>
      </c>
      <c r="F16" t="s">
        <v>7561</v>
      </c>
      <c r="G16" t="s">
        <v>7566</v>
      </c>
      <c r="U16" t="s">
        <v>7577</v>
      </c>
      <c r="V16" t="s">
        <v>7567</v>
      </c>
      <c r="W16" t="s">
        <v>7552</v>
      </c>
    </row>
    <row r="17" spans="1:23" x14ac:dyDescent="0.25">
      <c r="A17" t="s">
        <v>7474</v>
      </c>
      <c r="B17" t="s">
        <v>7544</v>
      </c>
      <c r="C17" t="s">
        <v>7756</v>
      </c>
      <c r="D17" t="s">
        <v>7599</v>
      </c>
      <c r="E17" t="s">
        <v>7757</v>
      </c>
      <c r="F17" t="s">
        <v>7581</v>
      </c>
      <c r="G17" t="s">
        <v>7567</v>
      </c>
      <c r="U17" t="s">
        <v>7757</v>
      </c>
      <c r="V17" t="s">
        <v>7566</v>
      </c>
      <c r="W17" t="s">
        <v>4011</v>
      </c>
    </row>
    <row r="18" spans="1:23" x14ac:dyDescent="0.25">
      <c r="A18" t="s">
        <v>7435</v>
      </c>
      <c r="B18" t="s">
        <v>7544</v>
      </c>
      <c r="C18" t="s">
        <v>7756</v>
      </c>
      <c r="D18" t="s">
        <v>5526</v>
      </c>
      <c r="E18" t="s">
        <v>7760</v>
      </c>
      <c r="F18" t="s">
        <v>7766</v>
      </c>
      <c r="G18" t="s">
        <v>7566</v>
      </c>
      <c r="U18" t="s">
        <v>7569</v>
      </c>
      <c r="V18" t="s">
        <v>7566</v>
      </c>
      <c r="W18" t="s">
        <v>7554</v>
      </c>
    </row>
    <row r="19" spans="1:23" x14ac:dyDescent="0.25">
      <c r="A19" t="s">
        <v>7405</v>
      </c>
      <c r="B19" t="s">
        <v>7544</v>
      </c>
      <c r="C19" t="s">
        <v>7756</v>
      </c>
      <c r="D19" t="s">
        <v>5526</v>
      </c>
      <c r="E19" t="s">
        <v>7754</v>
      </c>
      <c r="F19" t="s">
        <v>7761</v>
      </c>
      <c r="G19" t="s">
        <v>7566</v>
      </c>
      <c r="U19" t="s">
        <v>7578</v>
      </c>
      <c r="V19" t="s">
        <v>7566</v>
      </c>
      <c r="W19" t="s">
        <v>5427</v>
      </c>
    </row>
    <row r="20" spans="1:23" x14ac:dyDescent="0.25">
      <c r="A20" t="s">
        <v>7400</v>
      </c>
      <c r="B20" t="s">
        <v>7544</v>
      </c>
      <c r="C20" t="s">
        <v>7756</v>
      </c>
      <c r="D20" t="s">
        <v>3591</v>
      </c>
      <c r="E20" t="s">
        <v>7589</v>
      </c>
      <c r="F20" t="s">
        <v>7767</v>
      </c>
      <c r="G20" t="s">
        <v>7567</v>
      </c>
      <c r="U20" t="s">
        <v>7580</v>
      </c>
      <c r="V20" t="s">
        <v>7566</v>
      </c>
      <c r="W20" t="s">
        <v>7631</v>
      </c>
    </row>
    <row r="21" spans="1:23" x14ac:dyDescent="0.25">
      <c r="A21" t="s">
        <v>7451</v>
      </c>
      <c r="B21" t="s">
        <v>7544</v>
      </c>
      <c r="C21" t="s">
        <v>7756</v>
      </c>
      <c r="D21" t="s">
        <v>7768</v>
      </c>
      <c r="E21" t="s">
        <v>7769</v>
      </c>
      <c r="F21" t="s">
        <v>7767</v>
      </c>
      <c r="G21" t="s">
        <v>7566</v>
      </c>
      <c r="U21" t="s">
        <v>3445</v>
      </c>
      <c r="V21" t="s">
        <v>7566</v>
      </c>
    </row>
    <row r="22" spans="1:23" x14ac:dyDescent="0.25">
      <c r="A22" t="s">
        <v>7697</v>
      </c>
      <c r="B22" t="s">
        <v>7544</v>
      </c>
      <c r="C22" t="s">
        <v>7756</v>
      </c>
      <c r="D22" t="s">
        <v>3444</v>
      </c>
      <c r="E22" t="s">
        <v>7495</v>
      </c>
      <c r="F22" t="s">
        <v>7767</v>
      </c>
      <c r="G22" t="s">
        <v>7567</v>
      </c>
      <c r="U22" t="s">
        <v>7633</v>
      </c>
      <c r="V22" t="s">
        <v>7566</v>
      </c>
    </row>
    <row r="23" spans="1:23" x14ac:dyDescent="0.25">
      <c r="A23" t="s">
        <v>7700</v>
      </c>
      <c r="B23" t="s">
        <v>7544</v>
      </c>
      <c r="C23" t="s">
        <v>7756</v>
      </c>
      <c r="D23" t="s">
        <v>7599</v>
      </c>
      <c r="E23" t="s">
        <v>7728</v>
      </c>
      <c r="F23" t="s">
        <v>7761</v>
      </c>
      <c r="G23" t="s">
        <v>7566</v>
      </c>
      <c r="H23" t="s">
        <v>3591</v>
      </c>
      <c r="I23" t="s">
        <v>7589</v>
      </c>
      <c r="J23" t="s">
        <v>7561</v>
      </c>
      <c r="K23" t="s">
        <v>7566</v>
      </c>
      <c r="L23" t="s">
        <v>3580</v>
      </c>
      <c r="M23" t="s">
        <v>3445</v>
      </c>
      <c r="N23" t="s">
        <v>7561</v>
      </c>
      <c r="O23" t="s">
        <v>7566</v>
      </c>
      <c r="P23" t="s">
        <v>7590</v>
      </c>
      <c r="Q23" t="s">
        <v>7770</v>
      </c>
      <c r="R23" t="s">
        <v>7761</v>
      </c>
      <c r="S23" t="s">
        <v>7566</v>
      </c>
      <c r="U23" t="s">
        <v>7603</v>
      </c>
      <c r="V23" t="s">
        <v>7567</v>
      </c>
    </row>
    <row r="24" spans="1:23" x14ac:dyDescent="0.25">
      <c r="A24" t="s">
        <v>5205</v>
      </c>
      <c r="B24" t="s">
        <v>7544</v>
      </c>
      <c r="C24" t="s">
        <v>7756</v>
      </c>
      <c r="D24" t="s">
        <v>7599</v>
      </c>
      <c r="E24" t="s">
        <v>7755</v>
      </c>
      <c r="F24" t="s">
        <v>7761</v>
      </c>
      <c r="G24" t="s">
        <v>7567</v>
      </c>
      <c r="U24" t="s">
        <v>7604</v>
      </c>
      <c r="V24" t="s">
        <v>7566</v>
      </c>
    </row>
    <row r="25" spans="1:23" x14ac:dyDescent="0.25">
      <c r="A25" t="s">
        <v>7391</v>
      </c>
      <c r="B25" t="s">
        <v>7544</v>
      </c>
      <c r="C25" t="s">
        <v>7756</v>
      </c>
      <c r="D25" t="s">
        <v>5526</v>
      </c>
      <c r="E25" t="s">
        <v>7733</v>
      </c>
      <c r="F25" t="s">
        <v>7766</v>
      </c>
      <c r="G25" t="s">
        <v>7567</v>
      </c>
      <c r="U25" t="s">
        <v>7549</v>
      </c>
      <c r="V25" t="s">
        <v>7566</v>
      </c>
    </row>
    <row r="26" spans="1:23" x14ac:dyDescent="0.25">
      <c r="A26" t="s">
        <v>1322</v>
      </c>
      <c r="B26" t="s">
        <v>7544</v>
      </c>
      <c r="C26" t="s">
        <v>7756</v>
      </c>
      <c r="D26" t="s">
        <v>5526</v>
      </c>
      <c r="E26" t="s">
        <v>7754</v>
      </c>
      <c r="F26" t="s">
        <v>7544</v>
      </c>
      <c r="G26" t="s">
        <v>7566</v>
      </c>
      <c r="I26" t="s">
        <v>7753</v>
      </c>
      <c r="U26" t="s">
        <v>7559</v>
      </c>
      <c r="V26" t="s">
        <v>7566</v>
      </c>
    </row>
    <row r="27" spans="1:23" x14ac:dyDescent="0.25">
      <c r="A27" t="s">
        <v>7413</v>
      </c>
      <c r="B27" t="s">
        <v>7544</v>
      </c>
      <c r="C27" t="s">
        <v>7756</v>
      </c>
      <c r="D27" t="s">
        <v>7590</v>
      </c>
      <c r="E27" t="s">
        <v>4248</v>
      </c>
      <c r="F27" t="s">
        <v>7767</v>
      </c>
      <c r="G27" t="s">
        <v>7566</v>
      </c>
      <c r="U27" t="s">
        <v>7720</v>
      </c>
      <c r="V27" t="s">
        <v>7566</v>
      </c>
    </row>
    <row r="28" spans="1:23" x14ac:dyDescent="0.25">
      <c r="A28" t="s">
        <v>7428</v>
      </c>
      <c r="B28" t="s">
        <v>7544</v>
      </c>
      <c r="C28" t="s">
        <v>7756</v>
      </c>
      <c r="D28" t="s">
        <v>3461</v>
      </c>
      <c r="U28" t="s">
        <v>3454</v>
      </c>
      <c r="V28" t="s">
        <v>7566</v>
      </c>
    </row>
    <row r="29" spans="1:23" x14ac:dyDescent="0.25">
      <c r="A29" t="s">
        <v>7426</v>
      </c>
      <c r="B29" t="s">
        <v>7544</v>
      </c>
      <c r="C29" t="s">
        <v>7756</v>
      </c>
      <c r="D29" t="s">
        <v>7599</v>
      </c>
      <c r="E29" t="s">
        <v>7728</v>
      </c>
      <c r="F29" t="s">
        <v>7761</v>
      </c>
      <c r="G29" t="s">
        <v>7566</v>
      </c>
      <c r="H29" t="s">
        <v>3591</v>
      </c>
      <c r="I29" t="s">
        <v>7589</v>
      </c>
      <c r="J29" t="s">
        <v>7561</v>
      </c>
      <c r="K29" t="s">
        <v>7566</v>
      </c>
      <c r="L29" t="s">
        <v>3580</v>
      </c>
      <c r="M29" t="s">
        <v>3445</v>
      </c>
      <c r="N29" t="s">
        <v>7561</v>
      </c>
      <c r="O29" t="s">
        <v>7566</v>
      </c>
      <c r="P29" t="s">
        <v>7590</v>
      </c>
      <c r="Q29" t="s">
        <v>7770</v>
      </c>
      <c r="R29" t="s">
        <v>7761</v>
      </c>
      <c r="S29" t="s">
        <v>7566</v>
      </c>
      <c r="U29" t="s">
        <v>7589</v>
      </c>
      <c r="V29" t="s">
        <v>7566</v>
      </c>
    </row>
    <row r="30" spans="1:23" x14ac:dyDescent="0.25">
      <c r="A30" t="s">
        <v>7409</v>
      </c>
      <c r="B30" t="s">
        <v>7544</v>
      </c>
      <c r="C30" t="s">
        <v>7756</v>
      </c>
      <c r="D30" t="s">
        <v>7599</v>
      </c>
      <c r="E30" t="s">
        <v>7757</v>
      </c>
      <c r="F30" t="s">
        <v>7766</v>
      </c>
      <c r="G30" t="s">
        <v>7566</v>
      </c>
      <c r="U30" t="s">
        <v>7586</v>
      </c>
      <c r="V30" t="s">
        <v>7566</v>
      </c>
    </row>
    <row r="31" spans="1:23" x14ac:dyDescent="0.25">
      <c r="A31" t="s">
        <v>7455</v>
      </c>
      <c r="B31" t="s">
        <v>7544</v>
      </c>
      <c r="C31" t="s">
        <v>7756</v>
      </c>
      <c r="D31" t="s">
        <v>5526</v>
      </c>
      <c r="E31" t="s">
        <v>7762</v>
      </c>
      <c r="F31" t="s">
        <v>7767</v>
      </c>
      <c r="G31" t="s">
        <v>7566</v>
      </c>
      <c r="U31" t="s">
        <v>5681</v>
      </c>
      <c r="V31" t="s">
        <v>7566</v>
      </c>
    </row>
    <row r="32" spans="1:23" x14ac:dyDescent="0.25">
      <c r="A32" t="s">
        <v>7401</v>
      </c>
      <c r="B32" t="s">
        <v>7544</v>
      </c>
      <c r="C32" t="s">
        <v>7756</v>
      </c>
      <c r="D32" t="s">
        <v>7599</v>
      </c>
      <c r="E32" t="s">
        <v>7763</v>
      </c>
      <c r="F32" t="s">
        <v>7544</v>
      </c>
      <c r="G32" t="s">
        <v>7567</v>
      </c>
      <c r="U32" t="s">
        <v>7495</v>
      </c>
      <c r="V32" t="s">
        <v>7566</v>
      </c>
    </row>
    <row r="33" spans="1:22" x14ac:dyDescent="0.25">
      <c r="A33" t="s">
        <v>7415</v>
      </c>
      <c r="B33" t="s">
        <v>7544</v>
      </c>
      <c r="C33" t="s">
        <v>7756</v>
      </c>
      <c r="D33" t="s">
        <v>7590</v>
      </c>
      <c r="E33" t="s">
        <v>4248</v>
      </c>
      <c r="F33" t="s">
        <v>7767</v>
      </c>
      <c r="G33" t="s">
        <v>7566</v>
      </c>
      <c r="U33" t="s">
        <v>7593</v>
      </c>
      <c r="V33" t="s">
        <v>7566</v>
      </c>
    </row>
    <row r="34" spans="1:22" x14ac:dyDescent="0.25">
      <c r="A34" t="s">
        <v>7397</v>
      </c>
      <c r="B34" t="s">
        <v>7544</v>
      </c>
      <c r="C34" t="s">
        <v>7756</v>
      </c>
      <c r="D34" t="s">
        <v>5526</v>
      </c>
      <c r="E34" t="s">
        <v>7760</v>
      </c>
      <c r="F34" t="s">
        <v>7761</v>
      </c>
      <c r="G34" t="s">
        <v>7566</v>
      </c>
      <c r="U34" t="s">
        <v>7553</v>
      </c>
      <c r="V34" t="s">
        <v>7566</v>
      </c>
    </row>
    <row r="35" spans="1:22" x14ac:dyDescent="0.25">
      <c r="A35" t="s">
        <v>7390</v>
      </c>
      <c r="B35" t="s">
        <v>7544</v>
      </c>
      <c r="C35" t="s">
        <v>7756</v>
      </c>
      <c r="D35" t="s">
        <v>7599</v>
      </c>
      <c r="E35" t="s">
        <v>7728</v>
      </c>
      <c r="F35" t="s">
        <v>7761</v>
      </c>
      <c r="G35" t="s">
        <v>7566</v>
      </c>
      <c r="H35" t="s">
        <v>3591</v>
      </c>
      <c r="I35" t="s">
        <v>7589</v>
      </c>
      <c r="J35" t="s">
        <v>7561</v>
      </c>
      <c r="K35" t="s">
        <v>7566</v>
      </c>
      <c r="L35" t="s">
        <v>3580</v>
      </c>
      <c r="M35" t="s">
        <v>3445</v>
      </c>
      <c r="N35" t="s">
        <v>7561</v>
      </c>
      <c r="O35" t="s">
        <v>7566</v>
      </c>
      <c r="P35" t="s">
        <v>7590</v>
      </c>
      <c r="Q35" t="s">
        <v>7770</v>
      </c>
      <c r="R35" t="s">
        <v>7761</v>
      </c>
      <c r="S35" t="s">
        <v>7566</v>
      </c>
      <c r="U35" t="s">
        <v>7560</v>
      </c>
      <c r="V35" t="s">
        <v>7566</v>
      </c>
    </row>
    <row r="36" spans="1:22" x14ac:dyDescent="0.25">
      <c r="A36" t="s">
        <v>7388</v>
      </c>
      <c r="B36" t="s">
        <v>7544</v>
      </c>
      <c r="C36" t="s">
        <v>7756</v>
      </c>
      <c r="D36" t="s">
        <v>7599</v>
      </c>
      <c r="E36" t="s">
        <v>7728</v>
      </c>
      <c r="F36" t="s">
        <v>7761</v>
      </c>
      <c r="G36" t="s">
        <v>7566</v>
      </c>
      <c r="H36" t="s">
        <v>3591</v>
      </c>
      <c r="I36" t="s">
        <v>7589</v>
      </c>
      <c r="J36" t="s">
        <v>7561</v>
      </c>
      <c r="K36" t="s">
        <v>7566</v>
      </c>
      <c r="L36" t="s">
        <v>3580</v>
      </c>
      <c r="M36" t="s">
        <v>3445</v>
      </c>
      <c r="N36" t="s">
        <v>7561</v>
      </c>
      <c r="O36" t="s">
        <v>7566</v>
      </c>
      <c r="P36" t="s">
        <v>7590</v>
      </c>
      <c r="Q36" t="s">
        <v>7770</v>
      </c>
      <c r="R36" t="s">
        <v>7761</v>
      </c>
      <c r="S36" t="s">
        <v>7566</v>
      </c>
      <c r="U36" t="s">
        <v>7613</v>
      </c>
      <c r="V36" t="s">
        <v>7566</v>
      </c>
    </row>
    <row r="37" spans="1:22" x14ac:dyDescent="0.25">
      <c r="A37" t="s">
        <v>7404</v>
      </c>
      <c r="B37" t="s">
        <v>7544</v>
      </c>
      <c r="C37" t="s">
        <v>7756</v>
      </c>
      <c r="D37" t="s">
        <v>7599</v>
      </c>
      <c r="E37" t="s">
        <v>7761</v>
      </c>
      <c r="F37" t="s">
        <v>7771</v>
      </c>
      <c r="G37" t="s">
        <v>7566</v>
      </c>
      <c r="U37" t="s">
        <v>7612</v>
      </c>
      <c r="V37" t="s">
        <v>7566</v>
      </c>
    </row>
    <row r="38" spans="1:22" x14ac:dyDescent="0.25">
      <c r="A38" t="s">
        <v>5452</v>
      </c>
      <c r="B38" t="s">
        <v>7544</v>
      </c>
      <c r="C38" t="s">
        <v>7756</v>
      </c>
      <c r="D38" t="s">
        <v>7599</v>
      </c>
      <c r="E38" t="s">
        <v>7764</v>
      </c>
      <c r="F38" t="s">
        <v>7766</v>
      </c>
      <c r="G38" t="s">
        <v>7566</v>
      </c>
      <c r="U38" t="s">
        <v>7735</v>
      </c>
      <c r="V38" t="s">
        <v>7566</v>
      </c>
    </row>
    <row r="39" spans="1:22" x14ac:dyDescent="0.25">
      <c r="A39" t="s">
        <v>5265</v>
      </c>
      <c r="B39" t="s">
        <v>7544</v>
      </c>
      <c r="C39" t="s">
        <v>7756</v>
      </c>
      <c r="D39" t="s">
        <v>5526</v>
      </c>
      <c r="E39" t="s">
        <v>7606</v>
      </c>
      <c r="F39" t="s">
        <v>7761</v>
      </c>
      <c r="G39" t="s">
        <v>7566</v>
      </c>
      <c r="U39" t="s">
        <v>3450</v>
      </c>
      <c r="V39" t="s">
        <v>7566</v>
      </c>
    </row>
    <row r="40" spans="1:22" x14ac:dyDescent="0.25">
      <c r="A40" t="s">
        <v>7453</v>
      </c>
      <c r="B40" t="s">
        <v>7544</v>
      </c>
      <c r="C40" t="s">
        <v>7756</v>
      </c>
      <c r="D40" t="s">
        <v>7599</v>
      </c>
      <c r="E40" t="s">
        <v>7755</v>
      </c>
      <c r="F40" t="s">
        <v>7761</v>
      </c>
      <c r="G40" t="s">
        <v>7567</v>
      </c>
      <c r="U40" t="s">
        <v>7723</v>
      </c>
      <c r="V40" t="s">
        <v>7566</v>
      </c>
    </row>
    <row r="41" spans="1:22" x14ac:dyDescent="0.25">
      <c r="A41" t="s">
        <v>5279</v>
      </c>
      <c r="B41" t="s">
        <v>7544</v>
      </c>
      <c r="C41" t="s">
        <v>7756</v>
      </c>
      <c r="D41" t="s">
        <v>7599</v>
      </c>
      <c r="E41" t="s">
        <v>7728</v>
      </c>
      <c r="F41" t="s">
        <v>7561</v>
      </c>
      <c r="G41" t="s">
        <v>7566</v>
      </c>
      <c r="H41" t="s">
        <v>3591</v>
      </c>
      <c r="I41" t="s">
        <v>7589</v>
      </c>
      <c r="J41" t="s">
        <v>7561</v>
      </c>
      <c r="K41" t="s">
        <v>7566</v>
      </c>
      <c r="L41" t="s">
        <v>3580</v>
      </c>
      <c r="M41" t="s">
        <v>3445</v>
      </c>
      <c r="N41" t="s">
        <v>7561</v>
      </c>
      <c r="O41" t="s">
        <v>7566</v>
      </c>
      <c r="P41" t="s">
        <v>7590</v>
      </c>
      <c r="Q41" t="s">
        <v>7770</v>
      </c>
      <c r="R41" t="s">
        <v>7561</v>
      </c>
      <c r="S41" t="s">
        <v>7566</v>
      </c>
      <c r="U41" t="s">
        <v>7752</v>
      </c>
      <c r="V41" t="s">
        <v>7567</v>
      </c>
    </row>
    <row r="42" spans="1:22" x14ac:dyDescent="0.25">
      <c r="A42" t="s">
        <v>7395</v>
      </c>
      <c r="B42" t="s">
        <v>7544</v>
      </c>
      <c r="C42" t="s">
        <v>7756</v>
      </c>
      <c r="D42" t="s">
        <v>7599</v>
      </c>
      <c r="E42" t="s">
        <v>7755</v>
      </c>
      <c r="F42" t="s">
        <v>7544</v>
      </c>
      <c r="G42" t="s">
        <v>7566</v>
      </c>
      <c r="U42" t="s">
        <v>7753</v>
      </c>
      <c r="V42" t="s">
        <v>7567</v>
      </c>
    </row>
    <row r="43" spans="1:22" x14ac:dyDescent="0.25">
      <c r="A43" t="s">
        <v>7403</v>
      </c>
      <c r="B43" t="s">
        <v>7544</v>
      </c>
      <c r="C43" t="s">
        <v>7756</v>
      </c>
      <c r="D43" t="s">
        <v>7588</v>
      </c>
      <c r="E43" t="s">
        <v>7559</v>
      </c>
      <c r="F43" t="s">
        <v>7767</v>
      </c>
      <c r="G43" t="s">
        <v>7567</v>
      </c>
      <c r="H43" t="s">
        <v>3591</v>
      </c>
      <c r="I43" t="s">
        <v>7589</v>
      </c>
      <c r="J43" t="s">
        <v>7767</v>
      </c>
      <c r="K43" t="s">
        <v>7567</v>
      </c>
      <c r="L43" t="s">
        <v>3580</v>
      </c>
      <c r="M43" t="s">
        <v>3445</v>
      </c>
      <c r="N43" t="s">
        <v>7767</v>
      </c>
      <c r="O43" t="s">
        <v>7567</v>
      </c>
      <c r="U43" t="s">
        <v>7627</v>
      </c>
      <c r="V43" t="s">
        <v>7566</v>
      </c>
    </row>
    <row r="44" spans="1:22" x14ac:dyDescent="0.25">
      <c r="A44" t="s">
        <v>7383</v>
      </c>
      <c r="B44" t="s">
        <v>7544</v>
      </c>
      <c r="C44" t="s">
        <v>7756</v>
      </c>
      <c r="D44" t="s">
        <v>7599</v>
      </c>
      <c r="E44" t="s">
        <v>7757</v>
      </c>
      <c r="F44" t="s">
        <v>7761</v>
      </c>
      <c r="G44" t="s">
        <v>7566</v>
      </c>
      <c r="U44" t="s">
        <v>7606</v>
      </c>
      <c r="V44" t="s">
        <v>7567</v>
      </c>
    </row>
    <row r="45" spans="1:22" x14ac:dyDescent="0.25">
      <c r="A45" t="s">
        <v>7433</v>
      </c>
      <c r="B45" t="s">
        <v>7544</v>
      </c>
      <c r="C45" t="s">
        <v>7756</v>
      </c>
      <c r="D45" t="s">
        <v>7599</v>
      </c>
      <c r="E45" t="s">
        <v>7728</v>
      </c>
      <c r="F45" t="s">
        <v>7561</v>
      </c>
      <c r="G45" t="s">
        <v>7566</v>
      </c>
      <c r="U45" t="s">
        <v>7605</v>
      </c>
      <c r="V45" t="s">
        <v>7566</v>
      </c>
    </row>
    <row r="46" spans="1:22" x14ac:dyDescent="0.25">
      <c r="A46" t="s">
        <v>159</v>
      </c>
      <c r="B46" t="s">
        <v>7592</v>
      </c>
      <c r="C46" t="s">
        <v>0</v>
      </c>
      <c r="D46" t="s">
        <v>7598</v>
      </c>
      <c r="E46" t="s">
        <v>7593</v>
      </c>
      <c r="F46" t="s">
        <v>7594</v>
      </c>
      <c r="G46" t="s">
        <v>7566</v>
      </c>
      <c r="U46" t="s">
        <v>7729</v>
      </c>
      <c r="V46" t="s">
        <v>7566</v>
      </c>
    </row>
    <row r="47" spans="1:22" x14ac:dyDescent="0.25">
      <c r="A47" t="s">
        <v>3504</v>
      </c>
      <c r="B47" t="s">
        <v>7557</v>
      </c>
      <c r="C47" t="s">
        <v>7494</v>
      </c>
      <c r="D47" t="s">
        <v>3444</v>
      </c>
      <c r="E47" t="s">
        <v>7495</v>
      </c>
      <c r="F47" t="s">
        <v>7731</v>
      </c>
      <c r="G47" t="s">
        <v>7566</v>
      </c>
      <c r="H47" t="s">
        <v>3444</v>
      </c>
      <c r="I47" t="s">
        <v>7549</v>
      </c>
      <c r="J47" t="s">
        <v>7731</v>
      </c>
      <c r="K47" t="s">
        <v>7566</v>
      </c>
      <c r="L47" t="s">
        <v>7599</v>
      </c>
      <c r="M47" t="s">
        <v>7577</v>
      </c>
      <c r="N47" t="s">
        <v>7544</v>
      </c>
      <c r="O47" t="s">
        <v>7566</v>
      </c>
      <c r="U47" t="s">
        <v>7724</v>
      </c>
      <c r="V47" t="s">
        <v>7566</v>
      </c>
    </row>
    <row r="48" spans="1:22" x14ac:dyDescent="0.25">
      <c r="A48" t="s">
        <v>3511</v>
      </c>
      <c r="B48" t="s">
        <v>7557</v>
      </c>
      <c r="C48" t="s">
        <v>7494</v>
      </c>
      <c r="D48" t="s">
        <v>7597</v>
      </c>
      <c r="E48" t="s">
        <v>7722</v>
      </c>
      <c r="F48" t="s">
        <v>7546</v>
      </c>
      <c r="G48" t="s">
        <v>7566</v>
      </c>
      <c r="U48" t="s">
        <v>7730</v>
      </c>
      <c r="V48" t="s">
        <v>7566</v>
      </c>
    </row>
    <row r="49" spans="1:22" x14ac:dyDescent="0.25">
      <c r="A49" t="s">
        <v>3516</v>
      </c>
      <c r="B49" t="s">
        <v>7557</v>
      </c>
      <c r="C49" t="s">
        <v>7494</v>
      </c>
      <c r="D49" t="s">
        <v>3523</v>
      </c>
      <c r="E49" t="s">
        <v>3446</v>
      </c>
      <c r="F49" t="s">
        <v>7731</v>
      </c>
      <c r="G49" t="s">
        <v>7566</v>
      </c>
      <c r="U49" t="s">
        <v>7725</v>
      </c>
      <c r="V49" t="s">
        <v>7566</v>
      </c>
    </row>
    <row r="50" spans="1:22" x14ac:dyDescent="0.25">
      <c r="A50" t="s">
        <v>3525</v>
      </c>
      <c r="B50" t="s">
        <v>7557</v>
      </c>
      <c r="C50" t="s">
        <v>7494</v>
      </c>
      <c r="D50" t="s">
        <v>5526</v>
      </c>
      <c r="E50" t="s">
        <v>7627</v>
      </c>
      <c r="F50" t="s">
        <v>3526</v>
      </c>
      <c r="G50" t="s">
        <v>7566</v>
      </c>
      <c r="H50" t="s">
        <v>7588</v>
      </c>
      <c r="I50" t="s">
        <v>7559</v>
      </c>
      <c r="J50" t="s">
        <v>7547</v>
      </c>
      <c r="K50" t="s">
        <v>7567</v>
      </c>
      <c r="U50" t="s">
        <v>7765</v>
      </c>
      <c r="V50" t="s">
        <v>7567</v>
      </c>
    </row>
    <row r="51" spans="1:22" x14ac:dyDescent="0.25">
      <c r="A51" t="s">
        <v>3531</v>
      </c>
      <c r="B51" t="s">
        <v>7572</v>
      </c>
      <c r="C51" t="s">
        <v>7494</v>
      </c>
      <c r="D51" t="s">
        <v>3444</v>
      </c>
      <c r="E51" t="s">
        <v>7495</v>
      </c>
      <c r="F51" t="s">
        <v>7731</v>
      </c>
      <c r="G51" t="s">
        <v>7566</v>
      </c>
      <c r="H51" t="s">
        <v>3444</v>
      </c>
      <c r="I51" t="s">
        <v>7549</v>
      </c>
      <c r="J51" t="s">
        <v>7731</v>
      </c>
      <c r="K51" t="s">
        <v>7566</v>
      </c>
      <c r="U51" t="s">
        <v>7722</v>
      </c>
      <c r="V51" t="s">
        <v>7566</v>
      </c>
    </row>
    <row r="52" spans="1:22" x14ac:dyDescent="0.25">
      <c r="A52" t="s">
        <v>3536</v>
      </c>
      <c r="B52" t="s">
        <v>7557</v>
      </c>
      <c r="C52" t="s">
        <v>7494</v>
      </c>
      <c r="D52" t="s">
        <v>3451</v>
      </c>
      <c r="E52" t="s">
        <v>7550</v>
      </c>
      <c r="F52" t="s">
        <v>7731</v>
      </c>
      <c r="G52" t="s">
        <v>7566</v>
      </c>
      <c r="H52" t="s">
        <v>3444</v>
      </c>
      <c r="I52" t="s">
        <v>7549</v>
      </c>
      <c r="J52" t="s">
        <v>7548</v>
      </c>
      <c r="K52" t="s">
        <v>7566</v>
      </c>
      <c r="U52" t="s">
        <v>3449</v>
      </c>
      <c r="V52" t="s">
        <v>7566</v>
      </c>
    </row>
    <row r="53" spans="1:22" x14ac:dyDescent="0.25">
      <c r="A53" t="s">
        <v>3542</v>
      </c>
      <c r="B53" t="s">
        <v>7557</v>
      </c>
      <c r="C53" t="s">
        <v>7494</v>
      </c>
      <c r="D53" t="s">
        <v>3451</v>
      </c>
      <c r="E53" t="s">
        <v>7550</v>
      </c>
      <c r="F53" t="s">
        <v>7731</v>
      </c>
      <c r="G53" t="s">
        <v>7566</v>
      </c>
      <c r="H53" t="s">
        <v>3451</v>
      </c>
      <c r="I53" t="s">
        <v>7565</v>
      </c>
      <c r="J53" t="s">
        <v>3526</v>
      </c>
      <c r="K53" t="s">
        <v>7566</v>
      </c>
      <c r="U53" t="s">
        <v>7625</v>
      </c>
      <c r="V53" t="s">
        <v>7566</v>
      </c>
    </row>
    <row r="54" spans="1:22" x14ac:dyDescent="0.25">
      <c r="A54" t="s">
        <v>3470</v>
      </c>
      <c r="B54" t="s">
        <v>3549</v>
      </c>
      <c r="C54" t="s">
        <v>7494</v>
      </c>
      <c r="D54" t="s">
        <v>3444</v>
      </c>
      <c r="E54" t="s">
        <v>7549</v>
      </c>
      <c r="F54" t="s">
        <v>7551</v>
      </c>
      <c r="G54" t="s">
        <v>7566</v>
      </c>
      <c r="U54" t="s">
        <v>7727</v>
      </c>
      <c r="V54" t="s">
        <v>7566</v>
      </c>
    </row>
    <row r="55" spans="1:22" x14ac:dyDescent="0.25">
      <c r="A55" t="s">
        <v>3553</v>
      </c>
      <c r="B55" t="s">
        <v>7557</v>
      </c>
      <c r="C55" t="s">
        <v>7494</v>
      </c>
      <c r="D55" t="s">
        <v>5526</v>
      </c>
      <c r="E55" t="s">
        <v>7627</v>
      </c>
      <c r="F55" t="s">
        <v>3526</v>
      </c>
      <c r="G55" t="s">
        <v>7566</v>
      </c>
      <c r="H55" t="s">
        <v>7552</v>
      </c>
      <c r="I55" t="s">
        <v>7553</v>
      </c>
      <c r="J55" t="s">
        <v>7731</v>
      </c>
      <c r="K55" t="s">
        <v>7566</v>
      </c>
      <c r="U55" t="s">
        <v>7756</v>
      </c>
      <c r="V55" t="s">
        <v>7567</v>
      </c>
    </row>
    <row r="56" spans="1:22" x14ac:dyDescent="0.25">
      <c r="A56" t="s">
        <v>3560</v>
      </c>
      <c r="B56" t="s">
        <v>7558</v>
      </c>
      <c r="C56" t="s">
        <v>7494</v>
      </c>
      <c r="D56" t="s">
        <v>7590</v>
      </c>
      <c r="E56" t="s">
        <v>4248</v>
      </c>
      <c r="F56" t="s">
        <v>7731</v>
      </c>
      <c r="G56" t="s">
        <v>7566</v>
      </c>
      <c r="H56" t="s">
        <v>7588</v>
      </c>
      <c r="I56" t="s">
        <v>7559</v>
      </c>
      <c r="J56" t="s">
        <v>7731</v>
      </c>
      <c r="K56" t="s">
        <v>7566</v>
      </c>
      <c r="U56" t="s">
        <v>7602</v>
      </c>
      <c r="V56" t="s">
        <v>7566</v>
      </c>
    </row>
    <row r="57" spans="1:22" x14ac:dyDescent="0.25">
      <c r="A57" t="s">
        <v>7364</v>
      </c>
      <c r="B57" t="s">
        <v>7557</v>
      </c>
      <c r="C57" t="s">
        <v>7494</v>
      </c>
      <c r="D57" t="s">
        <v>7554</v>
      </c>
      <c r="E57" t="s">
        <v>7560</v>
      </c>
      <c r="F57" t="s">
        <v>7731</v>
      </c>
      <c r="G57" t="s">
        <v>7566</v>
      </c>
      <c r="U57" t="s">
        <v>7760</v>
      </c>
      <c r="V57" t="s">
        <v>7567</v>
      </c>
    </row>
    <row r="58" spans="1:22" x14ac:dyDescent="0.25">
      <c r="A58" t="s">
        <v>3566</v>
      </c>
      <c r="B58" t="s">
        <v>7557</v>
      </c>
      <c r="C58" t="s">
        <v>7494</v>
      </c>
      <c r="D58" t="s">
        <v>3444</v>
      </c>
      <c r="E58" t="s">
        <v>7549</v>
      </c>
      <c r="F58" t="s">
        <v>7561</v>
      </c>
      <c r="G58" t="s">
        <v>7566</v>
      </c>
      <c r="U58" t="s">
        <v>7762</v>
      </c>
      <c r="V58" t="s">
        <v>7567</v>
      </c>
    </row>
    <row r="59" spans="1:22" x14ac:dyDescent="0.25">
      <c r="A59" t="s">
        <v>3572</v>
      </c>
      <c r="B59" t="s">
        <v>7557</v>
      </c>
      <c r="C59" t="s">
        <v>7494</v>
      </c>
      <c r="D59" t="s">
        <v>3523</v>
      </c>
      <c r="E59" t="s">
        <v>5681</v>
      </c>
      <c r="F59" t="s">
        <v>3526</v>
      </c>
      <c r="G59" t="s">
        <v>7566</v>
      </c>
      <c r="U59" t="s">
        <v>7763</v>
      </c>
      <c r="V59" t="s">
        <v>7566</v>
      </c>
    </row>
    <row r="60" spans="1:22" x14ac:dyDescent="0.25">
      <c r="A60" t="s">
        <v>3576</v>
      </c>
      <c r="B60" t="s">
        <v>7557</v>
      </c>
      <c r="C60" t="s">
        <v>7494</v>
      </c>
      <c r="D60" t="s">
        <v>7590</v>
      </c>
      <c r="E60" t="s">
        <v>3454</v>
      </c>
      <c r="F60" t="s">
        <v>7563</v>
      </c>
      <c r="G60" t="s">
        <v>7566</v>
      </c>
      <c r="U60" t="s">
        <v>7761</v>
      </c>
      <c r="V60" t="s">
        <v>7567</v>
      </c>
    </row>
    <row r="61" spans="1:22" x14ac:dyDescent="0.25">
      <c r="A61" t="s">
        <v>3581</v>
      </c>
      <c r="B61" t="s">
        <v>7557</v>
      </c>
      <c r="C61" t="s">
        <v>7494</v>
      </c>
      <c r="D61" t="s">
        <v>7599</v>
      </c>
      <c r="E61" t="s">
        <v>7569</v>
      </c>
      <c r="F61" t="s">
        <v>7568</v>
      </c>
      <c r="G61" t="s">
        <v>7566</v>
      </c>
      <c r="U61" t="s">
        <v>7764</v>
      </c>
      <c r="V61" t="s">
        <v>7567</v>
      </c>
    </row>
    <row r="62" spans="1:22" x14ac:dyDescent="0.25">
      <c r="A62" t="s">
        <v>3474</v>
      </c>
      <c r="B62" t="s">
        <v>7562</v>
      </c>
      <c r="C62" t="s">
        <v>7494</v>
      </c>
      <c r="D62" t="s">
        <v>3523</v>
      </c>
      <c r="E62" t="s">
        <v>3450</v>
      </c>
      <c r="F62" t="s">
        <v>7568</v>
      </c>
      <c r="G62" t="s">
        <v>7566</v>
      </c>
      <c r="U62" t="s">
        <v>7769</v>
      </c>
      <c r="V62" t="s">
        <v>7567</v>
      </c>
    </row>
    <row r="63" spans="1:22" x14ac:dyDescent="0.25">
      <c r="A63" t="s">
        <v>3587</v>
      </c>
      <c r="B63" t="s">
        <v>7557</v>
      </c>
      <c r="C63" t="s">
        <v>7494</v>
      </c>
      <c r="D63" t="s">
        <v>3591</v>
      </c>
      <c r="E63" t="s">
        <v>7586</v>
      </c>
      <c r="F63" t="s">
        <v>7570</v>
      </c>
      <c r="G63" t="s">
        <v>7566</v>
      </c>
      <c r="U63" t="s">
        <v>7770</v>
      </c>
      <c r="V63" t="s">
        <v>7567</v>
      </c>
    </row>
    <row r="64" spans="1:22" x14ac:dyDescent="0.25">
      <c r="A64" t="s">
        <v>3592</v>
      </c>
      <c r="B64" t="s">
        <v>7557</v>
      </c>
      <c r="C64" t="s">
        <v>7494</v>
      </c>
      <c r="D64" t="s">
        <v>3523</v>
      </c>
      <c r="E64" t="s">
        <v>5681</v>
      </c>
      <c r="F64" t="s">
        <v>3526</v>
      </c>
      <c r="G64" t="s">
        <v>7566</v>
      </c>
      <c r="H64" t="s">
        <v>7588</v>
      </c>
      <c r="I64" t="s">
        <v>7559</v>
      </c>
      <c r="J64" t="s">
        <v>7547</v>
      </c>
      <c r="K64" t="s">
        <v>7567</v>
      </c>
    </row>
    <row r="65" spans="1:11" x14ac:dyDescent="0.25">
      <c r="A65" t="s">
        <v>131</v>
      </c>
      <c r="B65" t="s">
        <v>7571</v>
      </c>
      <c r="C65" t="s">
        <v>7494</v>
      </c>
      <c r="D65" t="s">
        <v>3580</v>
      </c>
      <c r="E65" t="s">
        <v>3445</v>
      </c>
      <c r="F65" t="s">
        <v>7561</v>
      </c>
      <c r="G65" t="s">
        <v>7566</v>
      </c>
    </row>
    <row r="66" spans="1:11" x14ac:dyDescent="0.25">
      <c r="A66" t="s">
        <v>3600</v>
      </c>
      <c r="B66" t="s">
        <v>7557</v>
      </c>
      <c r="C66" t="s">
        <v>7494</v>
      </c>
      <c r="D66" t="s">
        <v>3444</v>
      </c>
      <c r="E66" t="s">
        <v>7495</v>
      </c>
      <c r="F66" t="s">
        <v>7731</v>
      </c>
      <c r="G66" t="s">
        <v>7566</v>
      </c>
    </row>
    <row r="67" spans="1:11" x14ac:dyDescent="0.25">
      <c r="A67" t="s">
        <v>3604</v>
      </c>
      <c r="B67" t="s">
        <v>7557</v>
      </c>
      <c r="C67" t="s">
        <v>7494</v>
      </c>
      <c r="D67" t="s">
        <v>3451</v>
      </c>
      <c r="E67" t="s">
        <v>7550</v>
      </c>
      <c r="F67" t="s">
        <v>7731</v>
      </c>
      <c r="G67" t="s">
        <v>7566</v>
      </c>
      <c r="H67" t="s">
        <v>7734</v>
      </c>
      <c r="I67" t="s">
        <v>7578</v>
      </c>
      <c r="J67" t="s">
        <v>7548</v>
      </c>
      <c r="K67" t="s">
        <v>7566</v>
      </c>
    </row>
    <row r="68" spans="1:11" x14ac:dyDescent="0.25">
      <c r="A68" t="s">
        <v>3608</v>
      </c>
      <c r="B68" t="s">
        <v>7572</v>
      </c>
      <c r="C68" t="s">
        <v>7494</v>
      </c>
      <c r="D68" t="s">
        <v>3444</v>
      </c>
      <c r="E68" t="s">
        <v>7549</v>
      </c>
      <c r="F68" t="s">
        <v>7731</v>
      </c>
      <c r="G68" t="s">
        <v>7567</v>
      </c>
      <c r="H68" t="s">
        <v>3580</v>
      </c>
      <c r="I68" t="s">
        <v>3445</v>
      </c>
      <c r="J68" t="s">
        <v>7568</v>
      </c>
      <c r="K68" t="s">
        <v>7566</v>
      </c>
    </row>
    <row r="69" spans="1:11" x14ac:dyDescent="0.25">
      <c r="A69" t="s">
        <v>3613</v>
      </c>
      <c r="B69" t="s">
        <v>7557</v>
      </c>
      <c r="C69" t="s">
        <v>7494</v>
      </c>
      <c r="D69" t="s">
        <v>3585</v>
      </c>
      <c r="E69" t="s">
        <v>7580</v>
      </c>
      <c r="F69" t="s">
        <v>7551</v>
      </c>
      <c r="G69" t="s">
        <v>7566</v>
      </c>
    </row>
    <row r="70" spans="1:11" x14ac:dyDescent="0.25">
      <c r="A70" t="s">
        <v>3616</v>
      </c>
      <c r="B70" t="s">
        <v>7558</v>
      </c>
      <c r="C70" t="s">
        <v>7494</v>
      </c>
      <c r="D70" t="s">
        <v>7588</v>
      </c>
      <c r="E70" t="s">
        <v>7559</v>
      </c>
      <c r="F70" t="s">
        <v>7601</v>
      </c>
      <c r="G70" t="s">
        <v>7566</v>
      </c>
    </row>
    <row r="71" spans="1:11" x14ac:dyDescent="0.25">
      <c r="A71" t="s">
        <v>3621</v>
      </c>
      <c r="B71" t="s">
        <v>7557</v>
      </c>
      <c r="C71" t="s">
        <v>7494</v>
      </c>
      <c r="D71" t="s">
        <v>3523</v>
      </c>
      <c r="E71" t="s">
        <v>5681</v>
      </c>
      <c r="F71" t="s">
        <v>3526</v>
      </c>
      <c r="G71" t="s">
        <v>7566</v>
      </c>
      <c r="H71" t="s">
        <v>7552</v>
      </c>
      <c r="I71" t="s">
        <v>7602</v>
      </c>
      <c r="J71" t="s">
        <v>3526</v>
      </c>
      <c r="K71" t="s">
        <v>7566</v>
      </c>
    </row>
    <row r="72" spans="1:11" x14ac:dyDescent="0.25">
      <c r="A72" t="s">
        <v>3626</v>
      </c>
      <c r="B72" t="s">
        <v>7557</v>
      </c>
      <c r="C72" t="s">
        <v>7494</v>
      </c>
      <c r="D72" t="s">
        <v>3523</v>
      </c>
      <c r="E72" t="s">
        <v>5681</v>
      </c>
      <c r="F72" t="s">
        <v>3526</v>
      </c>
      <c r="G72" t="s">
        <v>7566</v>
      </c>
      <c r="H72" t="s">
        <v>7588</v>
      </c>
      <c r="I72" t="s">
        <v>7559</v>
      </c>
      <c r="J72" t="s">
        <v>7547</v>
      </c>
      <c r="K72" t="s">
        <v>7567</v>
      </c>
    </row>
    <row r="73" spans="1:11" x14ac:dyDescent="0.25">
      <c r="A73" t="s">
        <v>3631</v>
      </c>
      <c r="B73" t="s">
        <v>7557</v>
      </c>
      <c r="C73" t="s">
        <v>7494</v>
      </c>
      <c r="D73" t="s">
        <v>3444</v>
      </c>
      <c r="E73" t="s">
        <v>7495</v>
      </c>
      <c r="F73" t="s">
        <v>7731</v>
      </c>
      <c r="G73" t="s">
        <v>7566</v>
      </c>
      <c r="H73" t="s">
        <v>3444</v>
      </c>
      <c r="I73" t="s">
        <v>7549</v>
      </c>
      <c r="J73" t="s">
        <v>7731</v>
      </c>
      <c r="K73" t="s">
        <v>7566</v>
      </c>
    </row>
    <row r="74" spans="1:11" x14ac:dyDescent="0.25">
      <c r="A74" t="s">
        <v>3634</v>
      </c>
      <c r="B74" t="s">
        <v>7557</v>
      </c>
      <c r="C74" t="s">
        <v>7494</v>
      </c>
      <c r="D74" t="s">
        <v>3444</v>
      </c>
      <c r="E74" t="s">
        <v>7495</v>
      </c>
      <c r="F74" t="s">
        <v>7731</v>
      </c>
      <c r="G74" t="s">
        <v>7566</v>
      </c>
      <c r="H74" t="s">
        <v>3444</v>
      </c>
      <c r="I74" t="s">
        <v>7549</v>
      </c>
      <c r="J74" t="s">
        <v>7731</v>
      </c>
      <c r="K74" t="s">
        <v>7566</v>
      </c>
    </row>
    <row r="75" spans="1:11" x14ac:dyDescent="0.25">
      <c r="A75" t="s">
        <v>3638</v>
      </c>
      <c r="B75" t="s">
        <v>7557</v>
      </c>
      <c r="C75" t="s">
        <v>7494</v>
      </c>
      <c r="D75" t="s">
        <v>3444</v>
      </c>
      <c r="E75" t="s">
        <v>7549</v>
      </c>
      <c r="F75" t="s">
        <v>7551</v>
      </c>
      <c r="G75" t="s">
        <v>7566</v>
      </c>
    </row>
    <row r="76" spans="1:11" x14ac:dyDescent="0.25">
      <c r="A76" t="s">
        <v>3643</v>
      </c>
      <c r="B76" t="s">
        <v>7557</v>
      </c>
      <c r="C76" t="s">
        <v>7494</v>
      </c>
      <c r="D76" t="s">
        <v>3585</v>
      </c>
      <c r="E76" t="s">
        <v>7603</v>
      </c>
      <c r="F76" t="s">
        <v>7731</v>
      </c>
      <c r="G76" t="s">
        <v>7566</v>
      </c>
      <c r="H76" t="s">
        <v>3585</v>
      </c>
      <c r="I76" t="s">
        <v>7604</v>
      </c>
      <c r="J76" t="s">
        <v>7731</v>
      </c>
      <c r="K76" t="s">
        <v>7566</v>
      </c>
    </row>
    <row r="77" spans="1:11" x14ac:dyDescent="0.25">
      <c r="A77" t="s">
        <v>3648</v>
      </c>
      <c r="B77" t="s">
        <v>7557</v>
      </c>
      <c r="C77" t="s">
        <v>7494</v>
      </c>
      <c r="D77" t="s">
        <v>7552</v>
      </c>
      <c r="E77" t="s">
        <v>7553</v>
      </c>
      <c r="F77" t="s">
        <v>7568</v>
      </c>
      <c r="G77" t="s">
        <v>7566</v>
      </c>
    </row>
    <row r="78" spans="1:11" x14ac:dyDescent="0.25">
      <c r="A78" t="s">
        <v>3653</v>
      </c>
      <c r="B78" t="s">
        <v>7557</v>
      </c>
      <c r="C78" t="s">
        <v>7494</v>
      </c>
      <c r="D78" t="s">
        <v>7552</v>
      </c>
      <c r="E78" t="s">
        <v>7553</v>
      </c>
      <c r="F78" t="s">
        <v>7731</v>
      </c>
      <c r="G78" t="s">
        <v>7566</v>
      </c>
    </row>
    <row r="79" spans="1:11" x14ac:dyDescent="0.25">
      <c r="A79" t="s">
        <v>3658</v>
      </c>
      <c r="B79" t="s">
        <v>7557</v>
      </c>
      <c r="C79" t="s">
        <v>7494</v>
      </c>
      <c r="D79" t="s">
        <v>5526</v>
      </c>
      <c r="E79" t="s">
        <v>7629</v>
      </c>
      <c r="F79" t="s">
        <v>3526</v>
      </c>
      <c r="G79" t="s">
        <v>7566</v>
      </c>
    </row>
    <row r="80" spans="1:11" x14ac:dyDescent="0.25">
      <c r="A80" t="s">
        <v>4748</v>
      </c>
      <c r="B80" t="s">
        <v>7557</v>
      </c>
      <c r="C80" t="s">
        <v>7494</v>
      </c>
      <c r="D80" t="s">
        <v>3580</v>
      </c>
      <c r="E80" t="s">
        <v>3445</v>
      </c>
      <c r="F80" t="s">
        <v>7731</v>
      </c>
      <c r="G80" t="s">
        <v>7566</v>
      </c>
    </row>
    <row r="81" spans="1:15" x14ac:dyDescent="0.25">
      <c r="A81" t="s">
        <v>3664</v>
      </c>
      <c r="B81" t="s">
        <v>7558</v>
      </c>
      <c r="C81" t="s">
        <v>7494</v>
      </c>
      <c r="D81" t="s">
        <v>5526</v>
      </c>
      <c r="E81" t="s">
        <v>7606</v>
      </c>
      <c r="F81" t="s">
        <v>3526</v>
      </c>
      <c r="G81" t="s">
        <v>7566</v>
      </c>
      <c r="H81" t="s">
        <v>3585</v>
      </c>
      <c r="I81" t="s">
        <v>7604</v>
      </c>
      <c r="J81" t="s">
        <v>7731</v>
      </c>
      <c r="K81" t="s">
        <v>7566</v>
      </c>
    </row>
    <row r="82" spans="1:15" x14ac:dyDescent="0.25">
      <c r="A82" t="s">
        <v>3668</v>
      </c>
      <c r="B82" t="s">
        <v>7557</v>
      </c>
      <c r="C82" t="s">
        <v>7494</v>
      </c>
      <c r="D82" t="s">
        <v>3580</v>
      </c>
      <c r="E82" t="s">
        <v>3445</v>
      </c>
      <c r="F82" t="s">
        <v>7607</v>
      </c>
      <c r="G82" t="s">
        <v>7566</v>
      </c>
    </row>
    <row r="83" spans="1:15" x14ac:dyDescent="0.25">
      <c r="A83" t="s">
        <v>3484</v>
      </c>
      <c r="B83" t="s">
        <v>7608</v>
      </c>
      <c r="C83" t="s">
        <v>7494</v>
      </c>
      <c r="D83" t="s">
        <v>3444</v>
      </c>
      <c r="E83" t="s">
        <v>7549</v>
      </c>
      <c r="F83" t="s">
        <v>7551</v>
      </c>
      <c r="G83" t="s">
        <v>7566</v>
      </c>
    </row>
    <row r="84" spans="1:15" x14ac:dyDescent="0.25">
      <c r="A84" t="s">
        <v>3674</v>
      </c>
      <c r="B84" t="s">
        <v>7557</v>
      </c>
      <c r="C84" t="s">
        <v>7494</v>
      </c>
      <c r="D84" t="s">
        <v>7734</v>
      </c>
      <c r="E84" t="s">
        <v>7578</v>
      </c>
      <c r="F84" t="s">
        <v>7568</v>
      </c>
      <c r="G84" t="s">
        <v>7566</v>
      </c>
    </row>
    <row r="85" spans="1:15" x14ac:dyDescent="0.25">
      <c r="A85" t="s">
        <v>7366</v>
      </c>
      <c r="B85" t="s">
        <v>7557</v>
      </c>
      <c r="C85" t="s">
        <v>7494</v>
      </c>
      <c r="D85" t="s">
        <v>5526</v>
      </c>
      <c r="E85" t="s">
        <v>7605</v>
      </c>
      <c r="F85" t="s">
        <v>7609</v>
      </c>
      <c r="G85" t="s">
        <v>7566</v>
      </c>
    </row>
    <row r="86" spans="1:15" x14ac:dyDescent="0.25">
      <c r="A86" t="s">
        <v>7375</v>
      </c>
      <c r="B86" t="s">
        <v>7557</v>
      </c>
      <c r="C86" t="s">
        <v>7494</v>
      </c>
      <c r="D86" t="s">
        <v>7597</v>
      </c>
      <c r="E86" t="s">
        <v>7722</v>
      </c>
      <c r="F86" t="s">
        <v>7610</v>
      </c>
      <c r="G86" t="s">
        <v>7566</v>
      </c>
    </row>
    <row r="87" spans="1:15" x14ac:dyDescent="0.25">
      <c r="A87" t="s">
        <v>3684</v>
      </c>
      <c r="B87" t="s">
        <v>7558</v>
      </c>
      <c r="C87" t="s">
        <v>7494</v>
      </c>
      <c r="D87" t="s">
        <v>7611</v>
      </c>
      <c r="E87" t="s">
        <v>7612</v>
      </c>
      <c r="F87" t="s">
        <v>3526</v>
      </c>
      <c r="G87" t="s">
        <v>7567</v>
      </c>
      <c r="H87" t="s">
        <v>3585</v>
      </c>
      <c r="I87" t="s">
        <v>7604</v>
      </c>
      <c r="J87" t="s">
        <v>7731</v>
      </c>
      <c r="K87" t="s">
        <v>7566</v>
      </c>
    </row>
    <row r="88" spans="1:15" x14ac:dyDescent="0.25">
      <c r="A88" t="s">
        <v>3688</v>
      </c>
      <c r="B88" t="s">
        <v>7558</v>
      </c>
      <c r="C88" t="s">
        <v>7494</v>
      </c>
      <c r="D88" t="s">
        <v>7554</v>
      </c>
      <c r="E88" t="s">
        <v>7613</v>
      </c>
      <c r="F88" t="s">
        <v>3526</v>
      </c>
      <c r="G88" t="s">
        <v>7566</v>
      </c>
    </row>
    <row r="89" spans="1:15" x14ac:dyDescent="0.25">
      <c r="A89" t="s">
        <v>3693</v>
      </c>
      <c r="B89" t="s">
        <v>7557</v>
      </c>
      <c r="C89" t="s">
        <v>7494</v>
      </c>
      <c r="D89" t="s">
        <v>3523</v>
      </c>
      <c r="E89" t="s">
        <v>3449</v>
      </c>
      <c r="F89" t="s">
        <v>7614</v>
      </c>
      <c r="G89" t="s">
        <v>7566</v>
      </c>
    </row>
    <row r="90" spans="1:15" x14ac:dyDescent="0.25">
      <c r="A90" t="s">
        <v>3697</v>
      </c>
      <c r="B90" t="s">
        <v>7557</v>
      </c>
      <c r="C90" t="s">
        <v>7494</v>
      </c>
      <c r="D90" t="s">
        <v>7734</v>
      </c>
      <c r="E90" t="s">
        <v>7578</v>
      </c>
      <c r="F90" t="s">
        <v>7568</v>
      </c>
      <c r="G90" t="s">
        <v>7566</v>
      </c>
    </row>
    <row r="91" spans="1:15" x14ac:dyDescent="0.25">
      <c r="A91" t="s">
        <v>3702</v>
      </c>
      <c r="B91" t="s">
        <v>7557</v>
      </c>
      <c r="C91" t="s">
        <v>7494</v>
      </c>
      <c r="D91" t="s">
        <v>3451</v>
      </c>
      <c r="E91" t="s">
        <v>7550</v>
      </c>
      <c r="F91" t="s">
        <v>7731</v>
      </c>
      <c r="G91" t="s">
        <v>7566</v>
      </c>
      <c r="H91" t="s">
        <v>7734</v>
      </c>
      <c r="I91" t="s">
        <v>7625</v>
      </c>
      <c r="J91" t="s">
        <v>7548</v>
      </c>
      <c r="K91" t="s">
        <v>7566</v>
      </c>
    </row>
    <row r="92" spans="1:15" x14ac:dyDescent="0.25">
      <c r="A92" t="s">
        <v>3705</v>
      </c>
      <c r="B92" t="s">
        <v>7557</v>
      </c>
      <c r="C92" t="s">
        <v>7494</v>
      </c>
      <c r="D92" t="s">
        <v>3444</v>
      </c>
      <c r="E92" t="s">
        <v>7495</v>
      </c>
      <c r="F92" t="s">
        <v>7731</v>
      </c>
      <c r="G92" t="s">
        <v>7566</v>
      </c>
      <c r="H92" t="s">
        <v>3444</v>
      </c>
      <c r="I92" t="s">
        <v>7549</v>
      </c>
      <c r="J92" t="s">
        <v>7731</v>
      </c>
      <c r="K92" t="s">
        <v>7566</v>
      </c>
      <c r="L92" t="s">
        <v>3523</v>
      </c>
      <c r="M92" t="s">
        <v>3446</v>
      </c>
      <c r="N92" t="s">
        <v>7731</v>
      </c>
      <c r="O92" t="s">
        <v>7566</v>
      </c>
    </row>
    <row r="93" spans="1:15" x14ac:dyDescent="0.25">
      <c r="A93" t="s">
        <v>3710</v>
      </c>
      <c r="B93" t="s">
        <v>7557</v>
      </c>
      <c r="C93" t="s">
        <v>7494</v>
      </c>
      <c r="D93" t="s">
        <v>3523</v>
      </c>
      <c r="E93" t="s">
        <v>3446</v>
      </c>
      <c r="F93" t="s">
        <v>7731</v>
      </c>
      <c r="G93" t="s">
        <v>7566</v>
      </c>
      <c r="H93" t="s">
        <v>5526</v>
      </c>
      <c r="I93" t="s">
        <v>7627</v>
      </c>
      <c r="J93" t="s">
        <v>3526</v>
      </c>
      <c r="K93" t="s">
        <v>7566</v>
      </c>
    </row>
    <row r="94" spans="1:15" x14ac:dyDescent="0.25">
      <c r="A94" t="s">
        <v>3715</v>
      </c>
      <c r="B94" t="s">
        <v>7557</v>
      </c>
      <c r="C94" t="s">
        <v>7494</v>
      </c>
      <c r="D94" t="s">
        <v>7557</v>
      </c>
      <c r="E94" t="s">
        <v>7628</v>
      </c>
      <c r="F94" t="s">
        <v>3526</v>
      </c>
      <c r="G94" t="s">
        <v>7566</v>
      </c>
    </row>
    <row r="95" spans="1:15" x14ac:dyDescent="0.25">
      <c r="A95" t="s">
        <v>3719</v>
      </c>
      <c r="B95" t="s">
        <v>7557</v>
      </c>
      <c r="C95" t="s">
        <v>7494</v>
      </c>
      <c r="D95" t="s">
        <v>7588</v>
      </c>
      <c r="E95" t="s">
        <v>7559</v>
      </c>
      <c r="F95" t="s">
        <v>7592</v>
      </c>
      <c r="G95" t="s">
        <v>7566</v>
      </c>
    </row>
    <row r="96" spans="1:15" x14ac:dyDescent="0.25">
      <c r="A96" t="s">
        <v>3724</v>
      </c>
      <c r="B96" t="s">
        <v>7557</v>
      </c>
      <c r="C96" t="s">
        <v>7494</v>
      </c>
      <c r="D96" t="s">
        <v>5526</v>
      </c>
      <c r="E96" t="s">
        <v>7605</v>
      </c>
      <c r="F96" t="s">
        <v>3526</v>
      </c>
      <c r="G96" t="s">
        <v>7566</v>
      </c>
    </row>
    <row r="97" spans="1:15" x14ac:dyDescent="0.25">
      <c r="A97" t="s">
        <v>7369</v>
      </c>
      <c r="B97" t="s">
        <v>7557</v>
      </c>
      <c r="C97" t="s">
        <v>7494</v>
      </c>
      <c r="D97" t="s">
        <v>7554</v>
      </c>
      <c r="E97" t="s">
        <v>7560</v>
      </c>
      <c r="F97" t="s">
        <v>7592</v>
      </c>
      <c r="G97" t="s">
        <v>7566</v>
      </c>
    </row>
    <row r="98" spans="1:15" x14ac:dyDescent="0.25">
      <c r="A98" t="s">
        <v>3732</v>
      </c>
      <c r="B98" t="s">
        <v>7557</v>
      </c>
      <c r="C98" t="s">
        <v>7494</v>
      </c>
      <c r="D98" t="s">
        <v>3580</v>
      </c>
      <c r="E98" t="s">
        <v>3445</v>
      </c>
      <c r="F98" t="s">
        <v>7568</v>
      </c>
      <c r="G98" t="s">
        <v>7566</v>
      </c>
    </row>
    <row r="99" spans="1:15" x14ac:dyDescent="0.25">
      <c r="A99" t="s">
        <v>4236</v>
      </c>
      <c r="B99" t="s">
        <v>7759</v>
      </c>
      <c r="C99" t="s">
        <v>7576</v>
      </c>
      <c r="D99" t="s">
        <v>3580</v>
      </c>
      <c r="E99" t="s">
        <v>3445</v>
      </c>
      <c r="F99" t="s">
        <v>7595</v>
      </c>
      <c r="G99" t="s">
        <v>7566</v>
      </c>
      <c r="H99" t="s">
        <v>3444</v>
      </c>
      <c r="I99" t="s">
        <v>7549</v>
      </c>
      <c r="J99" t="s">
        <v>7591</v>
      </c>
      <c r="K99" t="s">
        <v>7567</v>
      </c>
      <c r="L99" t="s">
        <v>3444</v>
      </c>
      <c r="M99" t="s">
        <v>7549</v>
      </c>
      <c r="N99" t="s">
        <v>7548</v>
      </c>
      <c r="O99" t="s">
        <v>7566</v>
      </c>
    </row>
    <row r="100" spans="1:15" x14ac:dyDescent="0.25">
      <c r="A100" t="s">
        <v>4243</v>
      </c>
      <c r="B100" t="s">
        <v>7758</v>
      </c>
      <c r="C100" t="s">
        <v>7576</v>
      </c>
      <c r="D100" t="s">
        <v>3580</v>
      </c>
      <c r="E100" t="s">
        <v>3445</v>
      </c>
      <c r="F100" t="s">
        <v>7591</v>
      </c>
      <c r="G100" t="s">
        <v>7567</v>
      </c>
      <c r="H100" t="s">
        <v>3580</v>
      </c>
      <c r="I100" t="s">
        <v>3445</v>
      </c>
      <c r="J100" t="s">
        <v>7548</v>
      </c>
      <c r="K100" t="s">
        <v>7566</v>
      </c>
    </row>
    <row r="101" spans="1:15" x14ac:dyDescent="0.25">
      <c r="A101" t="s">
        <v>4133</v>
      </c>
      <c r="B101" t="s">
        <v>7600</v>
      </c>
      <c r="C101" t="s">
        <v>7541</v>
      </c>
      <c r="D101" t="s">
        <v>7630</v>
      </c>
      <c r="E101" t="s">
        <v>7735</v>
      </c>
      <c r="F101" t="s">
        <v>7736</v>
      </c>
      <c r="G101" t="s">
        <v>7566</v>
      </c>
    </row>
    <row r="102" spans="1:15" x14ac:dyDescent="0.25">
      <c r="A102" t="s">
        <v>4025</v>
      </c>
      <c r="B102" t="s">
        <v>7600</v>
      </c>
      <c r="C102" t="s">
        <v>7541</v>
      </c>
      <c r="D102" t="s">
        <v>7590</v>
      </c>
      <c r="E102" t="s">
        <v>4248</v>
      </c>
      <c r="F102" t="s">
        <v>7736</v>
      </c>
      <c r="G102" t="s">
        <v>7566</v>
      </c>
      <c r="H102" t="s">
        <v>3591</v>
      </c>
      <c r="I102" t="s">
        <v>7727</v>
      </c>
      <c r="J102" t="s">
        <v>7736</v>
      </c>
      <c r="K102" t="s">
        <v>7567</v>
      </c>
    </row>
    <row r="103" spans="1:15" x14ac:dyDescent="0.25">
      <c r="A103" t="s">
        <v>4144</v>
      </c>
      <c r="B103" t="s">
        <v>7600</v>
      </c>
      <c r="C103" t="s">
        <v>7541</v>
      </c>
      <c r="D103" t="s">
        <v>3444</v>
      </c>
      <c r="E103" t="s">
        <v>7549</v>
      </c>
      <c r="F103" t="s">
        <v>7736</v>
      </c>
      <c r="G103" t="s">
        <v>7567</v>
      </c>
    </row>
    <row r="104" spans="1:15" x14ac:dyDescent="0.25">
      <c r="A104" t="s">
        <v>4155</v>
      </c>
      <c r="B104" t="s">
        <v>7600</v>
      </c>
      <c r="C104" t="s">
        <v>7541</v>
      </c>
      <c r="D104" t="s">
        <v>7597</v>
      </c>
      <c r="E104" t="s">
        <v>7723</v>
      </c>
      <c r="F104" t="s">
        <v>7736</v>
      </c>
      <c r="G104" t="s">
        <v>7566</v>
      </c>
    </row>
    <row r="105" spans="1:15" x14ac:dyDescent="0.25">
      <c r="A105" t="s">
        <v>4150</v>
      </c>
      <c r="B105" t="s">
        <v>7600</v>
      </c>
      <c r="C105" t="s">
        <v>7541</v>
      </c>
      <c r="D105" t="s">
        <v>3444</v>
      </c>
      <c r="E105" t="s">
        <v>7549</v>
      </c>
      <c r="F105" t="s">
        <v>7736</v>
      </c>
      <c r="G105" t="s">
        <v>7566</v>
      </c>
    </row>
    <row r="106" spans="1:15" x14ac:dyDescent="0.25">
      <c r="A106" t="s">
        <v>4139</v>
      </c>
      <c r="B106" t="s">
        <v>7600</v>
      </c>
      <c r="C106" t="s">
        <v>7541</v>
      </c>
      <c r="D106" t="s">
        <v>3444</v>
      </c>
      <c r="E106" t="s">
        <v>7495</v>
      </c>
      <c r="F106" t="s">
        <v>7736</v>
      </c>
      <c r="G106" t="s">
        <v>7567</v>
      </c>
    </row>
    <row r="107" spans="1:15" x14ac:dyDescent="0.25">
      <c r="A107" t="s">
        <v>4136</v>
      </c>
      <c r="B107" t="s">
        <v>7600</v>
      </c>
      <c r="C107" t="s">
        <v>7541</v>
      </c>
      <c r="D107" t="s">
        <v>3444</v>
      </c>
      <c r="E107" t="s">
        <v>7495</v>
      </c>
      <c r="F107" t="s">
        <v>7736</v>
      </c>
      <c r="G107" t="s">
        <v>7566</v>
      </c>
    </row>
    <row r="108" spans="1:15" x14ac:dyDescent="0.25">
      <c r="A108" t="s">
        <v>4125</v>
      </c>
      <c r="B108" t="s">
        <v>7600</v>
      </c>
      <c r="C108" t="s">
        <v>7541</v>
      </c>
      <c r="D108" t="s">
        <v>3523</v>
      </c>
      <c r="E108" t="s">
        <v>5681</v>
      </c>
      <c r="F108" t="s">
        <v>7736</v>
      </c>
      <c r="G108" t="s">
        <v>7567</v>
      </c>
    </row>
    <row r="109" spans="1:15" x14ac:dyDescent="0.25">
      <c r="A109" t="s">
        <v>4121</v>
      </c>
      <c r="B109" t="s">
        <v>7600</v>
      </c>
      <c r="C109" t="s">
        <v>7541</v>
      </c>
      <c r="D109" t="s">
        <v>3523</v>
      </c>
      <c r="E109" t="s">
        <v>5681</v>
      </c>
      <c r="F109" t="s">
        <v>7736</v>
      </c>
      <c r="G109" t="s">
        <v>7566</v>
      </c>
    </row>
    <row r="110" spans="1:15" x14ac:dyDescent="0.25">
      <c r="A110" t="s">
        <v>4130</v>
      </c>
      <c r="B110" t="s">
        <v>7600</v>
      </c>
      <c r="C110" t="s">
        <v>7541</v>
      </c>
      <c r="D110" t="s">
        <v>3683</v>
      </c>
      <c r="E110" t="s">
        <v>7730</v>
      </c>
      <c r="F110" t="s">
        <v>7736</v>
      </c>
      <c r="G110" t="s">
        <v>7566</v>
      </c>
    </row>
    <row r="111" spans="1:15" x14ac:dyDescent="0.25">
      <c r="A111" t="s">
        <v>4166</v>
      </c>
      <c r="B111" t="s">
        <v>7600</v>
      </c>
      <c r="C111" t="s">
        <v>7740</v>
      </c>
      <c r="D111" t="s">
        <v>7597</v>
      </c>
      <c r="E111" t="s">
        <v>7723</v>
      </c>
      <c r="F111" t="s">
        <v>7609</v>
      </c>
      <c r="G111" t="s">
        <v>7566</v>
      </c>
      <c r="H111" t="s">
        <v>7599</v>
      </c>
      <c r="I111" t="s">
        <v>7752</v>
      </c>
      <c r="J111" t="s">
        <v>7751</v>
      </c>
      <c r="K111" t="s">
        <v>7566</v>
      </c>
    </row>
    <row r="112" spans="1:15" x14ac:dyDescent="0.25">
      <c r="A112" t="s">
        <v>4186</v>
      </c>
      <c r="B112" t="s">
        <v>7600</v>
      </c>
      <c r="C112" t="s">
        <v>7740</v>
      </c>
      <c r="D112" t="s">
        <v>5526</v>
      </c>
      <c r="E112" t="s">
        <v>7629</v>
      </c>
      <c r="F112" t="s">
        <v>7609</v>
      </c>
      <c r="G112" t="s">
        <v>7566</v>
      </c>
      <c r="H112" t="s">
        <v>5526</v>
      </c>
      <c r="I112" t="s">
        <v>7754</v>
      </c>
      <c r="J112" t="s">
        <v>7751</v>
      </c>
      <c r="K112" t="s">
        <v>7566</v>
      </c>
    </row>
    <row r="113" spans="1:19" x14ac:dyDescent="0.25">
      <c r="A113" t="s">
        <v>4198</v>
      </c>
      <c r="B113" t="s">
        <v>7600</v>
      </c>
      <c r="C113" t="s">
        <v>7740</v>
      </c>
      <c r="D113" t="s">
        <v>3444</v>
      </c>
      <c r="E113" t="s">
        <v>7549</v>
      </c>
      <c r="F113" t="s">
        <v>7609</v>
      </c>
      <c r="G113" t="s">
        <v>7567</v>
      </c>
      <c r="H113" t="s">
        <v>7599</v>
      </c>
      <c r="I113" t="s">
        <v>7755</v>
      </c>
      <c r="J113" t="s">
        <v>7751</v>
      </c>
      <c r="K113" t="s">
        <v>7567</v>
      </c>
    </row>
    <row r="114" spans="1:19" x14ac:dyDescent="0.25">
      <c r="A114" t="s">
        <v>4164</v>
      </c>
      <c r="B114" t="s">
        <v>7600</v>
      </c>
      <c r="C114" t="s">
        <v>7740</v>
      </c>
      <c r="D114" t="s">
        <v>5526</v>
      </c>
      <c r="E114" t="s">
        <v>7732</v>
      </c>
      <c r="F114" t="s">
        <v>7609</v>
      </c>
      <c r="G114" t="s">
        <v>7566</v>
      </c>
      <c r="H114" t="s">
        <v>5526</v>
      </c>
      <c r="I114" t="s">
        <v>7733</v>
      </c>
      <c r="J114" t="s">
        <v>7751</v>
      </c>
      <c r="K114" t="s">
        <v>7566</v>
      </c>
      <c r="L114" t="s">
        <v>7734</v>
      </c>
      <c r="M114" t="s">
        <v>7578</v>
      </c>
      <c r="N114" t="s">
        <v>7751</v>
      </c>
      <c r="O114" t="s">
        <v>7566</v>
      </c>
    </row>
    <row r="115" spans="1:19" x14ac:dyDescent="0.25">
      <c r="A115" t="s">
        <v>4176</v>
      </c>
      <c r="B115" t="s">
        <v>7600</v>
      </c>
      <c r="C115" t="s">
        <v>7740</v>
      </c>
      <c r="D115" t="s">
        <v>5526</v>
      </c>
      <c r="E115" t="s">
        <v>7605</v>
      </c>
      <c r="F115" t="s">
        <v>7609</v>
      </c>
      <c r="G115" t="s">
        <v>7566</v>
      </c>
      <c r="H115" t="s">
        <v>5526</v>
      </c>
      <c r="I115" t="s">
        <v>7606</v>
      </c>
      <c r="J115" t="s">
        <v>7751</v>
      </c>
      <c r="K115" t="s">
        <v>7566</v>
      </c>
    </row>
    <row r="116" spans="1:19" x14ac:dyDescent="0.25">
      <c r="A116" t="s">
        <v>4182</v>
      </c>
      <c r="B116" t="s">
        <v>7600</v>
      </c>
      <c r="C116" t="s">
        <v>7740</v>
      </c>
      <c r="D116" t="s">
        <v>3444</v>
      </c>
      <c r="E116" t="s">
        <v>7495</v>
      </c>
      <c r="F116" t="s">
        <v>7609</v>
      </c>
      <c r="G116" t="s">
        <v>7566</v>
      </c>
      <c r="H116" t="s">
        <v>7599</v>
      </c>
      <c r="I116" t="s">
        <v>7577</v>
      </c>
      <c r="J116" t="s">
        <v>7751</v>
      </c>
      <c r="K116" t="s">
        <v>7566</v>
      </c>
    </row>
    <row r="117" spans="1:19" x14ac:dyDescent="0.25">
      <c r="A117" t="s">
        <v>4204</v>
      </c>
      <c r="B117" t="s">
        <v>7600</v>
      </c>
      <c r="C117" t="s">
        <v>7740</v>
      </c>
      <c r="D117" t="s">
        <v>5526</v>
      </c>
      <c r="E117" t="s">
        <v>7605</v>
      </c>
      <c r="F117" t="s">
        <v>7609</v>
      </c>
      <c r="G117" t="s">
        <v>7566</v>
      </c>
      <c r="H117" t="s">
        <v>5526</v>
      </c>
      <c r="I117" t="s">
        <v>7629</v>
      </c>
      <c r="J117" t="s">
        <v>7609</v>
      </c>
      <c r="K117" t="s">
        <v>7566</v>
      </c>
      <c r="L117" t="s">
        <v>5526</v>
      </c>
      <c r="M117" t="s">
        <v>7606</v>
      </c>
      <c r="N117" t="s">
        <v>7751</v>
      </c>
      <c r="O117" t="s">
        <v>7566</v>
      </c>
      <c r="P117" t="s">
        <v>5526</v>
      </c>
      <c r="Q117" t="s">
        <v>7754</v>
      </c>
      <c r="R117" t="s">
        <v>7751</v>
      </c>
      <c r="S117" t="s">
        <v>7566</v>
      </c>
    </row>
    <row r="118" spans="1:19" x14ac:dyDescent="0.25">
      <c r="A118" t="s">
        <v>4219</v>
      </c>
      <c r="B118" t="s">
        <v>7600</v>
      </c>
      <c r="C118" t="s">
        <v>7740</v>
      </c>
      <c r="D118" t="s">
        <v>3444</v>
      </c>
      <c r="E118" t="s">
        <v>7549</v>
      </c>
      <c r="F118" t="s">
        <v>7609</v>
      </c>
      <c r="G118" t="s">
        <v>7566</v>
      </c>
      <c r="H118" t="s">
        <v>7599</v>
      </c>
      <c r="I118" t="s">
        <v>7755</v>
      </c>
      <c r="J118" t="s">
        <v>7751</v>
      </c>
      <c r="K118" t="s">
        <v>7566</v>
      </c>
    </row>
    <row r="119" spans="1:19" x14ac:dyDescent="0.25">
      <c r="A119" t="s">
        <v>4224</v>
      </c>
      <c r="B119" t="s">
        <v>7600</v>
      </c>
      <c r="C119" t="s">
        <v>7740</v>
      </c>
      <c r="D119" t="s">
        <v>5526</v>
      </c>
      <c r="E119" t="s">
        <v>7627</v>
      </c>
      <c r="F119" t="s">
        <v>7609</v>
      </c>
      <c r="G119" t="s">
        <v>7566</v>
      </c>
      <c r="H119" t="s">
        <v>5526</v>
      </c>
      <c r="I119" t="s">
        <v>7753</v>
      </c>
      <c r="J119" t="s">
        <v>7751</v>
      </c>
      <c r="K119" t="s">
        <v>7566</v>
      </c>
    </row>
    <row r="120" spans="1:19" x14ac:dyDescent="0.25">
      <c r="A120" t="s">
        <v>4210</v>
      </c>
      <c r="B120" t="s">
        <v>7600</v>
      </c>
      <c r="C120" t="s">
        <v>7740</v>
      </c>
      <c r="D120" t="s">
        <v>3444</v>
      </c>
      <c r="E120" t="s">
        <v>7549</v>
      </c>
      <c r="F120" t="s">
        <v>7609</v>
      </c>
      <c r="G120" t="s">
        <v>7566</v>
      </c>
      <c r="H120" t="s">
        <v>7599</v>
      </c>
      <c r="I120" t="s">
        <v>7755</v>
      </c>
      <c r="J120" t="s">
        <v>7751</v>
      </c>
      <c r="K120" t="s">
        <v>7566</v>
      </c>
    </row>
    <row r="121" spans="1:19" x14ac:dyDescent="0.25">
      <c r="A121" t="s">
        <v>4215</v>
      </c>
      <c r="B121" t="s">
        <v>7600</v>
      </c>
      <c r="C121" t="s">
        <v>7740</v>
      </c>
      <c r="D121" t="s">
        <v>7590</v>
      </c>
      <c r="E121" t="s">
        <v>3454</v>
      </c>
      <c r="F121" t="s">
        <v>7609</v>
      </c>
      <c r="G121" t="s">
        <v>7566</v>
      </c>
    </row>
    <row r="122" spans="1:19" x14ac:dyDescent="0.25">
      <c r="A122" t="s">
        <v>4229</v>
      </c>
      <c r="B122" t="s">
        <v>7600</v>
      </c>
      <c r="C122" t="s">
        <v>7740</v>
      </c>
      <c r="D122" t="s">
        <v>3444</v>
      </c>
      <c r="E122" t="s">
        <v>7549</v>
      </c>
      <c r="F122" t="s">
        <v>7609</v>
      </c>
      <c r="G122" t="s">
        <v>7567</v>
      </c>
      <c r="H122" t="s">
        <v>7599</v>
      </c>
      <c r="I122" t="s">
        <v>7755</v>
      </c>
      <c r="J122" t="s">
        <v>7751</v>
      </c>
      <c r="K122" t="s">
        <v>7567</v>
      </c>
    </row>
    <row r="123" spans="1:19" x14ac:dyDescent="0.25">
      <c r="A123" t="s">
        <v>4232</v>
      </c>
      <c r="B123" t="s">
        <v>7600</v>
      </c>
      <c r="C123" t="s">
        <v>7740</v>
      </c>
      <c r="D123" t="s">
        <v>3461</v>
      </c>
    </row>
    <row r="124" spans="1:19" x14ac:dyDescent="0.25">
      <c r="A124" t="s">
        <v>4170</v>
      </c>
      <c r="B124" t="s">
        <v>7600</v>
      </c>
      <c r="C124" t="s">
        <v>7740</v>
      </c>
      <c r="D124" t="s">
        <v>5526</v>
      </c>
      <c r="E124" t="s">
        <v>7629</v>
      </c>
      <c r="F124" t="s">
        <v>7609</v>
      </c>
      <c r="G124" t="s">
        <v>7566</v>
      </c>
      <c r="H124" t="s">
        <v>5526</v>
      </c>
      <c r="I124" t="s">
        <v>7754</v>
      </c>
      <c r="J124" t="s">
        <v>7751</v>
      </c>
      <c r="K124" t="s">
        <v>7566</v>
      </c>
    </row>
    <row r="125" spans="1:19" x14ac:dyDescent="0.25">
      <c r="A125" t="s">
        <v>4192</v>
      </c>
      <c r="B125" t="s">
        <v>7600</v>
      </c>
      <c r="C125" t="s">
        <v>7740</v>
      </c>
      <c r="D125" t="s">
        <v>5526</v>
      </c>
      <c r="E125" t="s">
        <v>7605</v>
      </c>
      <c r="F125" t="s">
        <v>7609</v>
      </c>
      <c r="G125" t="s">
        <v>7566</v>
      </c>
      <c r="H125" t="s">
        <v>5526</v>
      </c>
      <c r="I125" t="s">
        <v>7606</v>
      </c>
      <c r="J125" t="s">
        <v>7751</v>
      </c>
      <c r="K125" t="s">
        <v>7566</v>
      </c>
    </row>
    <row r="126" spans="1:19" x14ac:dyDescent="0.25">
      <c r="A126" t="s">
        <v>3451</v>
      </c>
      <c r="B126" t="s">
        <v>7626</v>
      </c>
      <c r="C126" t="s">
        <v>7596</v>
      </c>
      <c r="D126" t="s">
        <v>7599</v>
      </c>
      <c r="E126" t="s">
        <v>7755</v>
      </c>
      <c r="F126" t="s">
        <v>7548</v>
      </c>
      <c r="G126" t="s">
        <v>7567</v>
      </c>
    </row>
    <row r="127" spans="1:19" x14ac:dyDescent="0.25">
      <c r="A127" t="s">
        <v>4016</v>
      </c>
      <c r="B127" t="s">
        <v>7600</v>
      </c>
      <c r="C127" t="s">
        <v>7739</v>
      </c>
      <c r="D127" t="s">
        <v>5526</v>
      </c>
      <c r="E127" t="s">
        <v>7606</v>
      </c>
      <c r="F127" t="s">
        <v>7726</v>
      </c>
      <c r="G127" t="s">
        <v>7566</v>
      </c>
    </row>
    <row r="128" spans="1:19" x14ac:dyDescent="0.25">
      <c r="A128" t="s">
        <v>4022</v>
      </c>
      <c r="B128" t="s">
        <v>7600</v>
      </c>
      <c r="C128" t="s">
        <v>7739</v>
      </c>
      <c r="D128" t="s">
        <v>3591</v>
      </c>
      <c r="E128" t="s">
        <v>7727</v>
      </c>
      <c r="F128" t="s">
        <v>7726</v>
      </c>
      <c r="G128" t="s">
        <v>7567</v>
      </c>
    </row>
    <row r="129" spans="1:15" x14ac:dyDescent="0.25">
      <c r="A129" t="s">
        <v>4028</v>
      </c>
      <c r="B129" t="s">
        <v>7600</v>
      </c>
      <c r="C129" t="s">
        <v>7739</v>
      </c>
      <c r="D129" t="s">
        <v>7599</v>
      </c>
      <c r="E129" t="s">
        <v>7728</v>
      </c>
      <c r="F129" t="s">
        <v>7726</v>
      </c>
      <c r="G129" t="s">
        <v>7566</v>
      </c>
    </row>
    <row r="130" spans="1:15" x14ac:dyDescent="0.25">
      <c r="A130" t="s">
        <v>4051</v>
      </c>
      <c r="B130" t="s">
        <v>7600</v>
      </c>
      <c r="C130" t="s">
        <v>7739</v>
      </c>
      <c r="D130" t="s">
        <v>5526</v>
      </c>
      <c r="E130" t="s">
        <v>7732</v>
      </c>
      <c r="F130" t="s">
        <v>7726</v>
      </c>
      <c r="G130" t="s">
        <v>7566</v>
      </c>
      <c r="H130" t="s">
        <v>5526</v>
      </c>
      <c r="I130" t="s">
        <v>7733</v>
      </c>
      <c r="J130" t="s">
        <v>7726</v>
      </c>
      <c r="K130" t="s">
        <v>7566</v>
      </c>
      <c r="L130" t="s">
        <v>7734</v>
      </c>
      <c r="M130" t="s">
        <v>7578</v>
      </c>
      <c r="N130" t="s">
        <v>7726</v>
      </c>
      <c r="O130" t="s">
        <v>7566</v>
      </c>
    </row>
    <row r="131" spans="1:15" x14ac:dyDescent="0.25">
      <c r="A131" t="s">
        <v>4033</v>
      </c>
      <c r="B131" t="s">
        <v>7600</v>
      </c>
      <c r="C131" t="s">
        <v>7739</v>
      </c>
      <c r="D131" t="s">
        <v>3591</v>
      </c>
      <c r="E131" t="s">
        <v>7727</v>
      </c>
      <c r="F131" t="s">
        <v>7726</v>
      </c>
      <c r="G131" t="s">
        <v>7566</v>
      </c>
    </row>
    <row r="132" spans="1:15" x14ac:dyDescent="0.25">
      <c r="A132" t="s">
        <v>4056</v>
      </c>
      <c r="B132" t="s">
        <v>7600</v>
      </c>
      <c r="C132" t="s">
        <v>7739</v>
      </c>
      <c r="D132" t="s">
        <v>7590</v>
      </c>
      <c r="E132" t="s">
        <v>4248</v>
      </c>
      <c r="F132" t="s">
        <v>7726</v>
      </c>
      <c r="G132" t="s">
        <v>7567</v>
      </c>
    </row>
    <row r="133" spans="1:15" x14ac:dyDescent="0.25">
      <c r="A133" t="s">
        <v>4040</v>
      </c>
      <c r="B133" t="s">
        <v>7600</v>
      </c>
      <c r="C133" t="s">
        <v>7739</v>
      </c>
      <c r="D133" t="s">
        <v>5526</v>
      </c>
      <c r="E133" t="s">
        <v>7729</v>
      </c>
      <c r="F133" t="s">
        <v>7726</v>
      </c>
      <c r="G133" t="s">
        <v>7566</v>
      </c>
    </row>
    <row r="134" spans="1:15" x14ac:dyDescent="0.25">
      <c r="A134" t="s">
        <v>4044</v>
      </c>
      <c r="B134" t="s">
        <v>7600</v>
      </c>
      <c r="C134" t="s">
        <v>7739</v>
      </c>
      <c r="D134" t="s">
        <v>3683</v>
      </c>
      <c r="E134" t="s">
        <v>7730</v>
      </c>
      <c r="F134" t="s">
        <v>7726</v>
      </c>
      <c r="G134" t="s">
        <v>7566</v>
      </c>
    </row>
    <row r="135" spans="1:15" x14ac:dyDescent="0.25">
      <c r="A135" t="s">
        <v>4268</v>
      </c>
      <c r="B135" t="s">
        <v>7575</v>
      </c>
      <c r="C135" t="s">
        <v>7579</v>
      </c>
      <c r="D135" t="s">
        <v>7599</v>
      </c>
      <c r="E135" t="s">
        <v>7755</v>
      </c>
      <c r="F135" t="s">
        <v>7581</v>
      </c>
      <c r="G135" t="s">
        <v>7567</v>
      </c>
    </row>
    <row r="136" spans="1:15" x14ac:dyDescent="0.25">
      <c r="A136" t="s">
        <v>7664</v>
      </c>
      <c r="B136" t="s">
        <v>7600</v>
      </c>
      <c r="C136" t="s">
        <v>7741</v>
      </c>
      <c r="D136" t="s">
        <v>7599</v>
      </c>
      <c r="E136" t="s">
        <v>7756</v>
      </c>
      <c r="F136" t="s">
        <v>7632</v>
      </c>
      <c r="G136" t="s">
        <v>7567</v>
      </c>
    </row>
    <row r="137" spans="1:15" x14ac:dyDescent="0.25">
      <c r="A137" t="s">
        <v>7639</v>
      </c>
      <c r="B137" t="s">
        <v>7600</v>
      </c>
      <c r="C137" t="s">
        <v>7741</v>
      </c>
      <c r="D137" t="s">
        <v>7599</v>
      </c>
      <c r="E137" t="s">
        <v>7728</v>
      </c>
      <c r="F137" t="s">
        <v>7632</v>
      </c>
      <c r="G137" t="s">
        <v>7566</v>
      </c>
    </row>
    <row r="138" spans="1:15" x14ac:dyDescent="0.25">
      <c r="A138" t="s">
        <v>7666</v>
      </c>
      <c r="B138" t="s">
        <v>7600</v>
      </c>
      <c r="C138" t="s">
        <v>7741</v>
      </c>
      <c r="D138" t="s">
        <v>7599</v>
      </c>
      <c r="E138" t="s">
        <v>7755</v>
      </c>
      <c r="F138" t="s">
        <v>7632</v>
      </c>
      <c r="G138" t="s">
        <v>7567</v>
      </c>
    </row>
    <row r="139" spans="1:15" x14ac:dyDescent="0.25">
      <c r="A139" t="s">
        <v>7637</v>
      </c>
      <c r="B139" t="s">
        <v>7600</v>
      </c>
      <c r="C139" t="s">
        <v>7741</v>
      </c>
      <c r="D139" t="s">
        <v>5526</v>
      </c>
      <c r="E139" t="s">
        <v>7733</v>
      </c>
      <c r="F139" t="s">
        <v>7632</v>
      </c>
      <c r="G139" t="s">
        <v>7566</v>
      </c>
      <c r="H139" t="s">
        <v>7734</v>
      </c>
      <c r="I139" t="s">
        <v>7578</v>
      </c>
      <c r="J139" t="s">
        <v>7632</v>
      </c>
      <c r="K139" t="s">
        <v>7566</v>
      </c>
    </row>
    <row r="140" spans="1:15" x14ac:dyDescent="0.25">
      <c r="A140" t="s">
        <v>7662</v>
      </c>
      <c r="B140" t="s">
        <v>7600</v>
      </c>
      <c r="C140" t="s">
        <v>7741</v>
      </c>
      <c r="D140" t="s">
        <v>5526</v>
      </c>
      <c r="E140" t="s">
        <v>7753</v>
      </c>
      <c r="F140" t="s">
        <v>7632</v>
      </c>
      <c r="G140" t="s">
        <v>7566</v>
      </c>
    </row>
    <row r="141" spans="1:15" x14ac:dyDescent="0.25">
      <c r="A141" t="s">
        <v>7661</v>
      </c>
      <c r="B141" t="s">
        <v>7600</v>
      </c>
      <c r="C141" t="s">
        <v>7741</v>
      </c>
      <c r="D141" t="s">
        <v>7599</v>
      </c>
      <c r="E141" t="s">
        <v>7763</v>
      </c>
      <c r="F141" t="s">
        <v>7632</v>
      </c>
      <c r="G141" t="s">
        <v>7567</v>
      </c>
    </row>
    <row r="142" spans="1:15" x14ac:dyDescent="0.25">
      <c r="A142" t="s">
        <v>7663</v>
      </c>
      <c r="B142" t="s">
        <v>7600</v>
      </c>
      <c r="C142" t="s">
        <v>7741</v>
      </c>
      <c r="D142" t="s">
        <v>7599</v>
      </c>
      <c r="E142" t="s">
        <v>7755</v>
      </c>
      <c r="F142" t="s">
        <v>7632</v>
      </c>
      <c r="G142" t="s">
        <v>7567</v>
      </c>
    </row>
    <row r="143" spans="1:15" x14ac:dyDescent="0.25">
      <c r="A143" t="s">
        <v>7634</v>
      </c>
      <c r="B143" t="s">
        <v>7600</v>
      </c>
      <c r="C143" t="s">
        <v>7741</v>
      </c>
      <c r="D143" t="s">
        <v>3461</v>
      </c>
    </row>
    <row r="144" spans="1:15" x14ac:dyDescent="0.25">
      <c r="A144" t="s">
        <v>7676</v>
      </c>
      <c r="B144" t="s">
        <v>7600</v>
      </c>
      <c r="C144" t="s">
        <v>7741</v>
      </c>
      <c r="D144" t="s">
        <v>7599</v>
      </c>
      <c r="E144" t="s">
        <v>7728</v>
      </c>
      <c r="F144" t="s">
        <v>7632</v>
      </c>
      <c r="G144" t="s">
        <v>7566</v>
      </c>
    </row>
    <row r="145" spans="1:11" x14ac:dyDescent="0.25">
      <c r="A145" t="s">
        <v>7665</v>
      </c>
      <c r="B145" t="s">
        <v>7600</v>
      </c>
      <c r="C145" t="s">
        <v>7741</v>
      </c>
      <c r="D145" t="s">
        <v>7599</v>
      </c>
      <c r="E145" t="s">
        <v>7569</v>
      </c>
      <c r="F145" t="s">
        <v>7632</v>
      </c>
      <c r="G145" t="s">
        <v>7566</v>
      </c>
    </row>
    <row r="146" spans="1:11" x14ac:dyDescent="0.25">
      <c r="A146" t="s">
        <v>7667</v>
      </c>
      <c r="B146" t="s">
        <v>7600</v>
      </c>
      <c r="C146" t="s">
        <v>7741</v>
      </c>
      <c r="D146" t="s">
        <v>7599</v>
      </c>
      <c r="E146" t="s">
        <v>7757</v>
      </c>
      <c r="F146" t="s">
        <v>7632</v>
      </c>
      <c r="G146" t="s">
        <v>7566</v>
      </c>
    </row>
    <row r="147" spans="1:11" x14ac:dyDescent="0.25">
      <c r="A147" t="s">
        <v>3727</v>
      </c>
      <c r="B147" t="s">
        <v>7600</v>
      </c>
      <c r="C147" t="s">
        <v>7741</v>
      </c>
      <c r="D147" t="s">
        <v>7588</v>
      </c>
      <c r="E147" t="s">
        <v>7633</v>
      </c>
      <c r="F147" t="s">
        <v>7632</v>
      </c>
      <c r="G147" t="s">
        <v>7566</v>
      </c>
    </row>
    <row r="148" spans="1:11" x14ac:dyDescent="0.25">
      <c r="A148" t="s">
        <v>7772</v>
      </c>
      <c r="B148" t="s">
        <v>7544</v>
      </c>
      <c r="C148" t="s">
        <v>7596</v>
      </c>
      <c r="D148" t="s">
        <v>3444</v>
      </c>
      <c r="E148" t="s">
        <v>7549</v>
      </c>
      <c r="F148" t="s">
        <v>7767</v>
      </c>
      <c r="G148" t="s">
        <v>7567</v>
      </c>
      <c r="H148" t="s">
        <v>7597</v>
      </c>
      <c r="I148" t="s">
        <v>7723</v>
      </c>
      <c r="J148" t="s">
        <v>7767</v>
      </c>
      <c r="K148" t="s">
        <v>7567</v>
      </c>
    </row>
    <row r="149" spans="1:11" x14ac:dyDescent="0.25">
      <c r="A149" t="s">
        <v>7773</v>
      </c>
      <c r="B149" t="s">
        <v>7774</v>
      </c>
      <c r="C149" t="s">
        <v>7596</v>
      </c>
      <c r="D149" t="s">
        <v>3444</v>
      </c>
      <c r="E149" t="s">
        <v>7549</v>
      </c>
      <c r="F149" t="s">
        <v>7775</v>
      </c>
      <c r="G149" t="s">
        <v>7566</v>
      </c>
    </row>
    <row r="150" spans="1:11" x14ac:dyDescent="0.25">
      <c r="A150" t="s">
        <v>7776</v>
      </c>
      <c r="B150" t="s">
        <v>7610</v>
      </c>
      <c r="C150" t="s">
        <v>7596</v>
      </c>
      <c r="D150" t="s">
        <v>7599</v>
      </c>
      <c r="E150" t="s">
        <v>7761</v>
      </c>
      <c r="F150" t="s">
        <v>7610</v>
      </c>
      <c r="G150" t="s">
        <v>7566</v>
      </c>
    </row>
    <row r="151" spans="1:11" x14ac:dyDescent="0.25">
      <c r="A151" t="s">
        <v>4264</v>
      </c>
      <c r="B151" t="s">
        <v>7777</v>
      </c>
      <c r="C151" t="s">
        <v>7573</v>
      </c>
      <c r="D151" t="s">
        <v>5526</v>
      </c>
      <c r="E151" t="s">
        <v>7733</v>
      </c>
      <c r="F151" t="s">
        <v>7778</v>
      </c>
      <c r="G151" t="s">
        <v>7566</v>
      </c>
    </row>
    <row r="152" spans="1:11" x14ac:dyDescent="0.25">
      <c r="A152" t="s">
        <v>7615</v>
      </c>
      <c r="B152" t="s">
        <v>7779</v>
      </c>
      <c r="C152" t="s">
        <v>7573</v>
      </c>
      <c r="D152" t="s">
        <v>5526</v>
      </c>
      <c r="E152" t="s">
        <v>7729</v>
      </c>
      <c r="F152" t="s">
        <v>7778</v>
      </c>
      <c r="G152" t="s">
        <v>7566</v>
      </c>
    </row>
    <row r="153" spans="1:11" x14ac:dyDescent="0.25">
      <c r="A153" t="s">
        <v>7780</v>
      </c>
      <c r="B153" t="s">
        <v>7544</v>
      </c>
      <c r="C153" t="s">
        <v>7596</v>
      </c>
      <c r="D153" t="s">
        <v>7590</v>
      </c>
      <c r="E153" t="s">
        <v>7770</v>
      </c>
      <c r="F153" t="s">
        <v>7544</v>
      </c>
      <c r="G153" t="s">
        <v>7566</v>
      </c>
      <c r="H153" t="s">
        <v>7599</v>
      </c>
      <c r="I153" t="s">
        <v>7755</v>
      </c>
      <c r="J153" t="s">
        <v>7592</v>
      </c>
      <c r="K153" t="s">
        <v>7567</v>
      </c>
    </row>
    <row r="154" spans="1:11" x14ac:dyDescent="0.25">
      <c r="A154" t="s">
        <v>7828</v>
      </c>
    </row>
    <row r="155" spans="1:11" x14ac:dyDescent="0.25">
      <c r="A155" t="s">
        <v>7830</v>
      </c>
    </row>
    <row r="156" spans="1:11" x14ac:dyDescent="0.25">
      <c r="A156" t="s">
        <v>7842</v>
      </c>
    </row>
    <row r="157" spans="1:11" x14ac:dyDescent="0.25">
      <c r="A157" t="s">
        <v>7844</v>
      </c>
    </row>
    <row r="158" spans="1:11" x14ac:dyDescent="0.25">
      <c r="A158" t="s">
        <v>7847</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3737</v>
      </c>
      <c r="C1" t="s">
        <v>1</v>
      </c>
      <c r="D1" t="s">
        <v>167</v>
      </c>
      <c r="E1" t="s">
        <v>3499</v>
      </c>
    </row>
    <row r="2" spans="1:5" ht="15" customHeight="1" x14ac:dyDescent="0.25">
      <c r="A2" t="s">
        <v>4365</v>
      </c>
      <c r="B2" t="s">
        <v>4366</v>
      </c>
      <c r="C2" t="s">
        <v>1046</v>
      </c>
      <c r="D2" t="s">
        <v>4367</v>
      </c>
      <c r="E2" t="s">
        <v>4368</v>
      </c>
    </row>
    <row r="3" spans="1:5" ht="15" customHeight="1" x14ac:dyDescent="0.25">
      <c r="A3" t="s">
        <v>4369</v>
      </c>
      <c r="B3" t="s">
        <v>4370</v>
      </c>
      <c r="C3" t="s">
        <v>1046</v>
      </c>
      <c r="D3" t="s">
        <v>4371</v>
      </c>
      <c r="E3" t="s">
        <v>4368</v>
      </c>
    </row>
    <row r="4" spans="1:5" ht="15" customHeight="1" x14ac:dyDescent="0.25">
      <c r="A4" t="s">
        <v>4372</v>
      </c>
      <c r="B4" t="s">
        <v>4370</v>
      </c>
      <c r="C4" t="s">
        <v>1046</v>
      </c>
      <c r="D4" t="s">
        <v>4373</v>
      </c>
      <c r="E4" t="s">
        <v>4368</v>
      </c>
    </row>
    <row r="5" spans="1:5" ht="15" customHeight="1" x14ac:dyDescent="0.25">
      <c r="A5" t="s">
        <v>4374</v>
      </c>
      <c r="B5" t="s">
        <v>4375</v>
      </c>
      <c r="C5" t="s">
        <v>1046</v>
      </c>
      <c r="D5" t="s">
        <v>4376</v>
      </c>
      <c r="E5" t="s">
        <v>4368</v>
      </c>
    </row>
    <row r="6" spans="1:5" ht="15" customHeight="1" x14ac:dyDescent="0.25">
      <c r="A6" t="s">
        <v>4377</v>
      </c>
      <c r="B6" t="s">
        <v>4375</v>
      </c>
      <c r="C6" t="s">
        <v>1046</v>
      </c>
      <c r="D6" t="s">
        <v>4378</v>
      </c>
      <c r="E6" t="s">
        <v>4368</v>
      </c>
    </row>
    <row r="7" spans="1:5" ht="15" customHeight="1" x14ac:dyDescent="0.25">
      <c r="A7" t="s">
        <v>4379</v>
      </c>
      <c r="B7" t="s">
        <v>4366</v>
      </c>
      <c r="C7" t="s">
        <v>160</v>
      </c>
      <c r="D7" t="s">
        <v>4367</v>
      </c>
      <c r="E7" t="s">
        <v>4380</v>
      </c>
    </row>
    <row r="8" spans="1:5" ht="15" customHeight="1" x14ac:dyDescent="0.25">
      <c r="A8" t="s">
        <v>4298</v>
      </c>
      <c r="B8" t="s">
        <v>4366</v>
      </c>
      <c r="C8" t="s">
        <v>160</v>
      </c>
      <c r="D8" t="s">
        <v>4381</v>
      </c>
      <c r="E8" t="s">
        <v>4380</v>
      </c>
    </row>
    <row r="9" spans="1:5" ht="15" customHeight="1" x14ac:dyDescent="0.25">
      <c r="A9" t="s">
        <v>4302</v>
      </c>
      <c r="B9" t="s">
        <v>4366</v>
      </c>
      <c r="C9" t="s">
        <v>160</v>
      </c>
      <c r="D9" t="s">
        <v>4382</v>
      </c>
      <c r="E9" t="s">
        <v>4380</v>
      </c>
    </row>
    <row r="10" spans="1:5" ht="15" customHeight="1" x14ac:dyDescent="0.25">
      <c r="A10" t="s">
        <v>4383</v>
      </c>
      <c r="B10" t="s">
        <v>4370</v>
      </c>
      <c r="C10" t="s">
        <v>160</v>
      </c>
      <c r="D10" t="s">
        <v>4371</v>
      </c>
      <c r="E10" t="s">
        <v>4380</v>
      </c>
    </row>
    <row r="11" spans="1:5" ht="15" customHeight="1" x14ac:dyDescent="0.25">
      <c r="A11" t="s">
        <v>4384</v>
      </c>
      <c r="B11" t="s">
        <v>4370</v>
      </c>
      <c r="C11" t="s">
        <v>160</v>
      </c>
      <c r="D11" t="s">
        <v>4385</v>
      </c>
      <c r="E11" t="s">
        <v>4380</v>
      </c>
    </row>
    <row r="12" spans="1:5" ht="15" customHeight="1" x14ac:dyDescent="0.25">
      <c r="A12" t="s">
        <v>4386</v>
      </c>
      <c r="B12" t="s">
        <v>4370</v>
      </c>
      <c r="C12" t="s">
        <v>160</v>
      </c>
      <c r="D12" t="s">
        <v>4378</v>
      </c>
      <c r="E12" t="s">
        <v>4380</v>
      </c>
    </row>
    <row r="13" spans="1:5" ht="15" customHeight="1" x14ac:dyDescent="0.25">
      <c r="A13" t="s">
        <v>4387</v>
      </c>
      <c r="B13" t="s">
        <v>4375</v>
      </c>
      <c r="C13" t="s">
        <v>160</v>
      </c>
      <c r="D13" t="s">
        <v>4388</v>
      </c>
      <c r="E13" t="s">
        <v>4380</v>
      </c>
    </row>
    <row r="14" spans="1:5" ht="15" customHeight="1" x14ac:dyDescent="0.25">
      <c r="A14" t="s">
        <v>4389</v>
      </c>
      <c r="B14" t="s">
        <v>4375</v>
      </c>
      <c r="C14" t="s">
        <v>160</v>
      </c>
      <c r="D14" t="s">
        <v>4390</v>
      </c>
      <c r="E14" t="s">
        <v>4380</v>
      </c>
    </row>
    <row r="15" spans="1:5" ht="15" customHeight="1" x14ac:dyDescent="0.25">
      <c r="A15" t="s">
        <v>4391</v>
      </c>
      <c r="B15" t="s">
        <v>4375</v>
      </c>
      <c r="C15" t="s">
        <v>160</v>
      </c>
      <c r="D15" t="s">
        <v>4392</v>
      </c>
      <c r="E15" t="s">
        <v>4380</v>
      </c>
    </row>
    <row r="16" spans="1:5" ht="15" customHeight="1" x14ac:dyDescent="0.25">
      <c r="A16" t="s">
        <v>4393</v>
      </c>
      <c r="B16" t="s">
        <v>4366</v>
      </c>
      <c r="C16" t="s">
        <v>1294</v>
      </c>
      <c r="D16" t="s">
        <v>4378</v>
      </c>
      <c r="E16" t="s">
        <v>4394</v>
      </c>
    </row>
    <row r="17" spans="1:5" ht="15" customHeight="1" x14ac:dyDescent="0.25">
      <c r="A17" t="s">
        <v>4395</v>
      </c>
      <c r="B17" t="s">
        <v>4366</v>
      </c>
      <c r="C17" t="s">
        <v>1294</v>
      </c>
      <c r="D17" t="s">
        <v>4381</v>
      </c>
      <c r="E17" t="s">
        <v>4394</v>
      </c>
    </row>
    <row r="18" spans="1:5" ht="15" customHeight="1" x14ac:dyDescent="0.25">
      <c r="A18" t="s">
        <v>4396</v>
      </c>
      <c r="B18" t="s">
        <v>4370</v>
      </c>
      <c r="C18" t="s">
        <v>1294</v>
      </c>
      <c r="D18" t="s">
        <v>4385</v>
      </c>
      <c r="E18" t="s">
        <v>4394</v>
      </c>
    </row>
    <row r="19" spans="1:5" ht="15" customHeight="1" x14ac:dyDescent="0.25">
      <c r="A19" t="s">
        <v>4392</v>
      </c>
      <c r="B19" t="s">
        <v>4370</v>
      </c>
      <c r="C19" t="s">
        <v>1294</v>
      </c>
      <c r="D19" t="s">
        <v>4392</v>
      </c>
      <c r="E19" t="s">
        <v>4394</v>
      </c>
    </row>
    <row r="20" spans="1:5" ht="15" customHeight="1" x14ac:dyDescent="0.25">
      <c r="A20" t="s">
        <v>4397</v>
      </c>
      <c r="B20" t="s">
        <v>4375</v>
      </c>
      <c r="C20" t="s">
        <v>1294</v>
      </c>
      <c r="D20" t="s">
        <v>4367</v>
      </c>
      <c r="E20" t="s">
        <v>4394</v>
      </c>
    </row>
    <row r="21" spans="1:5" ht="15" customHeight="1" x14ac:dyDescent="0.25">
      <c r="A21" t="s">
        <v>4398</v>
      </c>
      <c r="B21" t="s">
        <v>4366</v>
      </c>
      <c r="C21" t="s">
        <v>2136</v>
      </c>
      <c r="D21" t="s">
        <v>4399</v>
      </c>
      <c r="E21" t="s">
        <v>4400</v>
      </c>
    </row>
    <row r="22" spans="1:5" ht="15" customHeight="1" x14ac:dyDescent="0.25">
      <c r="A22" t="s">
        <v>4401</v>
      </c>
      <c r="B22" t="s">
        <v>4366</v>
      </c>
      <c r="C22" t="s">
        <v>2136</v>
      </c>
      <c r="D22" t="s">
        <v>4402</v>
      </c>
      <c r="E22" t="s">
        <v>4400</v>
      </c>
    </row>
    <row r="23" spans="1:5" ht="15" customHeight="1" x14ac:dyDescent="0.25">
      <c r="A23" t="s">
        <v>4403</v>
      </c>
      <c r="B23" t="s">
        <v>4366</v>
      </c>
      <c r="C23" t="s">
        <v>2136</v>
      </c>
      <c r="D23" t="s">
        <v>4373</v>
      </c>
      <c r="E23" t="s">
        <v>4400</v>
      </c>
    </row>
    <row r="24" spans="1:5" ht="15" customHeight="1" x14ac:dyDescent="0.25">
      <c r="A24" t="s">
        <v>4404</v>
      </c>
      <c r="B24" t="s">
        <v>4366</v>
      </c>
      <c r="C24" t="s">
        <v>2136</v>
      </c>
      <c r="D24" t="s">
        <v>4405</v>
      </c>
      <c r="E24" t="s">
        <v>4400</v>
      </c>
    </row>
    <row r="25" spans="1:5" ht="15" customHeight="1" x14ac:dyDescent="0.25">
      <c r="A25" t="s">
        <v>4406</v>
      </c>
      <c r="B25" t="s">
        <v>4370</v>
      </c>
      <c r="C25" t="s">
        <v>2136</v>
      </c>
      <c r="D25" t="s">
        <v>4373</v>
      </c>
      <c r="E25" t="s">
        <v>4400</v>
      </c>
    </row>
    <row r="26" spans="1:5" ht="15" customHeight="1" x14ac:dyDescent="0.25">
      <c r="A26" t="s">
        <v>4407</v>
      </c>
      <c r="B26" t="s">
        <v>4370</v>
      </c>
      <c r="C26" t="s">
        <v>2136</v>
      </c>
      <c r="D26" t="s">
        <v>4381</v>
      </c>
      <c r="E26" t="s">
        <v>4400</v>
      </c>
    </row>
    <row r="27" spans="1:5" ht="15" customHeight="1" x14ac:dyDescent="0.25">
      <c r="A27" t="s">
        <v>4408</v>
      </c>
      <c r="B27" t="s">
        <v>4370</v>
      </c>
      <c r="C27" t="s">
        <v>2136</v>
      </c>
      <c r="D27" t="s">
        <v>4399</v>
      </c>
      <c r="E27" t="s">
        <v>4400</v>
      </c>
    </row>
    <row r="28" spans="1:5" ht="15" customHeight="1" x14ac:dyDescent="0.25">
      <c r="A28" t="s">
        <v>4409</v>
      </c>
      <c r="B28" t="s">
        <v>4370</v>
      </c>
      <c r="C28" t="s">
        <v>2136</v>
      </c>
      <c r="D28" t="s">
        <v>4410</v>
      </c>
      <c r="E28" t="s">
        <v>4400</v>
      </c>
    </row>
    <row r="29" spans="1:5" ht="15" customHeight="1" x14ac:dyDescent="0.25">
      <c r="A29" t="s">
        <v>4411</v>
      </c>
      <c r="B29" t="s">
        <v>4375</v>
      </c>
      <c r="C29" t="s">
        <v>2136</v>
      </c>
      <c r="D29" t="s">
        <v>4412</v>
      </c>
      <c r="E29" t="s">
        <v>4400</v>
      </c>
    </row>
    <row r="30" spans="1:5" ht="15" customHeight="1" x14ac:dyDescent="0.25">
      <c r="A30" t="s">
        <v>4413</v>
      </c>
      <c r="B30" t="s">
        <v>4375</v>
      </c>
      <c r="C30" t="s">
        <v>2136</v>
      </c>
      <c r="D30" t="s">
        <v>4414</v>
      </c>
      <c r="E30" t="s">
        <v>4400</v>
      </c>
    </row>
    <row r="31" spans="1:5" ht="15" customHeight="1" x14ac:dyDescent="0.25">
      <c r="A31" t="s">
        <v>4415</v>
      </c>
      <c r="B31" t="s">
        <v>4366</v>
      </c>
      <c r="C31" t="s">
        <v>553</v>
      </c>
      <c r="D31" t="s">
        <v>4405</v>
      </c>
      <c r="E31" t="s">
        <v>4416</v>
      </c>
    </row>
    <row r="32" spans="1:5" ht="15" customHeight="1" x14ac:dyDescent="0.25">
      <c r="A32" t="s">
        <v>4417</v>
      </c>
      <c r="B32" t="s">
        <v>4375</v>
      </c>
      <c r="C32" t="s">
        <v>553</v>
      </c>
      <c r="D32" t="s">
        <v>4405</v>
      </c>
      <c r="E32" t="s">
        <v>4416</v>
      </c>
    </row>
    <row r="33" spans="1:5" ht="15" customHeight="1" x14ac:dyDescent="0.25">
      <c r="A33" t="s">
        <v>4418</v>
      </c>
      <c r="B33" t="s">
        <v>4370</v>
      </c>
      <c r="C33" t="s">
        <v>553</v>
      </c>
      <c r="D33" t="s">
        <v>4371</v>
      </c>
      <c r="E33" t="s">
        <v>4416</v>
      </c>
    </row>
    <row r="34" spans="1:5" ht="15" customHeight="1" x14ac:dyDescent="0.25">
      <c r="A34" t="s">
        <v>4419</v>
      </c>
      <c r="B34" t="s">
        <v>4375</v>
      </c>
      <c r="C34" t="s">
        <v>553</v>
      </c>
      <c r="D34" t="s">
        <v>4414</v>
      </c>
      <c r="E34" t="s">
        <v>4416</v>
      </c>
    </row>
    <row r="35" spans="1:5" ht="15" customHeight="1" x14ac:dyDescent="0.25">
      <c r="A35" t="s">
        <v>4420</v>
      </c>
      <c r="B35" t="s">
        <v>4370</v>
      </c>
      <c r="C35" t="s">
        <v>553</v>
      </c>
      <c r="D35" t="s">
        <v>4399</v>
      </c>
      <c r="E35" t="s">
        <v>4416</v>
      </c>
    </row>
    <row r="36" spans="1:5" ht="15" customHeight="1" x14ac:dyDescent="0.25">
      <c r="A36" t="s">
        <v>4421</v>
      </c>
      <c r="B36" t="s">
        <v>4366</v>
      </c>
      <c r="C36" t="s">
        <v>553</v>
      </c>
      <c r="D36" t="s">
        <v>4371</v>
      </c>
      <c r="E36" t="s">
        <v>4416</v>
      </c>
    </row>
    <row r="37" spans="1:5" ht="15" customHeight="1" x14ac:dyDescent="0.25">
      <c r="A37" t="s">
        <v>4422</v>
      </c>
      <c r="B37" t="s">
        <v>4366</v>
      </c>
      <c r="C37" t="s">
        <v>501</v>
      </c>
      <c r="D37" t="s">
        <v>4402</v>
      </c>
      <c r="E37" t="s">
        <v>4423</v>
      </c>
    </row>
    <row r="38" spans="1:5" ht="15" customHeight="1" x14ac:dyDescent="0.25">
      <c r="A38" t="s">
        <v>4424</v>
      </c>
      <c r="B38" t="s">
        <v>4370</v>
      </c>
      <c r="C38" t="s">
        <v>501</v>
      </c>
      <c r="D38" t="s">
        <v>4385</v>
      </c>
      <c r="E38" t="s">
        <v>4423</v>
      </c>
    </row>
    <row r="39" spans="1:5" ht="15" customHeight="1" x14ac:dyDescent="0.25">
      <c r="A39" t="s">
        <v>4425</v>
      </c>
      <c r="B39" t="s">
        <v>4375</v>
      </c>
      <c r="C39" t="s">
        <v>501</v>
      </c>
      <c r="D39" t="s">
        <v>4392</v>
      </c>
      <c r="E39" t="s">
        <v>4423</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3498</v>
      </c>
      <c r="C1" t="s">
        <v>167</v>
      </c>
      <c r="D1" t="s">
        <v>3456</v>
      </c>
      <c r="E1" t="s">
        <v>3499</v>
      </c>
      <c r="F1" t="s">
        <v>3500</v>
      </c>
      <c r="G1" t="s">
        <v>3501</v>
      </c>
      <c r="H1" t="s">
        <v>171</v>
      </c>
      <c r="I1" t="s">
        <v>4</v>
      </c>
      <c r="J1" t="s">
        <v>3503</v>
      </c>
    </row>
    <row r="2" spans="1:10" ht="15" customHeight="1" x14ac:dyDescent="0.25">
      <c r="A2" t="s">
        <v>3504</v>
      </c>
      <c r="B2" t="s">
        <v>3505</v>
      </c>
      <c r="C2" t="s">
        <v>3506</v>
      </c>
      <c r="D2" t="s">
        <v>4426</v>
      </c>
      <c r="E2" t="s">
        <v>4427</v>
      </c>
      <c r="F2" t="s">
        <v>497</v>
      </c>
      <c r="G2" t="s">
        <v>3509</v>
      </c>
      <c r="H2" t="s">
        <v>3510</v>
      </c>
      <c r="I2" t="s">
        <v>3461</v>
      </c>
      <c r="J2" t="s">
        <v>3444</v>
      </c>
    </row>
    <row r="3" spans="1:10" ht="15" customHeight="1" x14ac:dyDescent="0.25">
      <c r="A3" t="s">
        <v>3511</v>
      </c>
      <c r="B3" t="s">
        <v>41</v>
      </c>
      <c r="C3" t="s">
        <v>3512</v>
      </c>
      <c r="D3" t="s">
        <v>4428</v>
      </c>
      <c r="E3" t="s">
        <v>4429</v>
      </c>
      <c r="F3" t="s">
        <v>90</v>
      </c>
      <c r="G3" t="s">
        <v>3514</v>
      </c>
      <c r="H3" t="s">
        <v>3511</v>
      </c>
      <c r="I3" t="s">
        <v>3461</v>
      </c>
      <c r="J3" t="s">
        <v>3515</v>
      </c>
    </row>
    <row r="4" spans="1:10" ht="15" customHeight="1" x14ac:dyDescent="0.25">
      <c r="A4" t="s">
        <v>4430</v>
      </c>
      <c r="B4" t="s">
        <v>3517</v>
      </c>
      <c r="C4" t="s">
        <v>4431</v>
      </c>
      <c r="D4" t="s">
        <v>4432</v>
      </c>
      <c r="E4" t="s">
        <v>4433</v>
      </c>
      <c r="F4" t="s">
        <v>1649</v>
      </c>
      <c r="G4" t="s">
        <v>4434</v>
      </c>
      <c r="H4" t="s">
        <v>4435</v>
      </c>
      <c r="I4" t="s">
        <v>3461</v>
      </c>
      <c r="J4" t="s">
        <v>3515</v>
      </c>
    </row>
    <row r="5" spans="1:10" ht="15" customHeight="1" x14ac:dyDescent="0.25">
      <c r="A5" t="s">
        <v>4436</v>
      </c>
      <c r="B5" t="s">
        <v>41</v>
      </c>
      <c r="C5" t="s">
        <v>3526</v>
      </c>
      <c r="D5" t="s">
        <v>4437</v>
      </c>
      <c r="E5" t="s">
        <v>4438</v>
      </c>
      <c r="F5" t="s">
        <v>1046</v>
      </c>
      <c r="G5" t="s">
        <v>4439</v>
      </c>
      <c r="H5" t="s">
        <v>4440</v>
      </c>
      <c r="I5" t="s">
        <v>3461</v>
      </c>
      <c r="J5" t="s">
        <v>3523</v>
      </c>
    </row>
    <row r="6" spans="1:10" ht="15" customHeight="1" x14ac:dyDescent="0.25">
      <c r="A6" t="s">
        <v>4441</v>
      </c>
      <c r="B6" t="s">
        <v>3517</v>
      </c>
      <c r="C6" t="s">
        <v>4431</v>
      </c>
      <c r="D6" t="s">
        <v>4442</v>
      </c>
      <c r="E6" t="s">
        <v>4443</v>
      </c>
      <c r="F6" t="s">
        <v>1046</v>
      </c>
      <c r="G6" t="s">
        <v>4444</v>
      </c>
      <c r="H6" t="s">
        <v>4441</v>
      </c>
      <c r="I6" t="s">
        <v>3461</v>
      </c>
      <c r="J6" t="s">
        <v>4445</v>
      </c>
    </row>
    <row r="7" spans="1:10" ht="15" customHeight="1" x14ac:dyDescent="0.25">
      <c r="A7" t="s">
        <v>4446</v>
      </c>
      <c r="B7" t="s">
        <v>3517</v>
      </c>
      <c r="C7" t="s">
        <v>3512</v>
      </c>
      <c r="D7" t="s">
        <v>4447</v>
      </c>
      <c r="E7" t="s">
        <v>4448</v>
      </c>
      <c r="F7" t="s">
        <v>1649</v>
      </c>
      <c r="G7" t="s">
        <v>4449</v>
      </c>
      <c r="H7" t="s">
        <v>4450</v>
      </c>
      <c r="I7" t="s">
        <v>3461</v>
      </c>
      <c r="J7" t="s">
        <v>3515</v>
      </c>
    </row>
    <row r="8" spans="1:10" ht="15" customHeight="1" x14ac:dyDescent="0.25">
      <c r="A8" t="s">
        <v>4451</v>
      </c>
      <c r="B8" t="s">
        <v>3505</v>
      </c>
      <c r="C8" t="s">
        <v>4452</v>
      </c>
      <c r="D8" t="s">
        <v>4453</v>
      </c>
      <c r="E8" t="s">
        <v>4454</v>
      </c>
      <c r="F8" t="s">
        <v>1621</v>
      </c>
      <c r="G8" t="s">
        <v>4455</v>
      </c>
      <c r="H8" t="s">
        <v>4456</v>
      </c>
      <c r="I8" t="s">
        <v>3461</v>
      </c>
      <c r="J8" t="s">
        <v>3523</v>
      </c>
    </row>
    <row r="9" spans="1:10" ht="15" customHeight="1" x14ac:dyDescent="0.25">
      <c r="A9" t="s">
        <v>4457</v>
      </c>
      <c r="B9" t="s">
        <v>3505</v>
      </c>
      <c r="C9" t="s">
        <v>3512</v>
      </c>
      <c r="D9" t="s">
        <v>4458</v>
      </c>
      <c r="E9" t="s">
        <v>4459</v>
      </c>
      <c r="F9" t="s">
        <v>1649</v>
      </c>
      <c r="G9" t="s">
        <v>4460</v>
      </c>
      <c r="H9" t="s">
        <v>4461</v>
      </c>
      <c r="I9" t="s">
        <v>3461</v>
      </c>
      <c r="J9" t="s">
        <v>4462</v>
      </c>
    </row>
    <row r="10" spans="1:10" ht="15" customHeight="1" x14ac:dyDescent="0.25">
      <c r="A10" t="s">
        <v>4463</v>
      </c>
      <c r="B10" t="s">
        <v>3505</v>
      </c>
      <c r="C10" t="s">
        <v>3512</v>
      </c>
      <c r="D10" t="s">
        <v>4464</v>
      </c>
      <c r="E10" t="s">
        <v>4465</v>
      </c>
      <c r="F10" t="s">
        <v>90</v>
      </c>
      <c r="G10" t="s">
        <v>4466</v>
      </c>
      <c r="H10" t="s">
        <v>4467</v>
      </c>
      <c r="I10" t="s">
        <v>3461</v>
      </c>
      <c r="J10" t="s">
        <v>3444</v>
      </c>
    </row>
    <row r="11" spans="1:10" ht="15" customHeight="1" x14ac:dyDescent="0.25">
      <c r="A11" t="s">
        <v>4468</v>
      </c>
      <c r="B11" t="s">
        <v>41</v>
      </c>
      <c r="C11" t="s">
        <v>4431</v>
      </c>
      <c r="D11" t="s">
        <v>4469</v>
      </c>
      <c r="E11" t="s">
        <v>4470</v>
      </c>
      <c r="F11" t="s">
        <v>1104</v>
      </c>
      <c r="G11" t="s">
        <v>3885</v>
      </c>
      <c r="H11" t="s">
        <v>4471</v>
      </c>
      <c r="I11" t="s">
        <v>3461</v>
      </c>
      <c r="J11" t="s">
        <v>4445</v>
      </c>
    </row>
    <row r="12" spans="1:10" ht="15" customHeight="1" x14ac:dyDescent="0.25">
      <c r="A12" t="s">
        <v>4472</v>
      </c>
      <c r="B12" t="s">
        <v>3505</v>
      </c>
      <c r="C12" t="s">
        <v>4431</v>
      </c>
      <c r="D12" t="s">
        <v>4473</v>
      </c>
      <c r="E12" t="s">
        <v>4474</v>
      </c>
      <c r="F12" t="s">
        <v>1621</v>
      </c>
      <c r="H12" t="s">
        <v>4475</v>
      </c>
      <c r="I12" t="s">
        <v>3461</v>
      </c>
      <c r="J12" t="s">
        <v>4476</v>
      </c>
    </row>
    <row r="13" spans="1:10" ht="15" customHeight="1" x14ac:dyDescent="0.25">
      <c r="A13" t="s">
        <v>4477</v>
      </c>
      <c r="B13" t="s">
        <v>41</v>
      </c>
      <c r="C13" t="s">
        <v>3512</v>
      </c>
      <c r="D13" t="s">
        <v>4478</v>
      </c>
      <c r="E13" t="s">
        <v>4479</v>
      </c>
      <c r="F13" t="s">
        <v>90</v>
      </c>
      <c r="G13" t="s">
        <v>3534</v>
      </c>
      <c r="H13" t="s">
        <v>4480</v>
      </c>
      <c r="I13" t="s">
        <v>3461</v>
      </c>
      <c r="J13" t="s">
        <v>3444</v>
      </c>
    </row>
    <row r="14" spans="1:10" ht="15" customHeight="1" x14ac:dyDescent="0.25">
      <c r="A14" t="s">
        <v>4481</v>
      </c>
      <c r="B14" t="s">
        <v>41</v>
      </c>
      <c r="C14" t="s">
        <v>3543</v>
      </c>
      <c r="D14" t="s">
        <v>4482</v>
      </c>
      <c r="E14" t="s">
        <v>4483</v>
      </c>
      <c r="F14" t="s">
        <v>497</v>
      </c>
      <c r="G14" t="s">
        <v>4484</v>
      </c>
      <c r="H14" t="s">
        <v>4485</v>
      </c>
      <c r="I14" t="s">
        <v>3461</v>
      </c>
      <c r="J14" t="s">
        <v>3523</v>
      </c>
    </row>
    <row r="15" spans="1:10" ht="15" customHeight="1" x14ac:dyDescent="0.25">
      <c r="A15" t="s">
        <v>4486</v>
      </c>
      <c r="B15" t="s">
        <v>3461</v>
      </c>
      <c r="C15" t="s">
        <v>4487</v>
      </c>
      <c r="D15" t="s">
        <v>4488</v>
      </c>
      <c r="F15" t="s">
        <v>1294</v>
      </c>
      <c r="H15" t="s">
        <v>4489</v>
      </c>
      <c r="I15" t="s">
        <v>3461</v>
      </c>
      <c r="J15" t="s">
        <v>4487</v>
      </c>
    </row>
    <row r="16" spans="1:10" ht="15" customHeight="1" x14ac:dyDescent="0.25">
      <c r="A16" t="s">
        <v>4490</v>
      </c>
      <c r="B16" t="s">
        <v>3461</v>
      </c>
      <c r="C16" t="s">
        <v>4487</v>
      </c>
      <c r="D16" t="s">
        <v>4491</v>
      </c>
      <c r="F16" t="s">
        <v>1294</v>
      </c>
      <c r="H16" t="s">
        <v>4492</v>
      </c>
      <c r="I16" t="s">
        <v>3461</v>
      </c>
      <c r="J16" t="s">
        <v>4487</v>
      </c>
    </row>
    <row r="17" spans="1:10" ht="15" customHeight="1" x14ac:dyDescent="0.25">
      <c r="A17" t="s">
        <v>4493</v>
      </c>
      <c r="B17" t="s">
        <v>3461</v>
      </c>
      <c r="C17" t="s">
        <v>4487</v>
      </c>
      <c r="D17" t="s">
        <v>4494</v>
      </c>
      <c r="F17" t="s">
        <v>1294</v>
      </c>
      <c r="H17" t="s">
        <v>4495</v>
      </c>
      <c r="I17" t="s">
        <v>3461</v>
      </c>
      <c r="J17" t="s">
        <v>4487</v>
      </c>
    </row>
    <row r="18" spans="1:10" ht="15" customHeight="1" x14ac:dyDescent="0.25">
      <c r="A18" t="s">
        <v>4496</v>
      </c>
      <c r="B18" t="s">
        <v>3461</v>
      </c>
      <c r="C18" t="s">
        <v>4487</v>
      </c>
      <c r="D18" t="s">
        <v>4497</v>
      </c>
      <c r="F18" t="s">
        <v>1294</v>
      </c>
      <c r="H18" t="s">
        <v>4498</v>
      </c>
      <c r="I18" t="s">
        <v>3461</v>
      </c>
      <c r="J18" t="s">
        <v>4487</v>
      </c>
    </row>
    <row r="19" spans="1:10" ht="15" customHeight="1" x14ac:dyDescent="0.25">
      <c r="A19" t="s">
        <v>4499</v>
      </c>
      <c r="B19" t="s">
        <v>3461</v>
      </c>
      <c r="C19" t="s">
        <v>4487</v>
      </c>
      <c r="D19" t="s">
        <v>4500</v>
      </c>
      <c r="F19" t="s">
        <v>1294</v>
      </c>
      <c r="H19" t="s">
        <v>4501</v>
      </c>
      <c r="I19" t="s">
        <v>3461</v>
      </c>
      <c r="J19" t="s">
        <v>4487</v>
      </c>
    </row>
    <row r="20" spans="1:10" ht="15" customHeight="1" x14ac:dyDescent="0.25">
      <c r="A20" t="s">
        <v>4502</v>
      </c>
      <c r="B20" t="s">
        <v>3461</v>
      </c>
      <c r="C20" t="s">
        <v>4487</v>
      </c>
      <c r="D20" t="s">
        <v>4503</v>
      </c>
      <c r="F20" t="s">
        <v>1294</v>
      </c>
      <c r="H20" t="s">
        <v>4504</v>
      </c>
      <c r="I20" t="s">
        <v>3461</v>
      </c>
      <c r="J20" t="s">
        <v>4487</v>
      </c>
    </row>
    <row r="21" spans="1:10" ht="15" customHeight="1" x14ac:dyDescent="0.25">
      <c r="A21" t="s">
        <v>4505</v>
      </c>
      <c r="B21" t="s">
        <v>3517</v>
      </c>
      <c r="C21" t="s">
        <v>3526</v>
      </c>
      <c r="D21" t="s">
        <v>4506</v>
      </c>
      <c r="E21" t="s">
        <v>4507</v>
      </c>
      <c r="F21" t="s">
        <v>497</v>
      </c>
      <c r="G21" t="s">
        <v>3629</v>
      </c>
      <c r="H21" t="s">
        <v>4508</v>
      </c>
      <c r="I21" t="s">
        <v>3461</v>
      </c>
      <c r="J21" t="s">
        <v>4509</v>
      </c>
    </row>
    <row r="22" spans="1:10" ht="15" customHeight="1" x14ac:dyDescent="0.25">
      <c r="A22" t="s">
        <v>4510</v>
      </c>
      <c r="B22" t="s">
        <v>41</v>
      </c>
      <c r="C22" t="s">
        <v>4511</v>
      </c>
      <c r="D22" t="s">
        <v>4512</v>
      </c>
      <c r="E22" t="s">
        <v>4513</v>
      </c>
      <c r="F22" t="s">
        <v>1649</v>
      </c>
      <c r="G22" t="s">
        <v>4514</v>
      </c>
      <c r="H22" t="s">
        <v>4515</v>
      </c>
      <c r="I22" t="s">
        <v>3461</v>
      </c>
      <c r="J22" t="s">
        <v>3523</v>
      </c>
    </row>
    <row r="23" spans="1:10" ht="15" customHeight="1" x14ac:dyDescent="0.25">
      <c r="A23" t="s">
        <v>4516</v>
      </c>
      <c r="B23" t="s">
        <v>3505</v>
      </c>
      <c r="C23" t="s">
        <v>3512</v>
      </c>
      <c r="D23" t="s">
        <v>4517</v>
      </c>
      <c r="E23" t="s">
        <v>4518</v>
      </c>
      <c r="F23" t="s">
        <v>1649</v>
      </c>
      <c r="H23" t="s">
        <v>4519</v>
      </c>
      <c r="I23" t="s">
        <v>3461</v>
      </c>
      <c r="J23" t="s">
        <v>4462</v>
      </c>
    </row>
    <row r="24" spans="1:10" ht="15" customHeight="1" x14ac:dyDescent="0.25">
      <c r="A24" t="s">
        <v>4520</v>
      </c>
      <c r="B24" t="s">
        <v>3505</v>
      </c>
      <c r="C24" t="s">
        <v>3512</v>
      </c>
      <c r="D24" t="s">
        <v>4521</v>
      </c>
      <c r="E24" t="s">
        <v>4522</v>
      </c>
      <c r="F24" t="s">
        <v>1649</v>
      </c>
      <c r="G24" t="s">
        <v>4523</v>
      </c>
      <c r="H24" t="s">
        <v>4524</v>
      </c>
      <c r="I24" t="s">
        <v>3461</v>
      </c>
      <c r="J24" t="s">
        <v>3515</v>
      </c>
    </row>
    <row r="25" spans="1:10" ht="15" customHeight="1" x14ac:dyDescent="0.25">
      <c r="A25" t="s">
        <v>4525</v>
      </c>
      <c r="B25" t="s">
        <v>3517</v>
      </c>
      <c r="C25" t="s">
        <v>3512</v>
      </c>
      <c r="D25" t="s">
        <v>4526</v>
      </c>
      <c r="E25" t="s">
        <v>4527</v>
      </c>
      <c r="F25" t="s">
        <v>90</v>
      </c>
      <c r="G25" t="s">
        <v>4528</v>
      </c>
      <c r="H25" t="s">
        <v>4529</v>
      </c>
      <c r="I25" t="s">
        <v>3461</v>
      </c>
      <c r="J25" t="s">
        <v>4462</v>
      </c>
    </row>
    <row r="26" spans="1:10" ht="15" customHeight="1" x14ac:dyDescent="0.25">
      <c r="A26" t="s">
        <v>3470</v>
      </c>
      <c r="B26" t="s">
        <v>3549</v>
      </c>
      <c r="C26" t="s">
        <v>3512</v>
      </c>
      <c r="D26" t="s">
        <v>4530</v>
      </c>
      <c r="E26" t="s">
        <v>4531</v>
      </c>
      <c r="F26" t="s">
        <v>90</v>
      </c>
      <c r="H26" t="s">
        <v>3552</v>
      </c>
      <c r="I26" t="s">
        <v>3461</v>
      </c>
      <c r="J26" t="s">
        <v>3444</v>
      </c>
    </row>
    <row r="27" spans="1:10" ht="15" customHeight="1" x14ac:dyDescent="0.25">
      <c r="A27" t="s">
        <v>4532</v>
      </c>
      <c r="B27" t="s">
        <v>3505</v>
      </c>
      <c r="C27" t="s">
        <v>3526</v>
      </c>
      <c r="D27" t="s">
        <v>4533</v>
      </c>
      <c r="E27" t="s">
        <v>4534</v>
      </c>
      <c r="F27" t="s">
        <v>90</v>
      </c>
      <c r="G27" t="s">
        <v>3579</v>
      </c>
      <c r="H27" t="s">
        <v>4535</v>
      </c>
      <c r="I27" t="s">
        <v>3461</v>
      </c>
      <c r="J27" t="s">
        <v>4536</v>
      </c>
    </row>
    <row r="28" spans="1:10" ht="15" customHeight="1" x14ac:dyDescent="0.25">
      <c r="A28" t="s">
        <v>4537</v>
      </c>
      <c r="B28" t="s">
        <v>3517</v>
      </c>
      <c r="C28" t="s">
        <v>3526</v>
      </c>
      <c r="D28" t="s">
        <v>4538</v>
      </c>
      <c r="E28" t="s">
        <v>4539</v>
      </c>
      <c r="F28" t="s">
        <v>497</v>
      </c>
      <c r="H28" t="s">
        <v>4537</v>
      </c>
      <c r="I28" t="s">
        <v>3461</v>
      </c>
      <c r="J28" t="s">
        <v>3523</v>
      </c>
    </row>
    <row r="29" spans="1:10" ht="15" customHeight="1" x14ac:dyDescent="0.25">
      <c r="A29" t="s">
        <v>4540</v>
      </c>
      <c r="B29" t="s">
        <v>3505</v>
      </c>
      <c r="C29" t="s">
        <v>3512</v>
      </c>
      <c r="D29" t="s">
        <v>4541</v>
      </c>
      <c r="E29" t="s">
        <v>4542</v>
      </c>
      <c r="F29" t="s">
        <v>90</v>
      </c>
      <c r="G29" t="s">
        <v>3514</v>
      </c>
      <c r="H29" t="s">
        <v>4543</v>
      </c>
      <c r="I29" t="s">
        <v>3461</v>
      </c>
      <c r="J29" t="s">
        <v>3515</v>
      </c>
    </row>
    <row r="30" spans="1:10" ht="15" customHeight="1" x14ac:dyDescent="0.25">
      <c r="A30" t="s">
        <v>3566</v>
      </c>
      <c r="B30" t="s">
        <v>3517</v>
      </c>
      <c r="C30" t="s">
        <v>3512</v>
      </c>
      <c r="D30" t="s">
        <v>4544</v>
      </c>
      <c r="E30" t="s">
        <v>4545</v>
      </c>
      <c r="F30" t="s">
        <v>160</v>
      </c>
      <c r="H30" t="s">
        <v>3571</v>
      </c>
      <c r="I30" t="s">
        <v>3461</v>
      </c>
      <c r="J30" t="s">
        <v>3444</v>
      </c>
    </row>
    <row r="31" spans="1:10" ht="15" customHeight="1" x14ac:dyDescent="0.25">
      <c r="A31" t="s">
        <v>3572</v>
      </c>
      <c r="B31" t="s">
        <v>41</v>
      </c>
      <c r="C31" t="s">
        <v>4511</v>
      </c>
      <c r="D31" t="s">
        <v>4546</v>
      </c>
      <c r="E31" t="s">
        <v>4547</v>
      </c>
      <c r="F31" t="s">
        <v>1649</v>
      </c>
      <c r="G31" t="s">
        <v>4514</v>
      </c>
      <c r="H31" t="s">
        <v>3572</v>
      </c>
      <c r="I31" t="s">
        <v>3461</v>
      </c>
      <c r="J31" t="s">
        <v>3523</v>
      </c>
    </row>
    <row r="32" spans="1:10" ht="15" customHeight="1" x14ac:dyDescent="0.25">
      <c r="A32" t="s">
        <v>4548</v>
      </c>
      <c r="B32" t="s">
        <v>3517</v>
      </c>
      <c r="C32" t="s">
        <v>3512</v>
      </c>
      <c r="D32" t="s">
        <v>4549</v>
      </c>
      <c r="E32" t="s">
        <v>4550</v>
      </c>
      <c r="F32" t="s">
        <v>1322</v>
      </c>
      <c r="G32" t="s">
        <v>4551</v>
      </c>
      <c r="H32" t="s">
        <v>4552</v>
      </c>
      <c r="I32" t="s">
        <v>3461</v>
      </c>
      <c r="J32" t="s">
        <v>4553</v>
      </c>
    </row>
    <row r="33" spans="1:10" ht="15" customHeight="1" x14ac:dyDescent="0.25">
      <c r="A33" t="s">
        <v>4554</v>
      </c>
      <c r="B33" t="s">
        <v>3505</v>
      </c>
      <c r="C33" t="s">
        <v>3526</v>
      </c>
      <c r="D33" t="s">
        <v>4555</v>
      </c>
      <c r="E33" t="s">
        <v>4556</v>
      </c>
      <c r="F33" t="s">
        <v>160</v>
      </c>
      <c r="G33" t="s">
        <v>4557</v>
      </c>
      <c r="H33" t="s">
        <v>4558</v>
      </c>
      <c r="I33" t="s">
        <v>3461</v>
      </c>
      <c r="J33" t="s">
        <v>3523</v>
      </c>
    </row>
    <row r="34" spans="1:10" ht="15" customHeight="1" x14ac:dyDescent="0.25">
      <c r="A34" t="s">
        <v>3576</v>
      </c>
      <c r="B34" t="s">
        <v>3517</v>
      </c>
      <c r="C34" t="s">
        <v>3512</v>
      </c>
      <c r="D34" t="s">
        <v>3577</v>
      </c>
      <c r="E34" t="s">
        <v>4559</v>
      </c>
      <c r="F34" t="s">
        <v>2804</v>
      </c>
      <c r="G34" t="s">
        <v>3579</v>
      </c>
      <c r="H34" t="s">
        <v>3576</v>
      </c>
      <c r="I34" t="s">
        <v>3461</v>
      </c>
      <c r="J34" t="s">
        <v>3580</v>
      </c>
    </row>
    <row r="35" spans="1:10" ht="15" customHeight="1" x14ac:dyDescent="0.25">
      <c r="A35" t="s">
        <v>3474</v>
      </c>
      <c r="B35" t="s">
        <v>3517</v>
      </c>
      <c r="C35" t="s">
        <v>4560</v>
      </c>
      <c r="D35" t="s">
        <v>4561</v>
      </c>
      <c r="E35" t="s">
        <v>4562</v>
      </c>
      <c r="F35" t="s">
        <v>160</v>
      </c>
      <c r="G35" t="s">
        <v>315</v>
      </c>
      <c r="H35" t="s">
        <v>3474</v>
      </c>
      <c r="I35" t="s">
        <v>3461</v>
      </c>
      <c r="J35" t="s">
        <v>3523</v>
      </c>
    </row>
    <row r="36" spans="1:10" ht="15" customHeight="1" x14ac:dyDescent="0.25">
      <c r="A36" t="s">
        <v>4563</v>
      </c>
      <c r="B36" t="s">
        <v>3517</v>
      </c>
      <c r="C36" t="s">
        <v>3512</v>
      </c>
      <c r="D36" t="s">
        <v>4564</v>
      </c>
      <c r="E36" t="s">
        <v>4565</v>
      </c>
      <c r="F36" t="s">
        <v>90</v>
      </c>
      <c r="G36" t="s">
        <v>4566</v>
      </c>
      <c r="H36" t="s">
        <v>4567</v>
      </c>
      <c r="I36" t="s">
        <v>3461</v>
      </c>
      <c r="J36" t="s">
        <v>4568</v>
      </c>
    </row>
    <row r="37" spans="1:10" ht="15" customHeight="1" x14ac:dyDescent="0.25">
      <c r="A37" t="s">
        <v>4569</v>
      </c>
      <c r="B37" t="s">
        <v>3505</v>
      </c>
      <c r="C37" t="s">
        <v>4570</v>
      </c>
      <c r="D37" t="s">
        <v>4571</v>
      </c>
      <c r="E37" t="s">
        <v>4572</v>
      </c>
      <c r="F37" t="s">
        <v>160</v>
      </c>
      <c r="G37" t="s">
        <v>4573</v>
      </c>
      <c r="H37" t="s">
        <v>4574</v>
      </c>
      <c r="I37" t="s">
        <v>3461</v>
      </c>
      <c r="J37" t="s">
        <v>4462</v>
      </c>
    </row>
    <row r="38" spans="1:10" ht="15" customHeight="1" x14ac:dyDescent="0.25">
      <c r="A38" t="s">
        <v>4575</v>
      </c>
      <c r="B38" t="s">
        <v>3517</v>
      </c>
      <c r="C38" t="s">
        <v>3582</v>
      </c>
      <c r="D38" t="s">
        <v>4576</v>
      </c>
      <c r="F38" t="s">
        <v>160</v>
      </c>
      <c r="G38" t="s">
        <v>4577</v>
      </c>
      <c r="H38" t="s">
        <v>4578</v>
      </c>
      <c r="I38" t="s">
        <v>3461</v>
      </c>
      <c r="J38" t="s">
        <v>3453</v>
      </c>
    </row>
    <row r="39" spans="1:10" ht="15" customHeight="1" x14ac:dyDescent="0.25">
      <c r="A39" t="s">
        <v>4579</v>
      </c>
      <c r="B39" t="s">
        <v>3517</v>
      </c>
      <c r="C39" t="s">
        <v>3512</v>
      </c>
      <c r="D39" t="s">
        <v>4580</v>
      </c>
      <c r="E39" t="s">
        <v>4581</v>
      </c>
      <c r="F39" t="s">
        <v>1129</v>
      </c>
      <c r="G39" t="s">
        <v>4582</v>
      </c>
      <c r="H39" t="s">
        <v>4583</v>
      </c>
      <c r="I39" t="s">
        <v>3461</v>
      </c>
      <c r="J39" t="s">
        <v>4584</v>
      </c>
    </row>
    <row r="40" spans="1:10" ht="15" customHeight="1" x14ac:dyDescent="0.25">
      <c r="A40" t="s">
        <v>4585</v>
      </c>
      <c r="B40" t="s">
        <v>3517</v>
      </c>
      <c r="C40" t="s">
        <v>4431</v>
      </c>
      <c r="D40" t="s">
        <v>4586</v>
      </c>
      <c r="E40" t="s">
        <v>4587</v>
      </c>
      <c r="F40" t="s">
        <v>1621</v>
      </c>
      <c r="H40" t="s">
        <v>4585</v>
      </c>
      <c r="I40" t="s">
        <v>3461</v>
      </c>
      <c r="J40" t="s">
        <v>4462</v>
      </c>
    </row>
    <row r="41" spans="1:10" ht="15" customHeight="1" x14ac:dyDescent="0.25">
      <c r="A41" t="s">
        <v>4588</v>
      </c>
      <c r="B41" t="s">
        <v>41</v>
      </c>
      <c r="C41" t="s">
        <v>4511</v>
      </c>
      <c r="D41" t="s">
        <v>4589</v>
      </c>
      <c r="E41" t="s">
        <v>4590</v>
      </c>
      <c r="F41" t="s">
        <v>1649</v>
      </c>
      <c r="G41" t="s">
        <v>4514</v>
      </c>
      <c r="H41" t="s">
        <v>4591</v>
      </c>
      <c r="I41" t="s">
        <v>3461</v>
      </c>
      <c r="J41" t="s">
        <v>3523</v>
      </c>
    </row>
    <row r="42" spans="1:10" ht="15" customHeight="1" x14ac:dyDescent="0.25">
      <c r="A42" t="s">
        <v>4592</v>
      </c>
      <c r="B42" t="s">
        <v>3505</v>
      </c>
      <c r="C42" t="s">
        <v>3512</v>
      </c>
      <c r="D42" t="s">
        <v>4593</v>
      </c>
      <c r="E42" t="s">
        <v>4594</v>
      </c>
      <c r="F42" t="s">
        <v>2804</v>
      </c>
      <c r="G42" t="s">
        <v>4455</v>
      </c>
      <c r="H42" t="s">
        <v>4592</v>
      </c>
      <c r="I42" t="s">
        <v>3461</v>
      </c>
      <c r="J42" t="s">
        <v>4462</v>
      </c>
    </row>
    <row r="43" spans="1:10" ht="15" customHeight="1" x14ac:dyDescent="0.25">
      <c r="A43" t="s">
        <v>4595</v>
      </c>
      <c r="B43" t="s">
        <v>3505</v>
      </c>
      <c r="C43" t="s">
        <v>3512</v>
      </c>
      <c r="D43" t="s">
        <v>4596</v>
      </c>
      <c r="E43" t="s">
        <v>4597</v>
      </c>
      <c r="F43" t="s">
        <v>90</v>
      </c>
      <c r="G43" t="s">
        <v>4598</v>
      </c>
      <c r="H43" t="s">
        <v>4599</v>
      </c>
      <c r="I43" t="s">
        <v>3461</v>
      </c>
      <c r="J43" t="s">
        <v>4600</v>
      </c>
    </row>
    <row r="44" spans="1:10" ht="15" customHeight="1" x14ac:dyDescent="0.25">
      <c r="A44" t="s">
        <v>4601</v>
      </c>
      <c r="B44" t="s">
        <v>3505</v>
      </c>
      <c r="C44" t="s">
        <v>3512</v>
      </c>
      <c r="D44" t="s">
        <v>4602</v>
      </c>
      <c r="E44" t="s">
        <v>4603</v>
      </c>
      <c r="F44" t="s">
        <v>1649</v>
      </c>
      <c r="G44" t="s">
        <v>4604</v>
      </c>
      <c r="H44" t="s">
        <v>4605</v>
      </c>
      <c r="I44" t="s">
        <v>3461</v>
      </c>
      <c r="J44" t="s">
        <v>4462</v>
      </c>
    </row>
    <row r="45" spans="1:10" ht="15" customHeight="1" x14ac:dyDescent="0.25">
      <c r="A45" t="s">
        <v>4606</v>
      </c>
      <c r="B45" t="s">
        <v>3517</v>
      </c>
      <c r="C45" t="s">
        <v>3512</v>
      </c>
      <c r="D45" t="s">
        <v>4607</v>
      </c>
      <c r="E45" t="s">
        <v>4608</v>
      </c>
      <c r="F45" t="s">
        <v>2804</v>
      </c>
      <c r="G45" t="s">
        <v>4609</v>
      </c>
      <c r="H45" t="s">
        <v>4610</v>
      </c>
      <c r="I45" t="s">
        <v>3461</v>
      </c>
      <c r="J45" t="s">
        <v>3523</v>
      </c>
    </row>
    <row r="46" spans="1:10" ht="15" customHeight="1" x14ac:dyDescent="0.25">
      <c r="A46" t="s">
        <v>4611</v>
      </c>
      <c r="B46" t="s">
        <v>41</v>
      </c>
      <c r="C46" t="s">
        <v>3526</v>
      </c>
      <c r="D46" t="s">
        <v>4612</v>
      </c>
      <c r="E46" t="s">
        <v>4613</v>
      </c>
      <c r="F46" t="s">
        <v>2136</v>
      </c>
      <c r="G46" t="s">
        <v>4614</v>
      </c>
      <c r="H46" t="s">
        <v>4615</v>
      </c>
      <c r="I46" t="s">
        <v>3461</v>
      </c>
      <c r="J46" t="s">
        <v>3523</v>
      </c>
    </row>
    <row r="47" spans="1:10" ht="15" customHeight="1" x14ac:dyDescent="0.25">
      <c r="A47" t="s">
        <v>4616</v>
      </c>
      <c r="B47" t="s">
        <v>3517</v>
      </c>
      <c r="C47" t="s">
        <v>3512</v>
      </c>
      <c r="D47" t="s">
        <v>4617</v>
      </c>
      <c r="E47" t="s">
        <v>4618</v>
      </c>
      <c r="F47" t="s">
        <v>90</v>
      </c>
      <c r="G47" t="s">
        <v>4619</v>
      </c>
      <c r="H47" t="s">
        <v>4620</v>
      </c>
      <c r="I47" t="s">
        <v>3461</v>
      </c>
      <c r="J47" t="s">
        <v>3580</v>
      </c>
    </row>
    <row r="48" spans="1:10" ht="15" customHeight="1" x14ac:dyDescent="0.25">
      <c r="A48" t="s">
        <v>4621</v>
      </c>
      <c r="B48" t="s">
        <v>3517</v>
      </c>
      <c r="C48" t="s">
        <v>3512</v>
      </c>
      <c r="D48" t="s">
        <v>4622</v>
      </c>
      <c r="E48" t="s">
        <v>4623</v>
      </c>
      <c r="F48" t="s">
        <v>2506</v>
      </c>
      <c r="G48" t="s">
        <v>4624</v>
      </c>
      <c r="H48" t="s">
        <v>4621</v>
      </c>
      <c r="I48" t="s">
        <v>3461</v>
      </c>
      <c r="J48" t="s">
        <v>3515</v>
      </c>
    </row>
    <row r="49" spans="1:10" ht="15" customHeight="1" x14ac:dyDescent="0.25">
      <c r="A49" t="s">
        <v>4625</v>
      </c>
      <c r="B49" t="s">
        <v>3505</v>
      </c>
      <c r="C49" t="s">
        <v>3512</v>
      </c>
      <c r="D49" t="s">
        <v>4626</v>
      </c>
      <c r="E49" t="s">
        <v>4627</v>
      </c>
      <c r="F49" t="s">
        <v>90</v>
      </c>
      <c r="G49" t="s">
        <v>264</v>
      </c>
      <c r="H49" t="s">
        <v>4625</v>
      </c>
      <c r="I49" t="s">
        <v>3461</v>
      </c>
      <c r="J49" t="s">
        <v>3515</v>
      </c>
    </row>
    <row r="50" spans="1:10" ht="15" customHeight="1" x14ac:dyDescent="0.25">
      <c r="A50" t="s">
        <v>4628</v>
      </c>
      <c r="B50" t="s">
        <v>41</v>
      </c>
      <c r="C50" t="s">
        <v>3526</v>
      </c>
      <c r="D50" t="s">
        <v>4629</v>
      </c>
      <c r="E50" t="s">
        <v>4630</v>
      </c>
      <c r="F50" t="s">
        <v>160</v>
      </c>
      <c r="G50" t="s">
        <v>4631</v>
      </c>
      <c r="H50" t="s">
        <v>4632</v>
      </c>
      <c r="I50" t="s">
        <v>3461</v>
      </c>
      <c r="J50" t="s">
        <v>3523</v>
      </c>
    </row>
    <row r="51" spans="1:10" ht="15" customHeight="1" x14ac:dyDescent="0.25">
      <c r="A51" t="s">
        <v>4633</v>
      </c>
      <c r="B51" t="s">
        <v>3505</v>
      </c>
      <c r="C51" t="s">
        <v>3512</v>
      </c>
      <c r="D51" t="s">
        <v>4634</v>
      </c>
      <c r="E51" t="s">
        <v>4635</v>
      </c>
      <c r="F51" t="s">
        <v>1129</v>
      </c>
      <c r="G51" t="s">
        <v>4636</v>
      </c>
      <c r="H51" t="s">
        <v>4637</v>
      </c>
      <c r="I51" t="s">
        <v>3461</v>
      </c>
      <c r="J51" t="s">
        <v>4638</v>
      </c>
    </row>
    <row r="52" spans="1:10" ht="15" customHeight="1" x14ac:dyDescent="0.25">
      <c r="A52" t="s">
        <v>4639</v>
      </c>
      <c r="B52" t="s">
        <v>3517</v>
      </c>
      <c r="C52" t="s">
        <v>3512</v>
      </c>
      <c r="D52" t="s">
        <v>4640</v>
      </c>
      <c r="E52" t="s">
        <v>4641</v>
      </c>
      <c r="F52" t="s">
        <v>90</v>
      </c>
      <c r="H52" t="s">
        <v>4642</v>
      </c>
      <c r="I52" t="s">
        <v>3461</v>
      </c>
      <c r="J52" t="s">
        <v>4643</v>
      </c>
    </row>
    <row r="53" spans="1:10" ht="15" customHeight="1" x14ac:dyDescent="0.25">
      <c r="A53" t="s">
        <v>4644</v>
      </c>
      <c r="B53" t="s">
        <v>3505</v>
      </c>
      <c r="C53" t="s">
        <v>3526</v>
      </c>
      <c r="D53" t="s">
        <v>4645</v>
      </c>
      <c r="E53" t="s">
        <v>4646</v>
      </c>
      <c r="F53" t="s">
        <v>497</v>
      </c>
      <c r="G53" t="s">
        <v>4647</v>
      </c>
      <c r="H53" t="s">
        <v>4644</v>
      </c>
      <c r="I53" t="s">
        <v>3461</v>
      </c>
      <c r="J53" t="s">
        <v>3523</v>
      </c>
    </row>
    <row r="54" spans="1:10" ht="15" customHeight="1" x14ac:dyDescent="0.25">
      <c r="A54" t="s">
        <v>4648</v>
      </c>
      <c r="B54" t="s">
        <v>41</v>
      </c>
      <c r="C54" t="s">
        <v>4570</v>
      </c>
      <c r="D54" t="s">
        <v>4649</v>
      </c>
      <c r="E54" t="s">
        <v>4650</v>
      </c>
      <c r="F54" t="s">
        <v>90</v>
      </c>
      <c r="G54" t="s">
        <v>4651</v>
      </c>
      <c r="H54" t="s">
        <v>4652</v>
      </c>
      <c r="I54" t="s">
        <v>3461</v>
      </c>
      <c r="J54" t="s">
        <v>4536</v>
      </c>
    </row>
    <row r="55" spans="1:10" ht="15" customHeight="1" x14ac:dyDescent="0.25">
      <c r="A55" t="s">
        <v>4653</v>
      </c>
      <c r="B55" t="s">
        <v>3517</v>
      </c>
      <c r="C55" t="s">
        <v>3512</v>
      </c>
      <c r="D55" t="s">
        <v>4654</v>
      </c>
      <c r="E55" t="s">
        <v>4655</v>
      </c>
      <c r="F55" t="s">
        <v>160</v>
      </c>
      <c r="G55" t="s">
        <v>4656</v>
      </c>
      <c r="H55" t="s">
        <v>4657</v>
      </c>
      <c r="I55" t="s">
        <v>3461</v>
      </c>
      <c r="J55" t="s">
        <v>3580</v>
      </c>
    </row>
    <row r="56" spans="1:10" ht="15" customHeight="1" x14ac:dyDescent="0.25">
      <c r="A56" t="s">
        <v>3600</v>
      </c>
      <c r="B56" t="s">
        <v>41</v>
      </c>
      <c r="C56" t="s">
        <v>3518</v>
      </c>
      <c r="D56" t="s">
        <v>4658</v>
      </c>
      <c r="E56" t="s">
        <v>4659</v>
      </c>
      <c r="F56" t="s">
        <v>2804</v>
      </c>
      <c r="G56" t="s">
        <v>3602</v>
      </c>
      <c r="H56" t="s">
        <v>3603</v>
      </c>
      <c r="I56" t="s">
        <v>3461</v>
      </c>
      <c r="J56" t="s">
        <v>3444</v>
      </c>
    </row>
    <row r="57" spans="1:10" ht="15" customHeight="1" x14ac:dyDescent="0.25">
      <c r="A57" t="s">
        <v>4660</v>
      </c>
      <c r="B57" t="s">
        <v>3728</v>
      </c>
      <c r="C57" t="s">
        <v>3512</v>
      </c>
      <c r="D57" t="s">
        <v>4661</v>
      </c>
      <c r="E57" t="s">
        <v>4662</v>
      </c>
      <c r="F57" t="s">
        <v>160</v>
      </c>
      <c r="G57" t="s">
        <v>4663</v>
      </c>
      <c r="H57" t="s">
        <v>4664</v>
      </c>
      <c r="I57" t="s">
        <v>3461</v>
      </c>
      <c r="J57" t="s">
        <v>3515</v>
      </c>
    </row>
    <row r="58" spans="1:10" ht="15" customHeight="1" x14ac:dyDescent="0.25">
      <c r="A58" t="s">
        <v>4665</v>
      </c>
      <c r="B58" t="s">
        <v>3517</v>
      </c>
      <c r="C58" t="s">
        <v>3512</v>
      </c>
      <c r="D58" t="s">
        <v>4666</v>
      </c>
      <c r="E58" t="s">
        <v>4667</v>
      </c>
      <c r="F58" t="s">
        <v>90</v>
      </c>
      <c r="G58" t="s">
        <v>3514</v>
      </c>
      <c r="H58" t="s">
        <v>4668</v>
      </c>
      <c r="I58" t="s">
        <v>3461</v>
      </c>
      <c r="J58" t="s">
        <v>3515</v>
      </c>
    </row>
    <row r="59" spans="1:10" ht="15" customHeight="1" x14ac:dyDescent="0.25">
      <c r="A59" t="s">
        <v>4669</v>
      </c>
      <c r="B59" t="s">
        <v>3505</v>
      </c>
      <c r="C59" t="s">
        <v>3512</v>
      </c>
      <c r="D59" t="s">
        <v>4670</v>
      </c>
      <c r="E59" t="s">
        <v>4671</v>
      </c>
      <c r="F59" t="s">
        <v>90</v>
      </c>
      <c r="G59" t="s">
        <v>264</v>
      </c>
      <c r="H59" t="s">
        <v>4672</v>
      </c>
      <c r="I59" t="s">
        <v>3461</v>
      </c>
      <c r="J59" t="s">
        <v>4536</v>
      </c>
    </row>
    <row r="60" spans="1:10" ht="15" customHeight="1" x14ac:dyDescent="0.25">
      <c r="A60" t="s">
        <v>4673</v>
      </c>
      <c r="B60" t="s">
        <v>3505</v>
      </c>
      <c r="C60" t="s">
        <v>3512</v>
      </c>
      <c r="D60" t="s">
        <v>4674</v>
      </c>
      <c r="E60" t="s">
        <v>4675</v>
      </c>
      <c r="F60" t="s">
        <v>1649</v>
      </c>
      <c r="G60" t="s">
        <v>4676</v>
      </c>
      <c r="H60" t="s">
        <v>4677</v>
      </c>
      <c r="I60" t="s">
        <v>3461</v>
      </c>
      <c r="J60" t="s">
        <v>4476</v>
      </c>
    </row>
    <row r="61" spans="1:10" ht="15" customHeight="1" x14ac:dyDescent="0.25">
      <c r="A61" t="s">
        <v>4678</v>
      </c>
      <c r="B61" t="s">
        <v>41</v>
      </c>
      <c r="C61" t="s">
        <v>4452</v>
      </c>
      <c r="D61" t="s">
        <v>4679</v>
      </c>
      <c r="E61" t="s">
        <v>4680</v>
      </c>
      <c r="F61" t="s">
        <v>497</v>
      </c>
      <c r="G61" t="s">
        <v>264</v>
      </c>
      <c r="H61" t="s">
        <v>4678</v>
      </c>
      <c r="I61" t="s">
        <v>3461</v>
      </c>
      <c r="J61" t="s">
        <v>3444</v>
      </c>
    </row>
    <row r="62" spans="1:10" ht="15" customHeight="1" x14ac:dyDescent="0.25">
      <c r="A62" t="s">
        <v>4681</v>
      </c>
      <c r="B62" t="s">
        <v>3505</v>
      </c>
      <c r="C62" t="s">
        <v>3512</v>
      </c>
      <c r="D62" t="s">
        <v>4682</v>
      </c>
      <c r="E62" t="s">
        <v>4683</v>
      </c>
      <c r="F62" t="s">
        <v>160</v>
      </c>
      <c r="H62" t="s">
        <v>4684</v>
      </c>
      <c r="I62" t="s">
        <v>3461</v>
      </c>
      <c r="J62" t="s">
        <v>4685</v>
      </c>
    </row>
    <row r="63" spans="1:10" ht="15" customHeight="1" x14ac:dyDescent="0.25">
      <c r="A63" t="s">
        <v>4686</v>
      </c>
      <c r="B63" t="s">
        <v>3505</v>
      </c>
      <c r="C63" t="s">
        <v>3512</v>
      </c>
      <c r="D63" t="s">
        <v>4687</v>
      </c>
      <c r="E63" t="s">
        <v>4688</v>
      </c>
      <c r="F63" t="s">
        <v>1649</v>
      </c>
      <c r="G63" t="s">
        <v>4689</v>
      </c>
      <c r="H63" t="s">
        <v>4690</v>
      </c>
      <c r="I63" t="s">
        <v>3461</v>
      </c>
      <c r="J63" t="s">
        <v>4476</v>
      </c>
    </row>
    <row r="64" spans="1:10" ht="15" customHeight="1" x14ac:dyDescent="0.25">
      <c r="A64" t="s">
        <v>4691</v>
      </c>
      <c r="B64" t="s">
        <v>3517</v>
      </c>
      <c r="C64" t="s">
        <v>3526</v>
      </c>
      <c r="D64" t="s">
        <v>4692</v>
      </c>
      <c r="E64" t="s">
        <v>4693</v>
      </c>
      <c r="F64" t="s">
        <v>2136</v>
      </c>
      <c r="G64" t="s">
        <v>4694</v>
      </c>
      <c r="H64" t="s">
        <v>4695</v>
      </c>
      <c r="I64" t="s">
        <v>3461</v>
      </c>
      <c r="J64" t="s">
        <v>3444</v>
      </c>
    </row>
    <row r="65" spans="1:10" ht="15" customHeight="1" x14ac:dyDescent="0.25">
      <c r="A65" t="s">
        <v>4696</v>
      </c>
      <c r="B65" t="s">
        <v>41</v>
      </c>
      <c r="C65" t="s">
        <v>4431</v>
      </c>
      <c r="D65" t="s">
        <v>4697</v>
      </c>
      <c r="E65" t="s">
        <v>4698</v>
      </c>
      <c r="F65" t="s">
        <v>1046</v>
      </c>
      <c r="G65" t="s">
        <v>3885</v>
      </c>
      <c r="H65" t="s">
        <v>4699</v>
      </c>
      <c r="I65" t="s">
        <v>3461</v>
      </c>
      <c r="J65" t="s">
        <v>4462</v>
      </c>
    </row>
    <row r="66" spans="1:10" ht="15" customHeight="1" x14ac:dyDescent="0.25">
      <c r="A66" t="s">
        <v>4700</v>
      </c>
      <c r="B66" t="s">
        <v>3517</v>
      </c>
      <c r="C66" t="s">
        <v>4452</v>
      </c>
      <c r="D66" t="s">
        <v>4701</v>
      </c>
      <c r="E66" t="s">
        <v>4702</v>
      </c>
      <c r="F66" t="s">
        <v>501</v>
      </c>
      <c r="G66" t="s">
        <v>4703</v>
      </c>
      <c r="H66" t="s">
        <v>4704</v>
      </c>
      <c r="I66" t="s">
        <v>3461</v>
      </c>
      <c r="J66" t="s">
        <v>4462</v>
      </c>
    </row>
    <row r="67" spans="1:10" ht="15" customHeight="1" x14ac:dyDescent="0.25">
      <c r="A67" t="s">
        <v>4705</v>
      </c>
      <c r="B67" t="s">
        <v>41</v>
      </c>
      <c r="C67" t="s">
        <v>4431</v>
      </c>
      <c r="D67" t="s">
        <v>4706</v>
      </c>
      <c r="E67" t="s">
        <v>4707</v>
      </c>
      <c r="F67" t="s">
        <v>1046</v>
      </c>
      <c r="G67" t="s">
        <v>3885</v>
      </c>
      <c r="H67" t="s">
        <v>4708</v>
      </c>
      <c r="I67" t="s">
        <v>3461</v>
      </c>
      <c r="J67" t="s">
        <v>4462</v>
      </c>
    </row>
    <row r="68" spans="1:10" ht="15" customHeight="1" x14ac:dyDescent="0.25">
      <c r="A68" t="s">
        <v>4709</v>
      </c>
      <c r="B68" t="s">
        <v>41</v>
      </c>
      <c r="C68" t="s">
        <v>3526</v>
      </c>
      <c r="D68" t="s">
        <v>4123</v>
      </c>
      <c r="E68" t="s">
        <v>4710</v>
      </c>
      <c r="F68" t="s">
        <v>160</v>
      </c>
      <c r="H68" t="s">
        <v>4711</v>
      </c>
      <c r="I68" t="s">
        <v>3461</v>
      </c>
      <c r="J68" t="s">
        <v>3523</v>
      </c>
    </row>
    <row r="69" spans="1:10" ht="15" customHeight="1" x14ac:dyDescent="0.25">
      <c r="A69" t="s">
        <v>3631</v>
      </c>
      <c r="B69" t="s">
        <v>41</v>
      </c>
      <c r="C69" t="s">
        <v>3518</v>
      </c>
      <c r="D69" t="s">
        <v>4712</v>
      </c>
      <c r="E69" t="s">
        <v>4713</v>
      </c>
      <c r="F69" t="s">
        <v>160</v>
      </c>
      <c r="G69" t="s">
        <v>264</v>
      </c>
      <c r="H69" t="s">
        <v>3631</v>
      </c>
      <c r="I69" t="s">
        <v>3461</v>
      </c>
      <c r="J69" t="s">
        <v>3444</v>
      </c>
    </row>
    <row r="70" spans="1:10" ht="15" customHeight="1" x14ac:dyDescent="0.25">
      <c r="A70" t="s">
        <v>3634</v>
      </c>
      <c r="B70" t="s">
        <v>3505</v>
      </c>
      <c r="C70" t="s">
        <v>3518</v>
      </c>
      <c r="D70" t="s">
        <v>4714</v>
      </c>
      <c r="E70" t="s">
        <v>4715</v>
      </c>
      <c r="F70" t="s">
        <v>90</v>
      </c>
      <c r="G70" t="s">
        <v>3637</v>
      </c>
      <c r="H70" t="s">
        <v>3634</v>
      </c>
      <c r="I70" t="s">
        <v>3461</v>
      </c>
      <c r="J70" t="s">
        <v>3444</v>
      </c>
    </row>
    <row r="71" spans="1:10" ht="15" customHeight="1" x14ac:dyDescent="0.25">
      <c r="A71" t="s">
        <v>3638</v>
      </c>
      <c r="B71" t="s">
        <v>3517</v>
      </c>
      <c r="C71" t="s">
        <v>3512</v>
      </c>
      <c r="D71" t="s">
        <v>4716</v>
      </c>
      <c r="E71" t="s">
        <v>4717</v>
      </c>
      <c r="F71" t="s">
        <v>90</v>
      </c>
      <c r="G71" t="s">
        <v>3641</v>
      </c>
      <c r="H71" t="s">
        <v>3642</v>
      </c>
      <c r="I71" t="s">
        <v>3461</v>
      </c>
      <c r="J71" t="s">
        <v>3444</v>
      </c>
    </row>
    <row r="72" spans="1:10" ht="15" customHeight="1" x14ac:dyDescent="0.25">
      <c r="A72" t="s">
        <v>4718</v>
      </c>
      <c r="B72" t="s">
        <v>3517</v>
      </c>
      <c r="C72" t="s">
        <v>3512</v>
      </c>
      <c r="D72" t="s">
        <v>4719</v>
      </c>
      <c r="E72" t="s">
        <v>4720</v>
      </c>
      <c r="F72" t="s">
        <v>90</v>
      </c>
      <c r="H72" t="s">
        <v>4721</v>
      </c>
      <c r="I72" t="s">
        <v>3461</v>
      </c>
      <c r="J72" t="s">
        <v>4462</v>
      </c>
    </row>
    <row r="73" spans="1:10" ht="15" customHeight="1" x14ac:dyDescent="0.25">
      <c r="A73" t="s">
        <v>4722</v>
      </c>
      <c r="B73" t="s">
        <v>3517</v>
      </c>
      <c r="C73" t="s">
        <v>3512</v>
      </c>
      <c r="D73" t="s">
        <v>4723</v>
      </c>
      <c r="E73" t="s">
        <v>4724</v>
      </c>
      <c r="F73" t="s">
        <v>1649</v>
      </c>
      <c r="G73" t="s">
        <v>4725</v>
      </c>
      <c r="H73" t="s">
        <v>4726</v>
      </c>
      <c r="I73" t="s">
        <v>3461</v>
      </c>
      <c r="J73" t="s">
        <v>3515</v>
      </c>
    </row>
    <row r="74" spans="1:10" ht="15" customHeight="1" x14ac:dyDescent="0.25">
      <c r="A74" t="s">
        <v>4727</v>
      </c>
      <c r="B74" t="s">
        <v>3517</v>
      </c>
      <c r="C74" t="s">
        <v>3512</v>
      </c>
      <c r="D74" t="s">
        <v>4728</v>
      </c>
      <c r="E74" t="s">
        <v>4729</v>
      </c>
      <c r="F74" t="s">
        <v>90</v>
      </c>
      <c r="G74" t="s">
        <v>4619</v>
      </c>
      <c r="H74" t="s">
        <v>4730</v>
      </c>
      <c r="I74" t="s">
        <v>3461</v>
      </c>
      <c r="J74" t="s">
        <v>3580</v>
      </c>
    </row>
    <row r="75" spans="1:10" ht="15" customHeight="1" x14ac:dyDescent="0.25">
      <c r="A75" t="s">
        <v>4731</v>
      </c>
      <c r="B75" t="s">
        <v>3517</v>
      </c>
      <c r="C75" t="s">
        <v>3526</v>
      </c>
      <c r="D75" t="s">
        <v>4732</v>
      </c>
      <c r="E75" t="s">
        <v>4733</v>
      </c>
      <c r="F75" t="s">
        <v>160</v>
      </c>
      <c r="H75" t="s">
        <v>4734</v>
      </c>
      <c r="I75" t="s">
        <v>3461</v>
      </c>
      <c r="J75" t="s">
        <v>3523</v>
      </c>
    </row>
    <row r="76" spans="1:10" ht="15" customHeight="1" x14ac:dyDescent="0.25">
      <c r="A76" t="s">
        <v>4735</v>
      </c>
      <c r="B76" t="s">
        <v>3505</v>
      </c>
      <c r="C76" t="s">
        <v>3512</v>
      </c>
      <c r="D76" t="s">
        <v>4736</v>
      </c>
      <c r="E76" t="s">
        <v>4737</v>
      </c>
      <c r="F76" t="s">
        <v>90</v>
      </c>
      <c r="G76" t="s">
        <v>4738</v>
      </c>
      <c r="H76" t="s">
        <v>4739</v>
      </c>
      <c r="I76" t="s">
        <v>3461</v>
      </c>
      <c r="J76" t="s">
        <v>4740</v>
      </c>
    </row>
    <row r="77" spans="1:10" ht="15" customHeight="1" x14ac:dyDescent="0.25">
      <c r="A77" t="s">
        <v>4741</v>
      </c>
      <c r="B77" t="s">
        <v>41</v>
      </c>
      <c r="C77" t="s">
        <v>4570</v>
      </c>
      <c r="D77" t="s">
        <v>4742</v>
      </c>
      <c r="E77" t="s">
        <v>4743</v>
      </c>
      <c r="F77" t="s">
        <v>90</v>
      </c>
      <c r="G77" t="s">
        <v>4744</v>
      </c>
      <c r="H77" t="s">
        <v>4741</v>
      </c>
      <c r="I77" t="s">
        <v>3461</v>
      </c>
      <c r="J77" t="s">
        <v>4745</v>
      </c>
    </row>
    <row r="78" spans="1:10" ht="15" customHeight="1" x14ac:dyDescent="0.25">
      <c r="A78" t="s">
        <v>3658</v>
      </c>
      <c r="B78" t="s">
        <v>41</v>
      </c>
      <c r="C78" t="s">
        <v>3526</v>
      </c>
      <c r="D78" t="s">
        <v>4746</v>
      </c>
      <c r="E78" t="s">
        <v>4747</v>
      </c>
      <c r="F78" t="s">
        <v>90</v>
      </c>
      <c r="G78" t="s">
        <v>3662</v>
      </c>
      <c r="H78" t="s">
        <v>3663</v>
      </c>
      <c r="I78" t="s">
        <v>3461</v>
      </c>
      <c r="J78" t="s">
        <v>3523</v>
      </c>
    </row>
    <row r="79" spans="1:10" ht="15" customHeight="1" x14ac:dyDescent="0.25">
      <c r="A79" t="s">
        <v>4748</v>
      </c>
      <c r="B79" t="s">
        <v>3505</v>
      </c>
      <c r="C79" t="s">
        <v>3518</v>
      </c>
      <c r="D79" t="s">
        <v>4749</v>
      </c>
      <c r="E79" t="s">
        <v>4750</v>
      </c>
      <c r="F79" t="s">
        <v>90</v>
      </c>
      <c r="G79" t="s">
        <v>4656</v>
      </c>
      <c r="H79" t="s">
        <v>4751</v>
      </c>
      <c r="I79" t="s">
        <v>3461</v>
      </c>
      <c r="J79" t="s">
        <v>3580</v>
      </c>
    </row>
    <row r="80" spans="1:10" ht="15" customHeight="1" x14ac:dyDescent="0.25">
      <c r="A80" t="s">
        <v>4752</v>
      </c>
      <c r="B80" t="s">
        <v>3517</v>
      </c>
      <c r="C80" t="s">
        <v>4570</v>
      </c>
      <c r="D80" t="s">
        <v>4753</v>
      </c>
      <c r="E80" t="s">
        <v>4754</v>
      </c>
      <c r="F80" t="s">
        <v>90</v>
      </c>
      <c r="G80" t="s">
        <v>4755</v>
      </c>
      <c r="H80" t="s">
        <v>4756</v>
      </c>
      <c r="I80" t="s">
        <v>3461</v>
      </c>
      <c r="J80" t="s">
        <v>3515</v>
      </c>
    </row>
    <row r="81" spans="1:10" ht="15" customHeight="1" x14ac:dyDescent="0.25">
      <c r="A81" t="s">
        <v>4757</v>
      </c>
      <c r="B81" t="s">
        <v>3505</v>
      </c>
      <c r="C81" t="s">
        <v>3543</v>
      </c>
      <c r="D81" t="s">
        <v>4758</v>
      </c>
      <c r="E81" t="s">
        <v>4759</v>
      </c>
      <c r="F81" t="s">
        <v>497</v>
      </c>
      <c r="H81" t="s">
        <v>4757</v>
      </c>
      <c r="I81" t="s">
        <v>3461</v>
      </c>
      <c r="J81" t="s">
        <v>3709</v>
      </c>
    </row>
    <row r="82" spans="1:10" ht="15" customHeight="1" x14ac:dyDescent="0.25">
      <c r="A82" t="s">
        <v>4760</v>
      </c>
      <c r="B82" t="s">
        <v>3505</v>
      </c>
      <c r="C82" t="s">
        <v>4452</v>
      </c>
      <c r="D82" t="s">
        <v>4761</v>
      </c>
      <c r="E82" t="s">
        <v>4762</v>
      </c>
      <c r="F82" t="s">
        <v>1649</v>
      </c>
      <c r="G82" t="s">
        <v>4763</v>
      </c>
      <c r="H82" t="s">
        <v>4764</v>
      </c>
      <c r="I82" t="s">
        <v>3461</v>
      </c>
      <c r="J82" t="s">
        <v>3523</v>
      </c>
    </row>
    <row r="83" spans="1:10" ht="15" customHeight="1" x14ac:dyDescent="0.25">
      <c r="A83" t="s">
        <v>4765</v>
      </c>
      <c r="B83" t="s">
        <v>41</v>
      </c>
      <c r="C83" t="s">
        <v>4570</v>
      </c>
      <c r="D83" t="s">
        <v>4766</v>
      </c>
      <c r="E83" t="s">
        <v>4767</v>
      </c>
      <c r="F83" t="s">
        <v>90</v>
      </c>
      <c r="H83" t="s">
        <v>4768</v>
      </c>
      <c r="I83" t="s">
        <v>3461</v>
      </c>
      <c r="J83" t="s">
        <v>4462</v>
      </c>
    </row>
    <row r="84" spans="1:10" ht="15" customHeight="1" x14ac:dyDescent="0.25">
      <c r="A84" t="s">
        <v>4769</v>
      </c>
      <c r="B84" t="s">
        <v>41</v>
      </c>
      <c r="C84" t="s">
        <v>4511</v>
      </c>
      <c r="D84" t="s">
        <v>4770</v>
      </c>
      <c r="E84" t="s">
        <v>4771</v>
      </c>
      <c r="F84" t="s">
        <v>1649</v>
      </c>
      <c r="G84" t="s">
        <v>4514</v>
      </c>
      <c r="H84" t="s">
        <v>4769</v>
      </c>
      <c r="I84" t="s">
        <v>3461</v>
      </c>
      <c r="J84" t="s">
        <v>3515</v>
      </c>
    </row>
    <row r="85" spans="1:10" ht="15" customHeight="1" x14ac:dyDescent="0.25">
      <c r="A85" t="s">
        <v>4772</v>
      </c>
      <c r="B85" t="s">
        <v>41</v>
      </c>
      <c r="C85" t="s">
        <v>3512</v>
      </c>
      <c r="D85" t="s">
        <v>4773</v>
      </c>
      <c r="E85" t="s">
        <v>4774</v>
      </c>
      <c r="F85" t="s">
        <v>1322</v>
      </c>
      <c r="H85" t="s">
        <v>4775</v>
      </c>
      <c r="I85" t="s">
        <v>3461</v>
      </c>
      <c r="J85" t="s">
        <v>4776</v>
      </c>
    </row>
    <row r="86" spans="1:10" ht="15" customHeight="1" x14ac:dyDescent="0.25">
      <c r="A86" t="s">
        <v>4777</v>
      </c>
      <c r="B86" t="s">
        <v>3505</v>
      </c>
      <c r="C86" t="s">
        <v>3526</v>
      </c>
      <c r="D86" t="s">
        <v>4778</v>
      </c>
      <c r="E86" t="s">
        <v>4779</v>
      </c>
      <c r="F86" t="s">
        <v>90</v>
      </c>
      <c r="G86" t="s">
        <v>3662</v>
      </c>
      <c r="H86" t="s">
        <v>3667</v>
      </c>
      <c r="I86" t="s">
        <v>3461</v>
      </c>
      <c r="J86" t="s">
        <v>4536</v>
      </c>
    </row>
    <row r="87" spans="1:10" ht="15" customHeight="1" x14ac:dyDescent="0.25">
      <c r="A87" t="s">
        <v>4780</v>
      </c>
      <c r="B87" t="s">
        <v>3505</v>
      </c>
      <c r="C87" t="s">
        <v>3512</v>
      </c>
      <c r="D87" t="s">
        <v>4781</v>
      </c>
      <c r="E87" t="s">
        <v>4782</v>
      </c>
      <c r="F87" t="s">
        <v>1649</v>
      </c>
      <c r="G87" t="s">
        <v>4783</v>
      </c>
      <c r="H87" t="s">
        <v>4784</v>
      </c>
      <c r="I87" t="s">
        <v>3461</v>
      </c>
      <c r="J87" t="s">
        <v>3515</v>
      </c>
    </row>
    <row r="88" spans="1:10" ht="15" customHeight="1" x14ac:dyDescent="0.25">
      <c r="A88" t="s">
        <v>4785</v>
      </c>
      <c r="B88" t="s">
        <v>3505</v>
      </c>
      <c r="C88" t="s">
        <v>3512</v>
      </c>
      <c r="D88" s="3" t="s">
        <v>4786</v>
      </c>
      <c r="E88" s="3" t="s">
        <v>4787</v>
      </c>
      <c r="F88" t="s">
        <v>1649</v>
      </c>
      <c r="G88" t="s">
        <v>4788</v>
      </c>
      <c r="H88" t="s">
        <v>4789</v>
      </c>
      <c r="I88" t="s">
        <v>3461</v>
      </c>
      <c r="J88" t="s">
        <v>3515</v>
      </c>
    </row>
    <row r="89" spans="1:10" ht="15" customHeight="1" x14ac:dyDescent="0.25">
      <c r="A89" t="s">
        <v>4790</v>
      </c>
      <c r="B89" t="s">
        <v>41</v>
      </c>
      <c r="C89" t="s">
        <v>3526</v>
      </c>
      <c r="D89" t="s">
        <v>4791</v>
      </c>
      <c r="E89" t="s">
        <v>4792</v>
      </c>
      <c r="F89" t="s">
        <v>497</v>
      </c>
      <c r="G89" t="s">
        <v>3629</v>
      </c>
      <c r="H89" t="s">
        <v>4793</v>
      </c>
      <c r="I89" t="s">
        <v>3461</v>
      </c>
      <c r="J89" t="s">
        <v>3523</v>
      </c>
    </row>
    <row r="90" spans="1:10" ht="15" customHeight="1" x14ac:dyDescent="0.25">
      <c r="A90" t="s">
        <v>3484</v>
      </c>
      <c r="B90" t="s">
        <v>41</v>
      </c>
      <c r="C90" t="s">
        <v>3512</v>
      </c>
      <c r="D90" t="s">
        <v>4794</v>
      </c>
      <c r="E90" t="s">
        <v>4795</v>
      </c>
      <c r="F90" t="s">
        <v>2804</v>
      </c>
      <c r="G90" t="s">
        <v>3602</v>
      </c>
      <c r="H90" t="s">
        <v>3484</v>
      </c>
      <c r="I90" t="s">
        <v>3461</v>
      </c>
      <c r="J90" t="s">
        <v>3444</v>
      </c>
    </row>
    <row r="91" spans="1:10" ht="15" customHeight="1" x14ac:dyDescent="0.25">
      <c r="A91" t="s">
        <v>4796</v>
      </c>
      <c r="B91" t="s">
        <v>3505</v>
      </c>
      <c r="C91" t="s">
        <v>3512</v>
      </c>
      <c r="D91" t="s">
        <v>4797</v>
      </c>
      <c r="E91" t="s">
        <v>4798</v>
      </c>
      <c r="F91" t="s">
        <v>1649</v>
      </c>
      <c r="G91" t="s">
        <v>4466</v>
      </c>
      <c r="H91" t="s">
        <v>4799</v>
      </c>
      <c r="I91" t="s">
        <v>3461</v>
      </c>
      <c r="J91" t="s">
        <v>4462</v>
      </c>
    </row>
    <row r="92" spans="1:10" ht="15" customHeight="1" x14ac:dyDescent="0.25">
      <c r="A92" t="s">
        <v>4800</v>
      </c>
      <c r="B92" t="s">
        <v>3505</v>
      </c>
      <c r="C92" t="s">
        <v>3512</v>
      </c>
      <c r="D92" t="s">
        <v>4801</v>
      </c>
      <c r="E92" t="s">
        <v>4802</v>
      </c>
      <c r="F92" t="s">
        <v>553</v>
      </c>
      <c r="G92" t="s">
        <v>3529</v>
      </c>
      <c r="H92" t="s">
        <v>4803</v>
      </c>
      <c r="I92" t="s">
        <v>3461</v>
      </c>
      <c r="J92" t="s">
        <v>3444</v>
      </c>
    </row>
    <row r="93" spans="1:10" ht="15" customHeight="1" x14ac:dyDescent="0.25">
      <c r="A93" t="s">
        <v>3680</v>
      </c>
      <c r="B93" t="s">
        <v>3517</v>
      </c>
      <c r="C93" t="s">
        <v>4511</v>
      </c>
      <c r="D93" t="s">
        <v>4804</v>
      </c>
      <c r="F93" t="s">
        <v>353</v>
      </c>
      <c r="H93" t="s">
        <v>3682</v>
      </c>
      <c r="I93" t="s">
        <v>3461</v>
      </c>
      <c r="J93" t="s">
        <v>3683</v>
      </c>
    </row>
    <row r="94" spans="1:10" ht="15" customHeight="1" x14ac:dyDescent="0.25">
      <c r="A94" t="s">
        <v>4805</v>
      </c>
      <c r="B94" t="s">
        <v>3549</v>
      </c>
      <c r="C94" t="s">
        <v>3512</v>
      </c>
      <c r="D94" t="s">
        <v>4806</v>
      </c>
      <c r="E94" t="s">
        <v>4807</v>
      </c>
      <c r="F94" t="s">
        <v>90</v>
      </c>
      <c r="G94" t="s">
        <v>4808</v>
      </c>
      <c r="H94" t="s">
        <v>4809</v>
      </c>
      <c r="I94" t="s">
        <v>3461</v>
      </c>
      <c r="J94" t="s">
        <v>4810</v>
      </c>
    </row>
    <row r="95" spans="1:10" ht="15" customHeight="1" x14ac:dyDescent="0.25">
      <c r="A95" t="s">
        <v>4811</v>
      </c>
      <c r="B95" t="s">
        <v>3505</v>
      </c>
      <c r="C95" t="s">
        <v>4452</v>
      </c>
      <c r="D95" t="s">
        <v>4812</v>
      </c>
      <c r="E95" t="s">
        <v>4813</v>
      </c>
      <c r="F95" t="s">
        <v>160</v>
      </c>
      <c r="G95" t="s">
        <v>3662</v>
      </c>
      <c r="H95" t="s">
        <v>4814</v>
      </c>
      <c r="I95" t="s">
        <v>3461</v>
      </c>
      <c r="J95" t="s">
        <v>3523</v>
      </c>
    </row>
    <row r="96" spans="1:10" ht="15" customHeight="1" x14ac:dyDescent="0.25">
      <c r="A96" t="s">
        <v>4815</v>
      </c>
      <c r="B96" t="s">
        <v>41</v>
      </c>
      <c r="C96" t="s">
        <v>4511</v>
      </c>
      <c r="D96" t="s">
        <v>4816</v>
      </c>
      <c r="E96" t="s">
        <v>4817</v>
      </c>
      <c r="F96" t="s">
        <v>1649</v>
      </c>
      <c r="G96" t="s">
        <v>4514</v>
      </c>
      <c r="H96" t="s">
        <v>4818</v>
      </c>
      <c r="I96" t="s">
        <v>3461</v>
      </c>
      <c r="J96" t="s">
        <v>3523</v>
      </c>
    </row>
    <row r="97" spans="1:10" ht="15" customHeight="1" x14ac:dyDescent="0.25">
      <c r="A97" t="s">
        <v>4819</v>
      </c>
      <c r="B97" t="s">
        <v>3517</v>
      </c>
      <c r="C97" t="s">
        <v>4431</v>
      </c>
      <c r="D97" t="s">
        <v>4820</v>
      </c>
      <c r="E97" t="s">
        <v>4821</v>
      </c>
      <c r="F97" t="s">
        <v>1649</v>
      </c>
      <c r="H97" t="s">
        <v>4822</v>
      </c>
      <c r="I97" t="s">
        <v>3461</v>
      </c>
      <c r="J97" t="s">
        <v>4462</v>
      </c>
    </row>
    <row r="98" spans="1:10" ht="15" customHeight="1" x14ac:dyDescent="0.25">
      <c r="A98" t="s">
        <v>4823</v>
      </c>
      <c r="B98" t="s">
        <v>3728</v>
      </c>
      <c r="C98" t="s">
        <v>3512</v>
      </c>
      <c r="D98" t="s">
        <v>4824</v>
      </c>
      <c r="E98" t="s">
        <v>4825</v>
      </c>
      <c r="F98" t="s">
        <v>160</v>
      </c>
      <c r="G98" t="s">
        <v>4663</v>
      </c>
      <c r="H98" t="s">
        <v>4826</v>
      </c>
      <c r="I98" t="s">
        <v>3461</v>
      </c>
      <c r="J98" t="s">
        <v>3580</v>
      </c>
    </row>
    <row r="99" spans="1:10" ht="15" customHeight="1" x14ac:dyDescent="0.25">
      <c r="A99" t="s">
        <v>4827</v>
      </c>
      <c r="B99" t="s">
        <v>3505</v>
      </c>
      <c r="C99" t="s">
        <v>3512</v>
      </c>
      <c r="D99" t="s">
        <v>4828</v>
      </c>
      <c r="E99" t="s">
        <v>4829</v>
      </c>
      <c r="F99" t="s">
        <v>1322</v>
      </c>
      <c r="G99" t="s">
        <v>4609</v>
      </c>
      <c r="H99" t="s">
        <v>4830</v>
      </c>
      <c r="I99" t="s">
        <v>3461</v>
      </c>
      <c r="J99" t="s">
        <v>4831</v>
      </c>
    </row>
    <row r="100" spans="1:10" ht="15" customHeight="1" x14ac:dyDescent="0.25">
      <c r="A100" t="s">
        <v>4832</v>
      </c>
      <c r="B100" t="s">
        <v>3517</v>
      </c>
      <c r="C100" t="s">
        <v>4570</v>
      </c>
      <c r="D100" t="s">
        <v>4833</v>
      </c>
      <c r="E100" t="s">
        <v>4834</v>
      </c>
      <c r="F100" t="s">
        <v>90</v>
      </c>
      <c r="G100" t="s">
        <v>4744</v>
      </c>
      <c r="H100" t="s">
        <v>4832</v>
      </c>
      <c r="I100" t="s">
        <v>3461</v>
      </c>
      <c r="J100" t="s">
        <v>4462</v>
      </c>
    </row>
    <row r="101" spans="1:10" ht="15" customHeight="1" x14ac:dyDescent="0.25">
      <c r="A101" t="s">
        <v>3693</v>
      </c>
      <c r="B101" t="s">
        <v>3517</v>
      </c>
      <c r="C101" t="s">
        <v>3512</v>
      </c>
      <c r="D101" t="s">
        <v>4835</v>
      </c>
      <c r="E101" t="s">
        <v>4836</v>
      </c>
      <c r="F101" t="s">
        <v>497</v>
      </c>
      <c r="G101" t="s">
        <v>3696</v>
      </c>
      <c r="H101" t="s">
        <v>3693</v>
      </c>
      <c r="I101" t="s">
        <v>3461</v>
      </c>
      <c r="J101" t="s">
        <v>3523</v>
      </c>
    </row>
    <row r="102" spans="1:10" ht="15" customHeight="1" x14ac:dyDescent="0.25">
      <c r="A102" t="s">
        <v>4837</v>
      </c>
      <c r="B102" t="s">
        <v>41</v>
      </c>
      <c r="C102" t="s">
        <v>4511</v>
      </c>
      <c r="D102" t="s">
        <v>4838</v>
      </c>
      <c r="E102" t="s">
        <v>4839</v>
      </c>
      <c r="F102" t="s">
        <v>1649</v>
      </c>
      <c r="G102" t="s">
        <v>4514</v>
      </c>
      <c r="H102" t="s">
        <v>4837</v>
      </c>
      <c r="I102" t="s">
        <v>3461</v>
      </c>
      <c r="J102" t="s">
        <v>3523</v>
      </c>
    </row>
    <row r="103" spans="1:10" ht="15" customHeight="1" x14ac:dyDescent="0.25">
      <c r="A103" t="s">
        <v>4840</v>
      </c>
      <c r="B103" t="s">
        <v>3505</v>
      </c>
      <c r="C103" t="s">
        <v>3526</v>
      </c>
      <c r="D103" t="s">
        <v>4841</v>
      </c>
      <c r="E103" t="s">
        <v>4842</v>
      </c>
      <c r="F103" t="s">
        <v>553</v>
      </c>
      <c r="G103" t="s">
        <v>3529</v>
      </c>
      <c r="H103" t="s">
        <v>4843</v>
      </c>
      <c r="I103" t="s">
        <v>3461</v>
      </c>
      <c r="J103" t="s">
        <v>3523</v>
      </c>
    </row>
    <row r="104" spans="1:10" ht="15" customHeight="1" x14ac:dyDescent="0.25">
      <c r="A104" t="s">
        <v>4844</v>
      </c>
      <c r="B104" t="s">
        <v>41</v>
      </c>
      <c r="C104" t="s">
        <v>3512</v>
      </c>
      <c r="D104" t="s">
        <v>4845</v>
      </c>
      <c r="E104" t="s">
        <v>4846</v>
      </c>
      <c r="F104" t="s">
        <v>1322</v>
      </c>
      <c r="H104" t="s">
        <v>4847</v>
      </c>
      <c r="I104" t="s">
        <v>3461</v>
      </c>
      <c r="J104" t="s">
        <v>4848</v>
      </c>
    </row>
    <row r="105" spans="1:10" ht="15" customHeight="1" x14ac:dyDescent="0.25">
      <c r="A105" t="s">
        <v>4849</v>
      </c>
      <c r="B105" t="s">
        <v>3517</v>
      </c>
      <c r="C105" t="s">
        <v>4511</v>
      </c>
      <c r="D105" t="s">
        <v>4850</v>
      </c>
      <c r="F105" t="s">
        <v>1649</v>
      </c>
      <c r="G105" t="s">
        <v>4851</v>
      </c>
      <c r="H105" t="s">
        <v>4852</v>
      </c>
      <c r="I105" t="s">
        <v>3461</v>
      </c>
      <c r="J105" t="s">
        <v>3444</v>
      </c>
    </row>
    <row r="106" spans="1:10" ht="15" customHeight="1" x14ac:dyDescent="0.25">
      <c r="A106" t="s">
        <v>4853</v>
      </c>
      <c r="B106" t="s">
        <v>3505</v>
      </c>
      <c r="C106" t="s">
        <v>3512</v>
      </c>
      <c r="D106" t="s">
        <v>4854</v>
      </c>
      <c r="E106" t="s">
        <v>4855</v>
      </c>
      <c r="F106" t="s">
        <v>90</v>
      </c>
      <c r="G106" t="s">
        <v>3662</v>
      </c>
      <c r="H106" t="s">
        <v>4856</v>
      </c>
      <c r="I106" t="s">
        <v>3461</v>
      </c>
      <c r="J106" t="s">
        <v>3515</v>
      </c>
    </row>
    <row r="107" spans="1:10" ht="15" customHeight="1" x14ac:dyDescent="0.25">
      <c r="A107" t="s">
        <v>4857</v>
      </c>
      <c r="B107" t="s">
        <v>41</v>
      </c>
      <c r="C107" t="s">
        <v>3512</v>
      </c>
      <c r="D107" t="s">
        <v>4858</v>
      </c>
      <c r="E107" t="s">
        <v>4859</v>
      </c>
      <c r="F107" t="s">
        <v>90</v>
      </c>
      <c r="G107" t="s">
        <v>3691</v>
      </c>
      <c r="H107" t="s">
        <v>4860</v>
      </c>
      <c r="I107" t="s">
        <v>3461</v>
      </c>
      <c r="J107" t="s">
        <v>4462</v>
      </c>
    </row>
    <row r="108" spans="1:10" ht="15" customHeight="1" x14ac:dyDescent="0.25">
      <c r="A108" t="s">
        <v>4861</v>
      </c>
      <c r="B108" t="s">
        <v>3517</v>
      </c>
      <c r="C108" t="s">
        <v>3512</v>
      </c>
      <c r="D108" t="s">
        <v>4862</v>
      </c>
      <c r="E108" t="s">
        <v>4863</v>
      </c>
      <c r="F108" t="s">
        <v>501</v>
      </c>
      <c r="G108" t="s">
        <v>4647</v>
      </c>
      <c r="H108" t="s">
        <v>4864</v>
      </c>
      <c r="I108" t="s">
        <v>3461</v>
      </c>
      <c r="J108" t="s">
        <v>3515</v>
      </c>
    </row>
    <row r="109" spans="1:10" ht="15" customHeight="1" x14ac:dyDescent="0.25">
      <c r="A109" t="s">
        <v>4865</v>
      </c>
      <c r="B109" t="s">
        <v>41</v>
      </c>
      <c r="C109" t="s">
        <v>3526</v>
      </c>
      <c r="D109" t="s">
        <v>4866</v>
      </c>
      <c r="E109" t="s">
        <v>4867</v>
      </c>
      <c r="F109" t="s">
        <v>1046</v>
      </c>
      <c r="G109" t="s">
        <v>4868</v>
      </c>
      <c r="H109" t="s">
        <v>4865</v>
      </c>
      <c r="I109" t="s">
        <v>3461</v>
      </c>
      <c r="J109" t="s">
        <v>3523</v>
      </c>
    </row>
    <row r="110" spans="1:10" ht="15" customHeight="1" x14ac:dyDescent="0.25">
      <c r="A110" t="s">
        <v>4869</v>
      </c>
      <c r="B110" t="s">
        <v>3517</v>
      </c>
      <c r="C110" t="s">
        <v>4560</v>
      </c>
      <c r="D110" t="s">
        <v>4870</v>
      </c>
      <c r="F110" t="s">
        <v>160</v>
      </c>
      <c r="G110" t="s">
        <v>4871</v>
      </c>
      <c r="H110" t="s">
        <v>4872</v>
      </c>
      <c r="I110" t="s">
        <v>3461</v>
      </c>
      <c r="J110" t="s">
        <v>4462</v>
      </c>
    </row>
    <row r="111" spans="1:10" ht="15" customHeight="1" x14ac:dyDescent="0.25">
      <c r="A111" t="s">
        <v>4873</v>
      </c>
      <c r="B111" t="s">
        <v>41</v>
      </c>
      <c r="C111" t="s">
        <v>3675</v>
      </c>
      <c r="D111" t="s">
        <v>4874</v>
      </c>
      <c r="F111" t="s">
        <v>160</v>
      </c>
      <c r="G111" t="s">
        <v>4875</v>
      </c>
      <c r="H111" t="s">
        <v>4876</v>
      </c>
      <c r="I111" t="s">
        <v>3461</v>
      </c>
      <c r="J111" t="s">
        <v>3683</v>
      </c>
    </row>
    <row r="112" spans="1:10" ht="15" customHeight="1" x14ac:dyDescent="0.25">
      <c r="A112" t="s">
        <v>4877</v>
      </c>
      <c r="B112" t="s">
        <v>3505</v>
      </c>
      <c r="C112" t="s">
        <v>3512</v>
      </c>
      <c r="D112" t="s">
        <v>4878</v>
      </c>
      <c r="E112" t="s">
        <v>4879</v>
      </c>
      <c r="F112" t="s">
        <v>90</v>
      </c>
      <c r="H112" t="s">
        <v>4880</v>
      </c>
      <c r="I112" t="s">
        <v>3461</v>
      </c>
      <c r="J112" t="s">
        <v>3515</v>
      </c>
    </row>
    <row r="113" spans="1:10" ht="15" customHeight="1" x14ac:dyDescent="0.25">
      <c r="A113" t="s">
        <v>4881</v>
      </c>
      <c r="B113" t="s">
        <v>3517</v>
      </c>
      <c r="C113" t="s">
        <v>3512</v>
      </c>
      <c r="D113" t="s">
        <v>4882</v>
      </c>
      <c r="E113" t="s">
        <v>4883</v>
      </c>
      <c r="F113" t="s">
        <v>90</v>
      </c>
      <c r="G113" t="s">
        <v>4619</v>
      </c>
      <c r="H113" t="s">
        <v>4884</v>
      </c>
      <c r="I113" t="s">
        <v>3461</v>
      </c>
      <c r="J113" t="s">
        <v>3580</v>
      </c>
    </row>
    <row r="114" spans="1:10" ht="15" customHeight="1" x14ac:dyDescent="0.25">
      <c r="A114" t="s">
        <v>4885</v>
      </c>
      <c r="B114" t="s">
        <v>41</v>
      </c>
      <c r="C114" t="s">
        <v>3512</v>
      </c>
      <c r="D114" t="s">
        <v>4886</v>
      </c>
      <c r="E114" t="s">
        <v>4887</v>
      </c>
      <c r="F114" t="s">
        <v>90</v>
      </c>
      <c r="G114" t="s">
        <v>4888</v>
      </c>
      <c r="H114" t="s">
        <v>4889</v>
      </c>
      <c r="I114" t="s">
        <v>3461</v>
      </c>
      <c r="J114" t="s">
        <v>3444</v>
      </c>
    </row>
    <row r="115" spans="1:10" ht="15" customHeight="1" x14ac:dyDescent="0.25">
      <c r="A115" t="s">
        <v>4890</v>
      </c>
      <c r="B115" t="s">
        <v>3505</v>
      </c>
      <c r="C115" t="s">
        <v>3512</v>
      </c>
      <c r="D115" t="s">
        <v>4891</v>
      </c>
      <c r="E115" t="s">
        <v>4892</v>
      </c>
      <c r="F115" t="s">
        <v>90</v>
      </c>
      <c r="G115" t="s">
        <v>4624</v>
      </c>
      <c r="H115" t="s">
        <v>4890</v>
      </c>
      <c r="I115" t="s">
        <v>3461</v>
      </c>
      <c r="J115" t="s">
        <v>3515</v>
      </c>
    </row>
    <row r="116" spans="1:10" ht="15" customHeight="1" x14ac:dyDescent="0.25">
      <c r="A116" t="s">
        <v>3719</v>
      </c>
      <c r="B116" t="s">
        <v>3517</v>
      </c>
      <c r="C116" t="s">
        <v>3512</v>
      </c>
      <c r="D116" t="s">
        <v>3720</v>
      </c>
      <c r="F116" t="s">
        <v>553</v>
      </c>
      <c r="G116" t="s">
        <v>3722</v>
      </c>
      <c r="H116" t="s">
        <v>3723</v>
      </c>
      <c r="I116" t="s">
        <v>3461</v>
      </c>
      <c r="J116" t="s">
        <v>3580</v>
      </c>
    </row>
    <row r="117" spans="1:10" ht="15" customHeight="1" x14ac:dyDescent="0.25">
      <c r="A117" t="s">
        <v>4893</v>
      </c>
      <c r="B117" t="s">
        <v>41</v>
      </c>
      <c r="C117" t="s">
        <v>4511</v>
      </c>
      <c r="D117" t="s">
        <v>4894</v>
      </c>
      <c r="E117" t="s">
        <v>4895</v>
      </c>
      <c r="F117" t="s">
        <v>1649</v>
      </c>
      <c r="G117" t="s">
        <v>4514</v>
      </c>
      <c r="H117" t="s">
        <v>4893</v>
      </c>
      <c r="I117" t="s">
        <v>3461</v>
      </c>
      <c r="J117" t="s">
        <v>3523</v>
      </c>
    </row>
    <row r="118" spans="1:10" ht="15" customHeight="1" x14ac:dyDescent="0.25">
      <c r="A118" t="s">
        <v>3724</v>
      </c>
      <c r="B118" t="s">
        <v>41</v>
      </c>
      <c r="C118" t="s">
        <v>3526</v>
      </c>
      <c r="D118" t="s">
        <v>4896</v>
      </c>
      <c r="E118" t="s">
        <v>4897</v>
      </c>
      <c r="F118" t="s">
        <v>90</v>
      </c>
      <c r="H118" t="s">
        <v>3724</v>
      </c>
      <c r="I118" t="s">
        <v>3461</v>
      </c>
      <c r="J118" t="s">
        <v>3523</v>
      </c>
    </row>
    <row r="119" spans="1:10" ht="15" customHeight="1" x14ac:dyDescent="0.25">
      <c r="A119" t="s">
        <v>4898</v>
      </c>
      <c r="B119" t="s">
        <v>3505</v>
      </c>
      <c r="C119" t="s">
        <v>3582</v>
      </c>
      <c r="D119" t="s">
        <v>4899</v>
      </c>
      <c r="F119" t="s">
        <v>160</v>
      </c>
      <c r="H119" t="s">
        <v>4900</v>
      </c>
      <c r="I119" t="s">
        <v>3461</v>
      </c>
      <c r="J119" t="s">
        <v>3683</v>
      </c>
    </row>
    <row r="120" spans="1:10" ht="15" customHeight="1" x14ac:dyDescent="0.25">
      <c r="A120" t="s">
        <v>4901</v>
      </c>
      <c r="B120" t="s">
        <v>3505</v>
      </c>
      <c r="C120" t="s">
        <v>3512</v>
      </c>
      <c r="D120" t="s">
        <v>4902</v>
      </c>
      <c r="E120" t="s">
        <v>4903</v>
      </c>
      <c r="F120" t="s">
        <v>1129</v>
      </c>
      <c r="G120" t="s">
        <v>4904</v>
      </c>
      <c r="H120" t="s">
        <v>4905</v>
      </c>
      <c r="I120" t="s">
        <v>3461</v>
      </c>
      <c r="J120" t="s">
        <v>4568</v>
      </c>
    </row>
    <row r="121" spans="1:10" ht="15" customHeight="1" x14ac:dyDescent="0.25">
      <c r="A121" t="s">
        <v>3727</v>
      </c>
      <c r="B121" t="s">
        <v>3728</v>
      </c>
      <c r="C121" t="s">
        <v>4906</v>
      </c>
      <c r="D121" t="s">
        <v>4907</v>
      </c>
      <c r="F121" t="s">
        <v>1795</v>
      </c>
      <c r="G121" t="s">
        <v>3730</v>
      </c>
      <c r="H121" t="s">
        <v>3731</v>
      </c>
      <c r="I121" t="s">
        <v>3461</v>
      </c>
      <c r="J121" t="s">
        <v>3580</v>
      </c>
    </row>
    <row r="122" spans="1:10" ht="15" customHeight="1" x14ac:dyDescent="0.25">
      <c r="A122" t="s">
        <v>4908</v>
      </c>
      <c r="B122" t="s">
        <v>41</v>
      </c>
      <c r="C122" t="s">
        <v>3518</v>
      </c>
      <c r="D122" t="s">
        <v>4909</v>
      </c>
      <c r="E122" t="s">
        <v>4910</v>
      </c>
      <c r="F122" t="s">
        <v>90</v>
      </c>
      <c r="H122" t="s">
        <v>4911</v>
      </c>
      <c r="I122" t="s">
        <v>3461</v>
      </c>
      <c r="J122" t="s">
        <v>3515</v>
      </c>
    </row>
    <row r="123" spans="1:10" ht="15" customHeight="1" x14ac:dyDescent="0.25">
      <c r="A123" t="s">
        <v>4912</v>
      </c>
      <c r="B123" t="s">
        <v>3517</v>
      </c>
      <c r="C123" t="s">
        <v>3526</v>
      </c>
      <c r="D123" t="s">
        <v>4913</v>
      </c>
      <c r="E123" t="s">
        <v>4914</v>
      </c>
      <c r="F123" t="s">
        <v>497</v>
      </c>
      <c r="G123" t="s">
        <v>264</v>
      </c>
      <c r="H123" t="s">
        <v>4912</v>
      </c>
      <c r="I123" t="s">
        <v>3461</v>
      </c>
      <c r="J123" t="s">
        <v>3523</v>
      </c>
    </row>
    <row r="124" spans="1:10" ht="15" customHeight="1" x14ac:dyDescent="0.25">
      <c r="A124" t="s">
        <v>4915</v>
      </c>
      <c r="B124" t="s">
        <v>41</v>
      </c>
      <c r="C124" t="s">
        <v>3518</v>
      </c>
      <c r="D124" t="s">
        <v>4916</v>
      </c>
      <c r="E124" t="s">
        <v>4917</v>
      </c>
      <c r="F124" t="s">
        <v>90</v>
      </c>
      <c r="G124" t="s">
        <v>3662</v>
      </c>
      <c r="H124" t="s">
        <v>4915</v>
      </c>
      <c r="I124" t="s">
        <v>3461</v>
      </c>
      <c r="J124" t="s">
        <v>4462</v>
      </c>
    </row>
    <row r="125" spans="1:10" ht="15" customHeight="1" x14ac:dyDescent="0.25">
      <c r="A125" t="s">
        <v>4918</v>
      </c>
      <c r="B125" t="s">
        <v>3505</v>
      </c>
      <c r="C125" t="s">
        <v>4919</v>
      </c>
      <c r="D125" t="s">
        <v>4920</v>
      </c>
      <c r="E125" t="s">
        <v>4921</v>
      </c>
      <c r="F125" t="s">
        <v>90</v>
      </c>
      <c r="G125" t="s">
        <v>4439</v>
      </c>
      <c r="H125" t="s">
        <v>4922</v>
      </c>
      <c r="I125" t="s">
        <v>3461</v>
      </c>
      <c r="J125" t="s">
        <v>3683</v>
      </c>
    </row>
    <row r="126" spans="1:10" ht="15" customHeight="1" x14ac:dyDescent="0.25">
      <c r="A126" t="s">
        <v>4923</v>
      </c>
      <c r="B126" t="s">
        <v>3517</v>
      </c>
      <c r="C126" t="s">
        <v>3526</v>
      </c>
      <c r="D126" t="s">
        <v>4924</v>
      </c>
      <c r="E126" t="s">
        <v>4925</v>
      </c>
      <c r="F126" t="s">
        <v>497</v>
      </c>
      <c r="G126" t="s">
        <v>3722</v>
      </c>
      <c r="H126" t="s">
        <v>4923</v>
      </c>
      <c r="I126" t="s">
        <v>3461</v>
      </c>
      <c r="J126" t="s">
        <v>3523</v>
      </c>
    </row>
    <row r="127" spans="1:10" ht="15" customHeight="1" x14ac:dyDescent="0.25">
      <c r="A127" t="s">
        <v>3732</v>
      </c>
      <c r="B127" t="s">
        <v>41</v>
      </c>
      <c r="C127" t="s">
        <v>3675</v>
      </c>
      <c r="D127" t="s">
        <v>4926</v>
      </c>
      <c r="E127" t="s">
        <v>4927</v>
      </c>
      <c r="F127" t="s">
        <v>160</v>
      </c>
      <c r="G127" t="s">
        <v>4928</v>
      </c>
      <c r="H127" t="s">
        <v>3736</v>
      </c>
      <c r="I127" t="s">
        <v>3461</v>
      </c>
      <c r="J127" t="s">
        <v>3580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4929</v>
      </c>
      <c r="B1" t="s">
        <v>1</v>
      </c>
      <c r="C1" t="s">
        <v>167</v>
      </c>
      <c r="D1" t="s">
        <v>3737</v>
      </c>
      <c r="E1" t="s">
        <v>4930</v>
      </c>
      <c r="F1" t="s">
        <v>6</v>
      </c>
      <c r="G1" t="s">
        <v>4931</v>
      </c>
      <c r="H1" t="s">
        <v>4932</v>
      </c>
      <c r="I1" t="s">
        <v>4933</v>
      </c>
      <c r="J1" t="s">
        <v>4263</v>
      </c>
      <c r="K1" t="s">
        <v>4934</v>
      </c>
      <c r="L1" t="s">
        <v>4</v>
      </c>
      <c r="M1" t="s">
        <v>170</v>
      </c>
    </row>
    <row r="2" spans="1:13" ht="15" customHeight="1" x14ac:dyDescent="0.25">
      <c r="A2" t="s">
        <v>4935</v>
      </c>
      <c r="B2" t="s">
        <v>1649</v>
      </c>
      <c r="C2" t="s">
        <v>222</v>
      </c>
      <c r="D2" t="s">
        <v>39</v>
      </c>
      <c r="E2">
        <v>0</v>
      </c>
      <c r="F2" t="s">
        <v>41</v>
      </c>
      <c r="G2" t="s">
        <v>4936</v>
      </c>
      <c r="H2" t="s">
        <v>4937</v>
      </c>
      <c r="I2" t="s">
        <v>4000</v>
      </c>
      <c r="J2" t="s">
        <v>4938</v>
      </c>
      <c r="K2" t="s">
        <v>3461</v>
      </c>
      <c r="L2" t="s">
        <v>4300</v>
      </c>
      <c r="M2" t="s">
        <v>4939</v>
      </c>
    </row>
    <row r="3" spans="1:13" ht="15" customHeight="1" x14ac:dyDescent="0.25">
      <c r="A3" t="s">
        <v>4940</v>
      </c>
      <c r="B3" t="s">
        <v>1649</v>
      </c>
      <c r="C3" t="s">
        <v>222</v>
      </c>
      <c r="D3" t="s">
        <v>39</v>
      </c>
      <c r="E3">
        <v>0</v>
      </c>
      <c r="F3" t="s">
        <v>41</v>
      </c>
      <c r="G3" t="s">
        <v>4941</v>
      </c>
      <c r="H3" t="s">
        <v>4942</v>
      </c>
      <c r="I3" t="s">
        <v>4000</v>
      </c>
      <c r="J3" t="s">
        <v>4943</v>
      </c>
      <c r="K3" t="s">
        <v>3461</v>
      </c>
      <c r="L3" t="s">
        <v>4300</v>
      </c>
      <c r="M3" t="s">
        <v>264</v>
      </c>
    </row>
    <row r="4" spans="1:13" ht="15" customHeight="1" x14ac:dyDescent="0.25">
      <c r="A4" t="s">
        <v>4944</v>
      </c>
      <c r="B4" t="s">
        <v>90</v>
      </c>
      <c r="C4" t="s">
        <v>182</v>
      </c>
      <c r="D4" t="s">
        <v>39</v>
      </c>
      <c r="E4">
        <v>0</v>
      </c>
      <c r="F4" t="s">
        <v>3517</v>
      </c>
      <c r="G4" t="s">
        <v>4945</v>
      </c>
      <c r="H4" t="s">
        <v>4945</v>
      </c>
      <c r="I4" t="s">
        <v>4000</v>
      </c>
      <c r="J4" t="s">
        <v>4946</v>
      </c>
      <c r="K4">
        <v>1</v>
      </c>
      <c r="L4" t="s">
        <v>4300</v>
      </c>
    </row>
    <row r="5" spans="1:13" ht="15" customHeight="1" x14ac:dyDescent="0.25">
      <c r="A5" t="s">
        <v>4947</v>
      </c>
      <c r="B5" t="s">
        <v>90</v>
      </c>
      <c r="C5" t="s">
        <v>182</v>
      </c>
      <c r="D5" t="s">
        <v>4948</v>
      </c>
      <c r="E5">
        <v>0</v>
      </c>
      <c r="F5" t="s">
        <v>41</v>
      </c>
      <c r="G5" t="s">
        <v>3461</v>
      </c>
      <c r="H5" t="s">
        <v>4949</v>
      </c>
      <c r="I5" t="s">
        <v>4000</v>
      </c>
      <c r="J5" t="s">
        <v>4950</v>
      </c>
      <c r="K5" t="s">
        <v>3461</v>
      </c>
      <c r="L5" t="s">
        <v>4300</v>
      </c>
      <c r="M5" t="s">
        <v>4951</v>
      </c>
    </row>
    <row r="9" spans="1:13" ht="15" customHeight="1" x14ac:dyDescent="0.25">
      <c r="A9" t="s">
        <v>4952</v>
      </c>
      <c r="B9" t="s">
        <v>4953</v>
      </c>
      <c r="C9" t="s">
        <v>4954</v>
      </c>
      <c r="F9" t="s">
        <v>4955</v>
      </c>
      <c r="G9" t="s">
        <v>4956</v>
      </c>
      <c r="J9" t="s">
        <v>3461</v>
      </c>
    </row>
    <row r="10" spans="1:13" ht="15" customHeight="1" x14ac:dyDescent="0.25">
      <c r="A10" t="s">
        <v>4957</v>
      </c>
      <c r="B10" t="s">
        <v>4958</v>
      </c>
      <c r="C10" t="s">
        <v>4959</v>
      </c>
      <c r="F10" t="s">
        <v>4960</v>
      </c>
      <c r="G10" t="s">
        <v>4961</v>
      </c>
      <c r="J10" t="s">
        <v>4962</v>
      </c>
    </row>
    <row r="11" spans="1:13" ht="15" customHeight="1" x14ac:dyDescent="0.25">
      <c r="A11" t="s">
        <v>4963</v>
      </c>
      <c r="B11" t="s">
        <v>4964</v>
      </c>
      <c r="C11" t="s">
        <v>4965</v>
      </c>
      <c r="F11" t="s">
        <v>4966</v>
      </c>
      <c r="J11" t="s">
        <v>3461</v>
      </c>
    </row>
    <row r="12" spans="1:13" ht="15" customHeight="1" x14ac:dyDescent="0.25">
      <c r="A12" t="s">
        <v>4967</v>
      </c>
      <c r="B12" t="s">
        <v>4968</v>
      </c>
      <c r="C12" t="s">
        <v>4969</v>
      </c>
      <c r="F12" t="s">
        <v>4970</v>
      </c>
    </row>
    <row r="13" spans="1:13" ht="15" customHeight="1" x14ac:dyDescent="0.25">
      <c r="A13" t="s">
        <v>4971</v>
      </c>
      <c r="B13" t="s">
        <v>4972</v>
      </c>
      <c r="C13" t="s">
        <v>4973</v>
      </c>
      <c r="F13" t="s">
        <v>4974</v>
      </c>
      <c r="G13" t="s">
        <v>4975</v>
      </c>
      <c r="I13" t="s">
        <v>4233</v>
      </c>
    </row>
    <row r="14" spans="1:13" ht="15" customHeight="1" x14ac:dyDescent="0.25">
      <c r="A14" t="s">
        <v>4976</v>
      </c>
      <c r="B14" t="s">
        <v>4977</v>
      </c>
      <c r="C14" t="s">
        <v>4978</v>
      </c>
      <c r="F14" t="s">
        <v>4979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3456</v>
      </c>
      <c r="E1" t="s">
        <v>3499</v>
      </c>
      <c r="F1" t="s">
        <v>4980</v>
      </c>
      <c r="G1" t="s">
        <v>3500</v>
      </c>
      <c r="H1" t="s">
        <v>4981</v>
      </c>
      <c r="I1" t="s">
        <v>4982</v>
      </c>
      <c r="J1" t="s">
        <v>4263</v>
      </c>
      <c r="K1" t="s">
        <v>170</v>
      </c>
    </row>
    <row r="2" spans="1:11" ht="15" customHeight="1" x14ac:dyDescent="0.25">
      <c r="A2" t="s">
        <v>4971</v>
      </c>
      <c r="B2" t="s">
        <v>4983</v>
      </c>
      <c r="C2" t="s">
        <v>3517</v>
      </c>
      <c r="D2" t="s">
        <v>4984</v>
      </c>
      <c r="E2" t="s">
        <v>4985</v>
      </c>
      <c r="F2" t="s">
        <v>4986</v>
      </c>
      <c r="G2" t="s">
        <v>160</v>
      </c>
      <c r="H2" t="s">
        <v>4987</v>
      </c>
      <c r="I2" t="s">
        <v>4988</v>
      </c>
      <c r="J2" t="s">
        <v>4989</v>
      </c>
    </row>
    <row r="3" spans="1:11" ht="15" customHeight="1" x14ac:dyDescent="0.25">
      <c r="A3" t="s">
        <v>4990</v>
      </c>
      <c r="B3" t="s">
        <v>4991</v>
      </c>
      <c r="C3" t="s">
        <v>41</v>
      </c>
      <c r="D3" t="s">
        <v>4992</v>
      </c>
      <c r="E3" t="s">
        <v>4993</v>
      </c>
      <c r="F3" t="s">
        <v>4994</v>
      </c>
      <c r="G3" t="s">
        <v>1649</v>
      </c>
      <c r="J3" t="s">
        <v>4995</v>
      </c>
    </row>
    <row r="4" spans="1:11" ht="15" customHeight="1" x14ac:dyDescent="0.25">
      <c r="A4" t="s">
        <v>4996</v>
      </c>
      <c r="B4" t="s">
        <v>4991</v>
      </c>
      <c r="C4" t="s">
        <v>41</v>
      </c>
      <c r="D4" t="s">
        <v>4997</v>
      </c>
      <c r="E4" t="s">
        <v>4998</v>
      </c>
      <c r="F4" t="s">
        <v>4999</v>
      </c>
      <c r="G4" t="s">
        <v>1046</v>
      </c>
      <c r="J4" t="s">
        <v>5000</v>
      </c>
    </row>
    <row r="5" spans="1:11" ht="15" customHeight="1" x14ac:dyDescent="0.25">
      <c r="A5" t="s">
        <v>5001</v>
      </c>
      <c r="B5" t="s">
        <v>3683</v>
      </c>
      <c r="C5" t="s">
        <v>41</v>
      </c>
      <c r="D5" t="s">
        <v>5002</v>
      </c>
      <c r="E5" t="s">
        <v>5003</v>
      </c>
      <c r="F5" t="s">
        <v>3461</v>
      </c>
      <c r="G5" t="s">
        <v>2132</v>
      </c>
      <c r="J5" t="s">
        <v>5004</v>
      </c>
    </row>
    <row r="6" spans="1:11" ht="15" customHeight="1" x14ac:dyDescent="0.25">
      <c r="A6" t="s">
        <v>5005</v>
      </c>
      <c r="B6" t="s">
        <v>3683</v>
      </c>
      <c r="C6" t="s">
        <v>3505</v>
      </c>
      <c r="D6" t="s">
        <v>5006</v>
      </c>
      <c r="E6" t="s">
        <v>5007</v>
      </c>
      <c r="F6" t="s">
        <v>3461</v>
      </c>
      <c r="G6" t="s">
        <v>2132</v>
      </c>
      <c r="J6" t="s">
        <v>5008</v>
      </c>
    </row>
    <row r="7" spans="1:11" ht="15" customHeight="1" x14ac:dyDescent="0.25">
      <c r="A7" t="s">
        <v>5009</v>
      </c>
      <c r="B7" t="s">
        <v>5010</v>
      </c>
      <c r="C7" t="s">
        <v>41</v>
      </c>
      <c r="D7" t="s">
        <v>5011</v>
      </c>
      <c r="E7" t="s">
        <v>5012</v>
      </c>
      <c r="F7" t="s">
        <v>3461</v>
      </c>
      <c r="G7" t="s">
        <v>759</v>
      </c>
      <c r="J7" t="s">
        <v>5013</v>
      </c>
    </row>
    <row r="8" spans="1:11" ht="15" customHeight="1" x14ac:dyDescent="0.25">
      <c r="A8" t="s">
        <v>5014</v>
      </c>
      <c r="B8" t="s">
        <v>4983</v>
      </c>
      <c r="C8" t="s">
        <v>3505</v>
      </c>
      <c r="D8" t="s">
        <v>5015</v>
      </c>
      <c r="E8" t="s">
        <v>5016</v>
      </c>
      <c r="F8" t="s">
        <v>3461</v>
      </c>
      <c r="G8" t="s">
        <v>160</v>
      </c>
      <c r="H8" t="s">
        <v>5017</v>
      </c>
      <c r="I8" t="s">
        <v>5018</v>
      </c>
      <c r="J8" t="s">
        <v>5019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3737</v>
      </c>
      <c r="D1" t="s">
        <v>5020</v>
      </c>
      <c r="E1" t="s">
        <v>5021</v>
      </c>
      <c r="F1" t="s">
        <v>5022</v>
      </c>
      <c r="G1" t="s">
        <v>3742</v>
      </c>
      <c r="H1" t="s">
        <v>1</v>
      </c>
      <c r="I1" t="s">
        <v>5023</v>
      </c>
      <c r="J1" t="s">
        <v>5024</v>
      </c>
      <c r="K1" t="s">
        <v>171</v>
      </c>
      <c r="L1" t="s">
        <v>5025</v>
      </c>
      <c r="M1" t="s">
        <v>3743</v>
      </c>
    </row>
    <row r="2" spans="1:13" ht="27.75" customHeight="1" x14ac:dyDescent="0.25">
      <c r="A2" t="s">
        <v>3805</v>
      </c>
      <c r="B2" t="s">
        <v>5026</v>
      </c>
      <c r="C2" t="s">
        <v>4366</v>
      </c>
      <c r="D2">
        <v>2</v>
      </c>
      <c r="E2">
        <v>48</v>
      </c>
      <c r="F2">
        <v>54</v>
      </c>
      <c r="G2" t="s">
        <v>3461</v>
      </c>
      <c r="H2" t="s">
        <v>90</v>
      </c>
      <c r="I2" t="s">
        <v>4399</v>
      </c>
      <c r="J2" s="3" t="s">
        <v>5027</v>
      </c>
      <c r="K2" t="s">
        <v>3805</v>
      </c>
      <c r="L2" t="s">
        <v>3461</v>
      </c>
    </row>
    <row r="3" spans="1:13" ht="41.25" customHeight="1" x14ac:dyDescent="0.25">
      <c r="A3" t="s">
        <v>3834</v>
      </c>
      <c r="B3" t="s">
        <v>5026</v>
      </c>
      <c r="C3" t="s">
        <v>4370</v>
      </c>
      <c r="D3">
        <v>6</v>
      </c>
      <c r="E3">
        <v>114</v>
      </c>
      <c r="F3">
        <v>120</v>
      </c>
      <c r="G3" t="s">
        <v>3461</v>
      </c>
      <c r="H3" t="s">
        <v>90</v>
      </c>
      <c r="I3" t="s">
        <v>4399</v>
      </c>
      <c r="J3" s="3" t="s">
        <v>5028</v>
      </c>
      <c r="K3" t="s">
        <v>3834</v>
      </c>
      <c r="L3" t="s">
        <v>3461</v>
      </c>
    </row>
    <row r="4" spans="1:13" ht="15" customHeight="1" x14ac:dyDescent="0.25">
      <c r="A4" t="s">
        <v>3840</v>
      </c>
      <c r="B4" t="s">
        <v>5026</v>
      </c>
      <c r="C4" t="s">
        <v>5029</v>
      </c>
      <c r="D4">
        <v>9</v>
      </c>
      <c r="E4">
        <v>999</v>
      </c>
      <c r="F4">
        <v>999</v>
      </c>
      <c r="G4" t="s">
        <v>5030</v>
      </c>
      <c r="H4" t="s">
        <v>90</v>
      </c>
      <c r="I4" t="s">
        <v>4399</v>
      </c>
      <c r="J4" t="s">
        <v>5031</v>
      </c>
      <c r="K4" t="s">
        <v>3840</v>
      </c>
      <c r="L4" t="s">
        <v>3461</v>
      </c>
    </row>
    <row r="5" spans="1:13" ht="54.75" customHeight="1" x14ac:dyDescent="0.25">
      <c r="A5" t="s">
        <v>5032</v>
      </c>
      <c r="B5" t="s">
        <v>5026</v>
      </c>
      <c r="C5" t="s">
        <v>4366</v>
      </c>
      <c r="D5">
        <v>3</v>
      </c>
      <c r="E5">
        <v>40</v>
      </c>
      <c r="F5">
        <v>44</v>
      </c>
      <c r="G5" t="s">
        <v>3461</v>
      </c>
      <c r="H5" t="s">
        <v>90</v>
      </c>
      <c r="I5" t="s">
        <v>4399</v>
      </c>
      <c r="J5" s="3" t="s">
        <v>5033</v>
      </c>
      <c r="K5" t="s">
        <v>5034</v>
      </c>
      <c r="L5" t="s">
        <v>3461</v>
      </c>
    </row>
    <row r="6" spans="1:13" ht="27.75" customHeight="1" x14ac:dyDescent="0.25">
      <c r="A6" t="s">
        <v>5035</v>
      </c>
      <c r="B6" t="s">
        <v>5026</v>
      </c>
      <c r="C6" t="s">
        <v>4366</v>
      </c>
      <c r="D6">
        <v>1</v>
      </c>
      <c r="E6">
        <v>10</v>
      </c>
      <c r="F6">
        <v>15</v>
      </c>
      <c r="G6" t="s">
        <v>5036</v>
      </c>
      <c r="H6" t="s">
        <v>90</v>
      </c>
      <c r="I6" t="s">
        <v>4399</v>
      </c>
      <c r="J6" s="3" t="s">
        <v>5037</v>
      </c>
      <c r="K6" t="s">
        <v>5038</v>
      </c>
      <c r="L6" t="s">
        <v>3461</v>
      </c>
      <c r="M6" t="s">
        <v>4636</v>
      </c>
    </row>
    <row r="7" spans="1:13" ht="27.75" customHeight="1" x14ac:dyDescent="0.25">
      <c r="A7" t="s">
        <v>5039</v>
      </c>
      <c r="B7" t="s">
        <v>5026</v>
      </c>
      <c r="C7" t="s">
        <v>4366</v>
      </c>
      <c r="D7">
        <v>1</v>
      </c>
      <c r="E7">
        <v>11</v>
      </c>
      <c r="F7">
        <v>17</v>
      </c>
      <c r="G7" t="s">
        <v>5036</v>
      </c>
      <c r="H7" t="s">
        <v>90</v>
      </c>
      <c r="I7" t="s">
        <v>4399</v>
      </c>
      <c r="J7" s="3" t="s">
        <v>5040</v>
      </c>
      <c r="K7" t="s">
        <v>5041</v>
      </c>
      <c r="L7" t="s">
        <v>3461</v>
      </c>
      <c r="M7" t="s">
        <v>4636</v>
      </c>
    </row>
    <row r="8" spans="1:13" ht="41.25" customHeight="1" x14ac:dyDescent="0.25">
      <c r="A8" t="s">
        <v>5042</v>
      </c>
      <c r="B8" t="s">
        <v>5026</v>
      </c>
      <c r="C8" t="s">
        <v>4366</v>
      </c>
      <c r="D8">
        <v>4</v>
      </c>
      <c r="E8">
        <v>65</v>
      </c>
      <c r="F8">
        <v>69</v>
      </c>
      <c r="G8" t="s">
        <v>5043</v>
      </c>
      <c r="H8" t="s">
        <v>90</v>
      </c>
      <c r="I8" t="s">
        <v>4399</v>
      </c>
      <c r="J8" s="3" t="s">
        <v>5044</v>
      </c>
      <c r="K8" t="s">
        <v>5045</v>
      </c>
      <c r="L8" t="s">
        <v>3461</v>
      </c>
      <c r="M8" t="s">
        <v>3830</v>
      </c>
    </row>
    <row r="9" spans="1:13" ht="41.25" customHeight="1" x14ac:dyDescent="0.25">
      <c r="A9" t="s">
        <v>5046</v>
      </c>
      <c r="B9" t="s">
        <v>5026</v>
      </c>
      <c r="C9" t="s">
        <v>4366</v>
      </c>
      <c r="D9">
        <v>2</v>
      </c>
      <c r="E9">
        <v>28</v>
      </c>
      <c r="F9">
        <v>32</v>
      </c>
      <c r="G9" t="s">
        <v>3461</v>
      </c>
      <c r="H9" t="s">
        <v>90</v>
      </c>
      <c r="I9" t="s">
        <v>4399</v>
      </c>
      <c r="J9" s="3" t="s">
        <v>5047</v>
      </c>
      <c r="K9" t="s">
        <v>5048</v>
      </c>
      <c r="L9" t="s">
        <v>3461</v>
      </c>
      <c r="M9" t="s">
        <v>3830</v>
      </c>
    </row>
    <row r="10" spans="1:13" ht="27.75" customHeight="1" x14ac:dyDescent="0.25">
      <c r="A10" t="s">
        <v>5049</v>
      </c>
      <c r="B10" t="s">
        <v>5026</v>
      </c>
      <c r="C10" t="s">
        <v>4366</v>
      </c>
      <c r="D10">
        <v>1</v>
      </c>
      <c r="E10">
        <v>8</v>
      </c>
      <c r="F10">
        <v>12</v>
      </c>
      <c r="G10" t="s">
        <v>3461</v>
      </c>
      <c r="H10" t="s">
        <v>90</v>
      </c>
      <c r="I10" t="s">
        <v>4399</v>
      </c>
      <c r="J10" s="3" t="s">
        <v>5050</v>
      </c>
      <c r="K10" t="s">
        <v>5051</v>
      </c>
      <c r="L10" t="s">
        <v>3461</v>
      </c>
      <c r="M10" t="s">
        <v>3830</v>
      </c>
    </row>
    <row r="11" spans="1:13" ht="27.75" customHeight="1" x14ac:dyDescent="0.25">
      <c r="A11" t="s">
        <v>3827</v>
      </c>
      <c r="B11" t="s">
        <v>5026</v>
      </c>
      <c r="C11" t="s">
        <v>4366</v>
      </c>
      <c r="D11">
        <v>4</v>
      </c>
      <c r="E11">
        <v>64</v>
      </c>
      <c r="F11">
        <v>70</v>
      </c>
      <c r="G11" t="s">
        <v>5052</v>
      </c>
      <c r="H11" t="s">
        <v>90</v>
      </c>
      <c r="I11" t="s">
        <v>4399</v>
      </c>
      <c r="J11" s="3" t="s">
        <v>5053</v>
      </c>
      <c r="K11" t="s">
        <v>3829</v>
      </c>
      <c r="L11" t="s">
        <v>3461</v>
      </c>
      <c r="M11" t="s">
        <v>3830</v>
      </c>
    </row>
    <row r="12" spans="1:13" ht="27.75" customHeight="1" x14ac:dyDescent="0.25">
      <c r="A12" t="s">
        <v>5054</v>
      </c>
      <c r="B12" t="s">
        <v>5026</v>
      </c>
      <c r="C12" t="s">
        <v>4366</v>
      </c>
      <c r="D12">
        <v>2</v>
      </c>
      <c r="E12">
        <v>28</v>
      </c>
      <c r="F12">
        <v>32</v>
      </c>
      <c r="G12" t="s">
        <v>3461</v>
      </c>
      <c r="H12" t="s">
        <v>90</v>
      </c>
      <c r="I12" t="s">
        <v>4399</v>
      </c>
      <c r="J12" s="3" t="s">
        <v>5055</v>
      </c>
      <c r="K12" t="s">
        <v>5056</v>
      </c>
      <c r="L12" t="s">
        <v>3461</v>
      </c>
      <c r="M12" t="s">
        <v>3830</v>
      </c>
    </row>
    <row r="13" spans="1:13" ht="15" customHeight="1" x14ac:dyDescent="0.25">
      <c r="A13" t="s">
        <v>5057</v>
      </c>
      <c r="B13" t="s">
        <v>5026</v>
      </c>
      <c r="C13" t="s">
        <v>4366</v>
      </c>
      <c r="D13">
        <v>1</v>
      </c>
      <c r="E13">
        <v>10</v>
      </c>
      <c r="F13">
        <v>14</v>
      </c>
      <c r="G13" t="s">
        <v>3461</v>
      </c>
      <c r="H13" t="s">
        <v>90</v>
      </c>
      <c r="I13" t="s">
        <v>4399</v>
      </c>
      <c r="J13" t="s">
        <v>5058</v>
      </c>
      <c r="K13" t="s">
        <v>5059</v>
      </c>
      <c r="L13" t="s">
        <v>3461</v>
      </c>
      <c r="M13" t="s">
        <v>3830</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5060</v>
      </c>
      <c r="C1" t="s">
        <v>3737</v>
      </c>
      <c r="D1" t="s">
        <v>5020</v>
      </c>
      <c r="E1" t="s">
        <v>1</v>
      </c>
      <c r="F1" t="s">
        <v>5021</v>
      </c>
      <c r="G1" t="s">
        <v>5022</v>
      </c>
      <c r="H1" t="s">
        <v>3990</v>
      </c>
      <c r="I1" t="s">
        <v>3738</v>
      </c>
      <c r="J1" t="s">
        <v>5061</v>
      </c>
      <c r="K1" t="s">
        <v>5062</v>
      </c>
      <c r="L1" t="s">
        <v>5063</v>
      </c>
      <c r="M1" t="s">
        <v>5064</v>
      </c>
      <c r="N1" t="s">
        <v>5065</v>
      </c>
      <c r="O1" t="s">
        <v>5066</v>
      </c>
      <c r="P1" t="s">
        <v>5067</v>
      </c>
      <c r="Q1" t="s">
        <v>5068</v>
      </c>
      <c r="R1" t="s">
        <v>5069</v>
      </c>
      <c r="S1" t="s">
        <v>3742</v>
      </c>
      <c r="T1" t="s">
        <v>3743</v>
      </c>
    </row>
    <row r="2" spans="1:20" ht="15" customHeight="1" x14ac:dyDescent="0.25">
      <c r="A2" t="s">
        <v>3750</v>
      </c>
      <c r="B2" t="s">
        <v>5070</v>
      </c>
      <c r="C2" t="s">
        <v>4366</v>
      </c>
      <c r="D2">
        <v>1</v>
      </c>
      <c r="E2" t="s">
        <v>497</v>
      </c>
      <c r="F2">
        <v>10</v>
      </c>
      <c r="G2">
        <v>15</v>
      </c>
      <c r="H2">
        <v>80</v>
      </c>
      <c r="I2">
        <v>1</v>
      </c>
      <c r="J2" t="s">
        <v>5071</v>
      </c>
      <c r="K2">
        <v>0</v>
      </c>
      <c r="L2" t="s">
        <v>5072</v>
      </c>
      <c r="M2" t="s">
        <v>5073</v>
      </c>
      <c r="N2" t="s">
        <v>4000</v>
      </c>
      <c r="O2" t="s">
        <v>5074</v>
      </c>
      <c r="R2" t="s">
        <v>5075</v>
      </c>
      <c r="T2" t="s">
        <v>3509</v>
      </c>
    </row>
    <row r="3" spans="1:20" ht="15" customHeight="1" x14ac:dyDescent="0.25">
      <c r="A3" t="s">
        <v>5076</v>
      </c>
      <c r="B3" t="s">
        <v>5077</v>
      </c>
      <c r="C3" t="s">
        <v>4366</v>
      </c>
      <c r="D3">
        <v>2</v>
      </c>
      <c r="E3" t="s">
        <v>160</v>
      </c>
      <c r="F3">
        <v>16</v>
      </c>
      <c r="G3">
        <v>20</v>
      </c>
      <c r="H3">
        <v>90</v>
      </c>
      <c r="I3">
        <v>1</v>
      </c>
      <c r="J3" t="s">
        <v>5071</v>
      </c>
      <c r="K3">
        <v>0</v>
      </c>
      <c r="L3" t="s">
        <v>5078</v>
      </c>
      <c r="M3" t="s">
        <v>5079</v>
      </c>
      <c r="N3" t="s">
        <v>4000</v>
      </c>
      <c r="Q3" t="s">
        <v>5080</v>
      </c>
      <c r="R3" t="s">
        <v>5081</v>
      </c>
      <c r="S3" t="s">
        <v>5082</v>
      </c>
    </row>
    <row r="4" spans="1:20" ht="15" customHeight="1" x14ac:dyDescent="0.25">
      <c r="A4" t="s">
        <v>5083</v>
      </c>
      <c r="B4" t="s">
        <v>5084</v>
      </c>
      <c r="C4" t="s">
        <v>4366</v>
      </c>
      <c r="D4">
        <v>0</v>
      </c>
      <c r="E4" t="s">
        <v>160</v>
      </c>
      <c r="F4">
        <v>16</v>
      </c>
      <c r="G4">
        <v>20</v>
      </c>
      <c r="H4">
        <v>60</v>
      </c>
      <c r="I4">
        <v>1</v>
      </c>
      <c r="J4" t="s">
        <v>5085</v>
      </c>
      <c r="K4">
        <v>0</v>
      </c>
      <c r="L4" t="s">
        <v>5086</v>
      </c>
      <c r="M4" t="s">
        <v>5087</v>
      </c>
      <c r="N4" t="s">
        <v>4000</v>
      </c>
      <c r="Q4" t="s">
        <v>5088</v>
      </c>
      <c r="R4" t="s">
        <v>5089</v>
      </c>
    </row>
    <row r="5" spans="1:20" ht="15" customHeight="1" x14ac:dyDescent="0.25">
      <c r="A5" t="s">
        <v>5090</v>
      </c>
      <c r="B5" t="s">
        <v>5091</v>
      </c>
      <c r="C5" t="s">
        <v>4366</v>
      </c>
      <c r="D5">
        <v>2</v>
      </c>
      <c r="E5" t="s">
        <v>160</v>
      </c>
      <c r="F5">
        <v>16</v>
      </c>
      <c r="G5">
        <v>20</v>
      </c>
      <c r="H5">
        <v>0</v>
      </c>
      <c r="I5">
        <v>1</v>
      </c>
      <c r="J5" t="s">
        <v>5092</v>
      </c>
      <c r="K5">
        <v>0</v>
      </c>
      <c r="L5" t="s">
        <v>5093</v>
      </c>
      <c r="M5" t="s">
        <v>5094</v>
      </c>
      <c r="N5" t="s">
        <v>4000</v>
      </c>
      <c r="R5" t="s">
        <v>5095</v>
      </c>
    </row>
    <row r="6" spans="1:20" ht="15" customHeight="1" x14ac:dyDescent="0.25">
      <c r="A6" t="s">
        <v>5085</v>
      </c>
      <c r="B6" t="s">
        <v>5096</v>
      </c>
      <c r="C6" t="s">
        <v>4366</v>
      </c>
      <c r="D6">
        <v>0</v>
      </c>
      <c r="E6" t="s">
        <v>160</v>
      </c>
      <c r="F6">
        <v>16</v>
      </c>
      <c r="G6">
        <v>20</v>
      </c>
      <c r="H6">
        <v>70</v>
      </c>
      <c r="I6">
        <v>1</v>
      </c>
      <c r="J6" t="s">
        <v>5085</v>
      </c>
      <c r="K6">
        <v>0</v>
      </c>
      <c r="L6" t="s">
        <v>5078</v>
      </c>
      <c r="M6" t="s">
        <v>5097</v>
      </c>
      <c r="N6" t="s">
        <v>4000</v>
      </c>
      <c r="Q6" t="s">
        <v>5098</v>
      </c>
      <c r="R6" t="s">
        <v>5099</v>
      </c>
    </row>
    <row r="7" spans="1:20" ht="15" customHeight="1" x14ac:dyDescent="0.25">
      <c r="A7" t="s">
        <v>5100</v>
      </c>
      <c r="B7" t="s">
        <v>5101</v>
      </c>
      <c r="C7" t="s">
        <v>4366</v>
      </c>
      <c r="D7">
        <v>2</v>
      </c>
      <c r="E7" t="s">
        <v>497</v>
      </c>
      <c r="F7">
        <v>12</v>
      </c>
      <c r="G7">
        <v>16</v>
      </c>
      <c r="H7">
        <v>70</v>
      </c>
      <c r="I7">
        <v>1</v>
      </c>
      <c r="J7" t="s">
        <v>5102</v>
      </c>
      <c r="K7">
        <v>6</v>
      </c>
      <c r="L7" t="s">
        <v>5103</v>
      </c>
      <c r="M7" t="s">
        <v>5104</v>
      </c>
      <c r="N7" t="s">
        <v>4000</v>
      </c>
      <c r="O7" t="s">
        <v>5074</v>
      </c>
      <c r="P7" t="s">
        <v>5105</v>
      </c>
      <c r="R7" t="s">
        <v>5075</v>
      </c>
      <c r="T7" t="s">
        <v>3509</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5010</v>
      </c>
      <c r="D1" t="s">
        <v>5106</v>
      </c>
      <c r="E1" t="s">
        <v>3499</v>
      </c>
    </row>
    <row r="2" spans="1:5" ht="15" customHeight="1" x14ac:dyDescent="0.25">
      <c r="A2" t="s">
        <v>5107</v>
      </c>
      <c r="B2" t="s">
        <v>3835</v>
      </c>
      <c r="C2" t="s">
        <v>5108</v>
      </c>
      <c r="D2" t="s">
        <v>3453</v>
      </c>
    </row>
    <row r="3" spans="1:5" ht="15" customHeight="1" x14ac:dyDescent="0.25">
      <c r="A3" t="s">
        <v>5109</v>
      </c>
      <c r="B3" t="s">
        <v>3835</v>
      </c>
      <c r="C3" t="s">
        <v>5110</v>
      </c>
      <c r="D3" t="s">
        <v>3453</v>
      </c>
    </row>
    <row r="4" spans="1:5" ht="15" customHeight="1" x14ac:dyDescent="0.25">
      <c r="A4" t="s">
        <v>5111</v>
      </c>
      <c r="B4" t="s">
        <v>3835</v>
      </c>
      <c r="C4" t="s">
        <v>3932</v>
      </c>
      <c r="D4" t="s">
        <v>5112</v>
      </c>
    </row>
    <row r="5" spans="1:5" ht="15" customHeight="1" x14ac:dyDescent="0.25">
      <c r="A5" t="s">
        <v>5113</v>
      </c>
      <c r="B5" t="s">
        <v>3835</v>
      </c>
      <c r="C5" t="s">
        <v>5114</v>
      </c>
      <c r="D5" t="s">
        <v>3453</v>
      </c>
    </row>
    <row r="6" spans="1:5" ht="15" customHeight="1" x14ac:dyDescent="0.25">
      <c r="A6" t="s">
        <v>5115</v>
      </c>
      <c r="B6" t="s">
        <v>3835</v>
      </c>
      <c r="C6" t="s">
        <v>5116</v>
      </c>
      <c r="D6" t="s">
        <v>3453</v>
      </c>
    </row>
    <row r="7" spans="1:5" ht="15" customHeight="1" x14ac:dyDescent="0.25">
      <c r="A7" t="s">
        <v>5117</v>
      </c>
      <c r="B7" t="s">
        <v>3835</v>
      </c>
      <c r="C7" t="s">
        <v>5118</v>
      </c>
      <c r="D7" t="s">
        <v>5119</v>
      </c>
    </row>
    <row r="8" spans="1:5" ht="15" customHeight="1" x14ac:dyDescent="0.25">
      <c r="A8" t="s">
        <v>5120</v>
      </c>
      <c r="B8" t="s">
        <v>3835</v>
      </c>
      <c r="C8" t="s">
        <v>5121</v>
      </c>
      <c r="D8" t="s">
        <v>5122</v>
      </c>
    </row>
    <row r="9" spans="1:5" ht="15" customHeight="1" x14ac:dyDescent="0.25">
      <c r="A9" t="s">
        <v>5123</v>
      </c>
      <c r="B9" t="s">
        <v>5124</v>
      </c>
      <c r="C9" t="s">
        <v>5125</v>
      </c>
      <c r="D9" t="s">
        <v>3461</v>
      </c>
      <c r="E9" t="s">
        <v>5126</v>
      </c>
    </row>
    <row r="10" spans="1:5" ht="15" customHeight="1" x14ac:dyDescent="0.25">
      <c r="A10" t="s">
        <v>5127</v>
      </c>
      <c r="B10" t="s">
        <v>5124</v>
      </c>
      <c r="C10" t="s">
        <v>5128</v>
      </c>
      <c r="D10" t="s">
        <v>3461</v>
      </c>
      <c r="E10" t="s">
        <v>5129</v>
      </c>
    </row>
    <row r="11" spans="1:5" ht="15" customHeight="1" x14ac:dyDescent="0.25">
      <c r="A11" t="s">
        <v>5130</v>
      </c>
      <c r="B11" t="s">
        <v>5124</v>
      </c>
      <c r="C11" t="s">
        <v>5131</v>
      </c>
      <c r="D11" t="s">
        <v>3461</v>
      </c>
      <c r="E11" t="s">
        <v>5132</v>
      </c>
    </row>
    <row r="12" spans="1:5" ht="15" customHeight="1" x14ac:dyDescent="0.25">
      <c r="A12" t="s">
        <v>5133</v>
      </c>
      <c r="B12" t="s">
        <v>3835</v>
      </c>
      <c r="C12" t="s">
        <v>5134</v>
      </c>
      <c r="D12" t="s">
        <v>5135</v>
      </c>
    </row>
    <row r="13" spans="1:5" ht="15" customHeight="1" x14ac:dyDescent="0.25">
      <c r="A13" t="s">
        <v>5136</v>
      </c>
      <c r="B13" t="s">
        <v>3835</v>
      </c>
      <c r="C13" t="s">
        <v>5137</v>
      </c>
      <c r="D13" t="s">
        <v>3453</v>
      </c>
    </row>
    <row r="14" spans="1:5" ht="15" customHeight="1" x14ac:dyDescent="0.25">
      <c r="A14" t="s">
        <v>5138</v>
      </c>
      <c r="B14" t="s">
        <v>3835</v>
      </c>
      <c r="C14" t="s">
        <v>5139</v>
      </c>
      <c r="D14" t="s">
        <v>4256</v>
      </c>
    </row>
    <row r="15" spans="1:5" ht="15" customHeight="1" x14ac:dyDescent="0.25">
      <c r="A15" t="s">
        <v>5140</v>
      </c>
      <c r="B15" t="s">
        <v>3835</v>
      </c>
      <c r="C15" t="s">
        <v>5141</v>
      </c>
      <c r="D15" t="s">
        <v>3453</v>
      </c>
    </row>
    <row r="16" spans="1:5" ht="15" customHeight="1" x14ac:dyDescent="0.25">
      <c r="A16" t="s">
        <v>5142</v>
      </c>
      <c r="B16" t="s">
        <v>5124</v>
      </c>
      <c r="C16" t="s">
        <v>5143</v>
      </c>
      <c r="D16" t="s">
        <v>3461</v>
      </c>
      <c r="E16" t="s">
        <v>5144</v>
      </c>
    </row>
    <row r="17" spans="1:4" ht="15" customHeight="1" x14ac:dyDescent="0.25">
      <c r="A17" t="s">
        <v>5145</v>
      </c>
      <c r="B17" t="s">
        <v>3835</v>
      </c>
      <c r="C17" t="s">
        <v>5146</v>
      </c>
      <c r="D17" t="s">
        <v>5147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3456</v>
      </c>
      <c r="C1" t="s">
        <v>167</v>
      </c>
      <c r="D1" t="s">
        <v>3984</v>
      </c>
      <c r="E1" t="s">
        <v>5148</v>
      </c>
      <c r="F1" t="s">
        <v>4262</v>
      </c>
      <c r="G1" t="s">
        <v>5149</v>
      </c>
      <c r="H1" t="s">
        <v>4012</v>
      </c>
      <c r="I1" t="s">
        <v>171</v>
      </c>
      <c r="J1" t="s">
        <v>6</v>
      </c>
      <c r="K1" t="s">
        <v>5150</v>
      </c>
    </row>
    <row r="2" spans="1:11" ht="15" customHeight="1" x14ac:dyDescent="0.25">
      <c r="A2" t="s">
        <v>5151</v>
      </c>
      <c r="B2" t="s">
        <v>5152</v>
      </c>
      <c r="C2" t="s">
        <v>3986</v>
      </c>
      <c r="D2" t="s">
        <v>187</v>
      </c>
      <c r="E2" t="s">
        <v>3461</v>
      </c>
      <c r="F2" t="s">
        <v>4300</v>
      </c>
      <c r="G2" t="s">
        <v>39</v>
      </c>
      <c r="H2" t="s">
        <v>4034</v>
      </c>
      <c r="I2" t="s">
        <v>5151</v>
      </c>
      <c r="J2" t="s">
        <v>3517</v>
      </c>
      <c r="K2" t="s">
        <v>3461</v>
      </c>
    </row>
    <row r="3" spans="1:11" ht="15" customHeight="1" x14ac:dyDescent="0.25">
      <c r="A3" t="s">
        <v>3524</v>
      </c>
      <c r="B3" t="s">
        <v>5153</v>
      </c>
      <c r="C3" t="s">
        <v>3742</v>
      </c>
      <c r="D3" t="s">
        <v>4000</v>
      </c>
      <c r="E3" t="s">
        <v>3461</v>
      </c>
      <c r="F3" t="s">
        <v>4300</v>
      </c>
      <c r="G3" t="s">
        <v>39</v>
      </c>
      <c r="H3" t="s">
        <v>4034</v>
      </c>
      <c r="I3" t="s">
        <v>3524</v>
      </c>
      <c r="J3" t="s">
        <v>3505</v>
      </c>
      <c r="K3" t="s">
        <v>3461</v>
      </c>
    </row>
    <row r="4" spans="1:11" ht="15" customHeight="1" x14ac:dyDescent="0.25">
      <c r="A4" t="s">
        <v>5154</v>
      </c>
      <c r="B4" t="s">
        <v>5155</v>
      </c>
      <c r="C4" t="s">
        <v>3995</v>
      </c>
      <c r="D4" t="s">
        <v>187</v>
      </c>
      <c r="E4" t="s">
        <v>3461</v>
      </c>
      <c r="F4" t="s">
        <v>5156</v>
      </c>
      <c r="G4" t="s">
        <v>39</v>
      </c>
      <c r="H4" t="s">
        <v>4017</v>
      </c>
      <c r="I4" t="s">
        <v>5154</v>
      </c>
      <c r="J4" t="s">
        <v>3517</v>
      </c>
      <c r="K4" t="s">
        <v>3461</v>
      </c>
    </row>
    <row r="5" spans="1:11" ht="15" customHeight="1" x14ac:dyDescent="0.25">
      <c r="A5" t="s">
        <v>5157</v>
      </c>
      <c r="B5" t="s">
        <v>5158</v>
      </c>
      <c r="C5" t="s">
        <v>3986</v>
      </c>
      <c r="D5" t="s">
        <v>187</v>
      </c>
      <c r="E5" t="s">
        <v>3461</v>
      </c>
      <c r="F5" t="s">
        <v>4300</v>
      </c>
      <c r="G5" t="s">
        <v>39</v>
      </c>
      <c r="H5" t="s">
        <v>4034</v>
      </c>
      <c r="I5" t="s">
        <v>5159</v>
      </c>
      <c r="J5" t="s">
        <v>3505</v>
      </c>
      <c r="K5" t="s">
        <v>3461</v>
      </c>
    </row>
    <row r="6" spans="1:11" ht="15" customHeight="1" x14ac:dyDescent="0.25">
      <c r="A6" t="s">
        <v>5160</v>
      </c>
      <c r="B6" t="s">
        <v>5161</v>
      </c>
      <c r="C6" t="s">
        <v>3995</v>
      </c>
      <c r="D6" t="s">
        <v>187</v>
      </c>
      <c r="E6" t="s">
        <v>3461</v>
      </c>
      <c r="F6" t="s">
        <v>5162</v>
      </c>
      <c r="G6" t="s">
        <v>39</v>
      </c>
      <c r="H6" t="s">
        <v>4017</v>
      </c>
      <c r="I6" t="s">
        <v>5160</v>
      </c>
      <c r="J6" t="s">
        <v>41</v>
      </c>
      <c r="K6" t="s">
        <v>3461</v>
      </c>
    </row>
    <row r="7" spans="1:11" ht="15" customHeight="1" x14ac:dyDescent="0.25">
      <c r="A7" t="s">
        <v>5163</v>
      </c>
      <c r="B7" t="s">
        <v>5164</v>
      </c>
      <c r="C7" t="s">
        <v>3986</v>
      </c>
      <c r="D7" t="s">
        <v>187</v>
      </c>
      <c r="E7" t="s">
        <v>3461</v>
      </c>
      <c r="F7" t="s">
        <v>5162</v>
      </c>
      <c r="G7" t="s">
        <v>39</v>
      </c>
      <c r="H7" t="s">
        <v>4034</v>
      </c>
      <c r="I7" t="s">
        <v>5163</v>
      </c>
      <c r="J7" t="s">
        <v>3505</v>
      </c>
      <c r="K7" t="s">
        <v>3461</v>
      </c>
    </row>
    <row r="8" spans="1:11" ht="15" customHeight="1" x14ac:dyDescent="0.25">
      <c r="A8" t="s">
        <v>5165</v>
      </c>
      <c r="B8" t="s">
        <v>5166</v>
      </c>
      <c r="C8" t="s">
        <v>3986</v>
      </c>
      <c r="D8" t="s">
        <v>187</v>
      </c>
      <c r="E8" t="s">
        <v>3461</v>
      </c>
      <c r="F8" t="s">
        <v>4300</v>
      </c>
      <c r="G8" t="s">
        <v>39</v>
      </c>
      <c r="H8" t="s">
        <v>4034</v>
      </c>
      <c r="I8" t="s">
        <v>5165</v>
      </c>
      <c r="J8" t="s">
        <v>41</v>
      </c>
      <c r="K8" t="s">
        <v>3461</v>
      </c>
    </row>
    <row r="9" spans="1:11" ht="15" customHeight="1" x14ac:dyDescent="0.25">
      <c r="A9" t="s">
        <v>5167</v>
      </c>
      <c r="B9" t="s">
        <v>5168</v>
      </c>
      <c r="C9" t="s">
        <v>3995</v>
      </c>
      <c r="D9" t="s">
        <v>187</v>
      </c>
      <c r="E9" t="s">
        <v>3461</v>
      </c>
      <c r="F9" t="s">
        <v>4300</v>
      </c>
      <c r="G9" t="s">
        <v>39</v>
      </c>
      <c r="H9" t="s">
        <v>4017</v>
      </c>
      <c r="I9" t="s">
        <v>5167</v>
      </c>
      <c r="J9" t="s">
        <v>41</v>
      </c>
      <c r="K9" t="s">
        <v>3461</v>
      </c>
    </row>
    <row r="10" spans="1:11" ht="15" customHeight="1" x14ac:dyDescent="0.25">
      <c r="A10" t="s">
        <v>5169</v>
      </c>
      <c r="B10" t="s">
        <v>5170</v>
      </c>
      <c r="C10" t="s">
        <v>3986</v>
      </c>
      <c r="D10" t="s">
        <v>187</v>
      </c>
      <c r="E10" t="s">
        <v>3461</v>
      </c>
      <c r="F10" t="s">
        <v>5171</v>
      </c>
      <c r="G10" t="s">
        <v>39</v>
      </c>
      <c r="H10" t="s">
        <v>4034</v>
      </c>
      <c r="I10" t="s">
        <v>5169</v>
      </c>
      <c r="J10" t="s">
        <v>3505</v>
      </c>
      <c r="K10" t="s">
        <v>3461</v>
      </c>
    </row>
    <row r="11" spans="1:11" ht="15" customHeight="1" x14ac:dyDescent="0.25">
      <c r="A11" t="s">
        <v>4005</v>
      </c>
      <c r="B11" t="s">
        <v>5172</v>
      </c>
      <c r="C11" t="s">
        <v>3995</v>
      </c>
      <c r="D11" t="s">
        <v>187</v>
      </c>
      <c r="E11" t="s">
        <v>3461</v>
      </c>
      <c r="F11" t="s">
        <v>5162</v>
      </c>
      <c r="G11" t="s">
        <v>39</v>
      </c>
      <c r="H11" t="s">
        <v>4017</v>
      </c>
      <c r="I11" t="s">
        <v>4005</v>
      </c>
      <c r="J11" t="s">
        <v>41</v>
      </c>
      <c r="K11" t="s">
        <v>3461</v>
      </c>
    </row>
    <row r="12" spans="1:11" ht="15" customHeight="1" x14ac:dyDescent="0.25">
      <c r="A12" t="s">
        <v>5173</v>
      </c>
      <c r="B12" t="s">
        <v>5174</v>
      </c>
      <c r="C12" t="s">
        <v>3986</v>
      </c>
      <c r="D12" t="s">
        <v>187</v>
      </c>
      <c r="E12" t="s">
        <v>3461</v>
      </c>
      <c r="F12" t="s">
        <v>5175</v>
      </c>
      <c r="G12" t="s">
        <v>5176</v>
      </c>
      <c r="H12" t="s">
        <v>4034</v>
      </c>
      <c r="I12" t="s">
        <v>5173</v>
      </c>
      <c r="J12" t="s">
        <v>3505</v>
      </c>
      <c r="K12" t="s">
        <v>3461</v>
      </c>
    </row>
    <row r="13" spans="1:11" ht="15" customHeight="1" x14ac:dyDescent="0.25">
      <c r="A13" t="s">
        <v>5177</v>
      </c>
      <c r="B13" t="s">
        <v>5178</v>
      </c>
      <c r="C13" t="s">
        <v>3995</v>
      </c>
      <c r="D13" t="s">
        <v>187</v>
      </c>
      <c r="E13" t="s">
        <v>3461</v>
      </c>
      <c r="F13" t="s">
        <v>5175</v>
      </c>
      <c r="G13" t="s">
        <v>5179</v>
      </c>
      <c r="H13" t="s">
        <v>4017</v>
      </c>
      <c r="I13" t="s">
        <v>5177</v>
      </c>
      <c r="J13" t="s">
        <v>3461</v>
      </c>
      <c r="K13" t="s">
        <v>3461</v>
      </c>
    </row>
    <row r="14" spans="1:11" ht="15" customHeight="1" x14ac:dyDescent="0.25">
      <c r="A14" t="s">
        <v>5180</v>
      </c>
      <c r="B14" t="s">
        <v>5181</v>
      </c>
      <c r="C14" t="s">
        <v>3995</v>
      </c>
      <c r="D14" t="s">
        <v>187</v>
      </c>
      <c r="E14" t="s">
        <v>3461</v>
      </c>
      <c r="F14" t="s">
        <v>5162</v>
      </c>
      <c r="G14" t="s">
        <v>5176</v>
      </c>
      <c r="H14" t="s">
        <v>4017</v>
      </c>
      <c r="I14" t="s">
        <v>5180</v>
      </c>
      <c r="J14" t="s">
        <v>3461</v>
      </c>
      <c r="K14" t="s">
        <v>3461</v>
      </c>
    </row>
    <row r="15" spans="1:11" ht="15" customHeight="1" x14ac:dyDescent="0.25">
      <c r="A15" t="s">
        <v>5182</v>
      </c>
      <c r="B15" t="s">
        <v>5183</v>
      </c>
      <c r="C15" t="s">
        <v>3995</v>
      </c>
      <c r="D15" t="s">
        <v>187</v>
      </c>
      <c r="E15" t="s">
        <v>3461</v>
      </c>
      <c r="F15" t="s">
        <v>4300</v>
      </c>
      <c r="G15" t="s">
        <v>5179</v>
      </c>
      <c r="H15" t="s">
        <v>4017</v>
      </c>
      <c r="I15" t="s">
        <v>5184</v>
      </c>
      <c r="J15" t="s">
        <v>3461</v>
      </c>
      <c r="K15" t="s">
        <v>3461</v>
      </c>
    </row>
    <row r="16" spans="1:11" ht="15" customHeight="1" x14ac:dyDescent="0.25">
      <c r="A16" t="s">
        <v>5185</v>
      </c>
      <c r="B16" t="s">
        <v>5186</v>
      </c>
      <c r="C16" t="s">
        <v>3742</v>
      </c>
      <c r="D16" t="s">
        <v>4000</v>
      </c>
      <c r="E16" t="s">
        <v>3461</v>
      </c>
      <c r="F16" t="s">
        <v>4300</v>
      </c>
      <c r="G16" t="s">
        <v>39</v>
      </c>
      <c r="H16" t="s">
        <v>4034</v>
      </c>
      <c r="I16" t="s">
        <v>5187</v>
      </c>
      <c r="J16" t="s">
        <v>3461</v>
      </c>
      <c r="K16" t="s">
        <v>3461</v>
      </c>
    </row>
    <row r="17" spans="1:11" ht="15" customHeight="1" x14ac:dyDescent="0.25">
      <c r="A17" t="s">
        <v>3515</v>
      </c>
      <c r="B17" t="s">
        <v>5188</v>
      </c>
      <c r="C17" t="s">
        <v>3986</v>
      </c>
      <c r="D17" t="s">
        <v>187</v>
      </c>
      <c r="E17" t="s">
        <v>3461</v>
      </c>
      <c r="F17" t="s">
        <v>4300</v>
      </c>
      <c r="G17" t="s">
        <v>39</v>
      </c>
      <c r="H17" t="s">
        <v>4034</v>
      </c>
      <c r="I17" t="s">
        <v>3515</v>
      </c>
      <c r="J17" t="s">
        <v>3517</v>
      </c>
      <c r="K17" t="s">
        <v>3461</v>
      </c>
    </row>
    <row r="18" spans="1:11" ht="15" customHeight="1" x14ac:dyDescent="0.25">
      <c r="A18" t="s">
        <v>5189</v>
      </c>
      <c r="B18" t="s">
        <v>5190</v>
      </c>
      <c r="C18" t="s">
        <v>3986</v>
      </c>
      <c r="D18" t="s">
        <v>187</v>
      </c>
      <c r="E18" t="s">
        <v>3461</v>
      </c>
      <c r="F18" t="s">
        <v>5191</v>
      </c>
      <c r="G18" t="s">
        <v>39</v>
      </c>
      <c r="H18" t="s">
        <v>4034</v>
      </c>
      <c r="I18" t="s">
        <v>5189</v>
      </c>
      <c r="J18" t="s">
        <v>3505</v>
      </c>
      <c r="K18" t="s">
        <v>3461</v>
      </c>
    </row>
    <row r="19" spans="1:11" ht="15" customHeight="1" x14ac:dyDescent="0.25">
      <c r="A19" t="s">
        <v>5192</v>
      </c>
      <c r="B19" t="s">
        <v>5193</v>
      </c>
      <c r="C19" t="s">
        <v>3995</v>
      </c>
      <c r="D19" t="s">
        <v>187</v>
      </c>
      <c r="E19" t="s">
        <v>3461</v>
      </c>
      <c r="F19" t="s">
        <v>4300</v>
      </c>
      <c r="G19" t="s">
        <v>39</v>
      </c>
      <c r="H19" t="s">
        <v>4017</v>
      </c>
      <c r="I19" t="s">
        <v>5192</v>
      </c>
      <c r="J19" t="s">
        <v>3517</v>
      </c>
      <c r="K19" t="s">
        <v>3461</v>
      </c>
    </row>
    <row r="20" spans="1:11" ht="15" customHeight="1" x14ac:dyDescent="0.25">
      <c r="A20" t="s">
        <v>5194</v>
      </c>
      <c r="B20" t="s">
        <v>5195</v>
      </c>
      <c r="C20" t="s">
        <v>3986</v>
      </c>
      <c r="D20" t="s">
        <v>187</v>
      </c>
      <c r="E20" t="s">
        <v>3461</v>
      </c>
      <c r="F20" t="s">
        <v>5162</v>
      </c>
      <c r="G20" t="s">
        <v>5176</v>
      </c>
      <c r="H20" t="s">
        <v>4034</v>
      </c>
      <c r="I20" t="s">
        <v>5196</v>
      </c>
      <c r="J20" t="s">
        <v>3505</v>
      </c>
      <c r="K20" t="s">
        <v>3461</v>
      </c>
    </row>
    <row r="21" spans="1:11" ht="15" customHeight="1" x14ac:dyDescent="0.25">
      <c r="A21" t="s">
        <v>5197</v>
      </c>
      <c r="B21" t="s">
        <v>5198</v>
      </c>
      <c r="C21" t="s">
        <v>3995</v>
      </c>
      <c r="D21" t="s">
        <v>187</v>
      </c>
      <c r="E21" t="s">
        <v>3461</v>
      </c>
      <c r="F21" t="s">
        <v>5162</v>
      </c>
      <c r="G21" t="s">
        <v>39</v>
      </c>
      <c r="H21" t="s">
        <v>4017</v>
      </c>
      <c r="I21" t="s">
        <v>5197</v>
      </c>
      <c r="J21" t="s">
        <v>3505</v>
      </c>
      <c r="K21" t="s">
        <v>3461</v>
      </c>
    </row>
    <row r="22" spans="1:11" ht="15" customHeight="1" x14ac:dyDescent="0.25">
      <c r="A22" t="s">
        <v>5199</v>
      </c>
      <c r="B22" t="s">
        <v>5200</v>
      </c>
      <c r="C22" t="s">
        <v>3742</v>
      </c>
      <c r="D22" t="s">
        <v>187</v>
      </c>
      <c r="E22" t="s">
        <v>3461</v>
      </c>
      <c r="F22" t="s">
        <v>4300</v>
      </c>
      <c r="G22" t="s">
        <v>5176</v>
      </c>
      <c r="H22" t="s">
        <v>4034</v>
      </c>
      <c r="I22" t="s">
        <v>5199</v>
      </c>
      <c r="J22" t="s">
        <v>3461</v>
      </c>
      <c r="K22" t="s">
        <v>3461</v>
      </c>
    </row>
    <row r="23" spans="1:11" ht="15" customHeight="1" x14ac:dyDescent="0.25">
      <c r="A23" t="s">
        <v>5201</v>
      </c>
      <c r="B23" t="s">
        <v>5202</v>
      </c>
      <c r="C23" t="s">
        <v>3742</v>
      </c>
      <c r="D23" t="s">
        <v>187</v>
      </c>
      <c r="E23" t="s">
        <v>3461</v>
      </c>
      <c r="F23" t="s">
        <v>4300</v>
      </c>
      <c r="G23" t="s">
        <v>5176</v>
      </c>
      <c r="H23" t="s">
        <v>4034</v>
      </c>
      <c r="I23" t="s">
        <v>5201</v>
      </c>
      <c r="J23" t="s">
        <v>3461</v>
      </c>
      <c r="K23" t="s">
        <v>3461</v>
      </c>
    </row>
    <row r="24" spans="1:11" ht="15" customHeight="1" x14ac:dyDescent="0.25">
      <c r="A24" t="s">
        <v>5203</v>
      </c>
      <c r="B24" t="s">
        <v>5204</v>
      </c>
      <c r="C24" t="s">
        <v>3995</v>
      </c>
      <c r="D24" t="s">
        <v>187</v>
      </c>
      <c r="E24" t="s">
        <v>3461</v>
      </c>
      <c r="F24" t="s">
        <v>5162</v>
      </c>
      <c r="G24" t="s">
        <v>39</v>
      </c>
      <c r="H24" t="s">
        <v>4017</v>
      </c>
      <c r="I24" t="s">
        <v>5205</v>
      </c>
      <c r="J24" t="s">
        <v>3461</v>
      </c>
      <c r="K24" t="s">
        <v>3461</v>
      </c>
    </row>
    <row r="25" spans="1:11" ht="15" customHeight="1" x14ac:dyDescent="0.25">
      <c r="A25" t="s">
        <v>5206</v>
      </c>
      <c r="B25" t="s">
        <v>5207</v>
      </c>
      <c r="C25" t="s">
        <v>3995</v>
      </c>
      <c r="D25" t="s">
        <v>187</v>
      </c>
      <c r="E25" t="s">
        <v>3461</v>
      </c>
      <c r="F25" t="s">
        <v>5208</v>
      </c>
      <c r="G25" t="s">
        <v>5176</v>
      </c>
      <c r="H25" t="s">
        <v>4017</v>
      </c>
      <c r="I25" t="s">
        <v>5206</v>
      </c>
      <c r="J25" t="s">
        <v>3517</v>
      </c>
      <c r="K25" t="s">
        <v>3461</v>
      </c>
    </row>
    <row r="26" spans="1:11" ht="15" customHeight="1" x14ac:dyDescent="0.25">
      <c r="A26" t="s">
        <v>5209</v>
      </c>
      <c r="B26" t="s">
        <v>5210</v>
      </c>
      <c r="C26" t="s">
        <v>3742</v>
      </c>
      <c r="D26" t="s">
        <v>187</v>
      </c>
      <c r="E26" t="s">
        <v>3461</v>
      </c>
      <c r="F26" t="s">
        <v>4300</v>
      </c>
      <c r="G26" t="s">
        <v>5176</v>
      </c>
      <c r="H26" t="s">
        <v>4034</v>
      </c>
      <c r="I26" t="s">
        <v>5211</v>
      </c>
      <c r="J26" t="s">
        <v>3461</v>
      </c>
      <c r="K26" t="s">
        <v>3461</v>
      </c>
    </row>
    <row r="27" spans="1:11" ht="15" customHeight="1" x14ac:dyDescent="0.25">
      <c r="A27" t="s">
        <v>5212</v>
      </c>
      <c r="B27" t="s">
        <v>5213</v>
      </c>
      <c r="C27" t="s">
        <v>3742</v>
      </c>
      <c r="D27" t="s">
        <v>187</v>
      </c>
      <c r="E27" t="s">
        <v>3461</v>
      </c>
      <c r="F27" t="s">
        <v>4300</v>
      </c>
      <c r="G27" t="s">
        <v>5176</v>
      </c>
      <c r="H27" t="s">
        <v>4034</v>
      </c>
      <c r="I27" t="s">
        <v>5214</v>
      </c>
      <c r="J27" t="s">
        <v>3461</v>
      </c>
      <c r="K27" t="s">
        <v>3461</v>
      </c>
    </row>
    <row r="28" spans="1:11" ht="15" customHeight="1" x14ac:dyDescent="0.25">
      <c r="A28" t="s">
        <v>5215</v>
      </c>
      <c r="B28" t="s">
        <v>5216</v>
      </c>
      <c r="C28" t="s">
        <v>3986</v>
      </c>
      <c r="D28" t="s">
        <v>187</v>
      </c>
      <c r="E28" t="s">
        <v>3461</v>
      </c>
      <c r="F28" t="s">
        <v>5175</v>
      </c>
      <c r="G28" t="s">
        <v>39</v>
      </c>
      <c r="H28" t="s">
        <v>4034</v>
      </c>
      <c r="I28" t="s">
        <v>5217</v>
      </c>
      <c r="J28" t="s">
        <v>3517</v>
      </c>
      <c r="K28" t="s">
        <v>3461</v>
      </c>
    </row>
    <row r="29" spans="1:11" ht="15" customHeight="1" x14ac:dyDescent="0.25">
      <c r="A29" t="s">
        <v>5218</v>
      </c>
      <c r="B29" t="s">
        <v>5219</v>
      </c>
      <c r="C29" t="s">
        <v>3742</v>
      </c>
      <c r="D29" t="s">
        <v>4000</v>
      </c>
      <c r="E29" t="s">
        <v>3461</v>
      </c>
      <c r="F29" t="s">
        <v>5220</v>
      </c>
      <c r="G29" t="s">
        <v>5179</v>
      </c>
      <c r="H29" t="s">
        <v>4017</v>
      </c>
      <c r="I29" t="s">
        <v>5218</v>
      </c>
      <c r="J29" t="s">
        <v>3461</v>
      </c>
      <c r="K29" t="s">
        <v>3461</v>
      </c>
    </row>
    <row r="30" spans="1:11" ht="15" customHeight="1" x14ac:dyDescent="0.25">
      <c r="A30" t="s">
        <v>5221</v>
      </c>
      <c r="B30" t="s">
        <v>5222</v>
      </c>
      <c r="C30" t="s">
        <v>3742</v>
      </c>
      <c r="D30" t="s">
        <v>4000</v>
      </c>
      <c r="E30" t="s">
        <v>3461</v>
      </c>
      <c r="F30" t="s">
        <v>4300</v>
      </c>
      <c r="G30" t="s">
        <v>5179</v>
      </c>
      <c r="H30" t="s">
        <v>4045</v>
      </c>
      <c r="I30" t="s">
        <v>5221</v>
      </c>
      <c r="J30" t="s">
        <v>3461</v>
      </c>
      <c r="K30" t="s">
        <v>3461</v>
      </c>
    </row>
    <row r="31" spans="1:11" ht="15" customHeight="1" x14ac:dyDescent="0.25">
      <c r="A31" t="s">
        <v>5223</v>
      </c>
      <c r="B31" t="s">
        <v>5224</v>
      </c>
      <c r="C31" t="s">
        <v>3995</v>
      </c>
      <c r="D31" t="s">
        <v>187</v>
      </c>
      <c r="E31" t="s">
        <v>3461</v>
      </c>
      <c r="F31" t="s">
        <v>5162</v>
      </c>
      <c r="G31" t="s">
        <v>5176</v>
      </c>
      <c r="H31" t="s">
        <v>4017</v>
      </c>
      <c r="I31" t="s">
        <v>5223</v>
      </c>
      <c r="J31" t="s">
        <v>41</v>
      </c>
      <c r="K31" t="s">
        <v>3461</v>
      </c>
    </row>
    <row r="32" spans="1:11" ht="15" customHeight="1" x14ac:dyDescent="0.25">
      <c r="A32" t="s">
        <v>5225</v>
      </c>
      <c r="B32" t="s">
        <v>5226</v>
      </c>
      <c r="C32" t="s">
        <v>3986</v>
      </c>
      <c r="D32" t="s">
        <v>187</v>
      </c>
      <c r="E32" t="s">
        <v>3461</v>
      </c>
      <c r="F32" t="s">
        <v>5162</v>
      </c>
      <c r="G32" t="s">
        <v>39</v>
      </c>
      <c r="H32" t="s">
        <v>4034</v>
      </c>
      <c r="I32" t="s">
        <v>5225</v>
      </c>
      <c r="J32" t="s">
        <v>3505</v>
      </c>
      <c r="K32" t="s">
        <v>3461</v>
      </c>
    </row>
    <row r="33" spans="1:11" ht="15" customHeight="1" x14ac:dyDescent="0.25">
      <c r="A33" t="s">
        <v>5227</v>
      </c>
      <c r="B33" t="s">
        <v>5228</v>
      </c>
      <c r="C33" t="s">
        <v>3995</v>
      </c>
      <c r="D33" t="s">
        <v>187</v>
      </c>
      <c r="E33" t="s">
        <v>3461</v>
      </c>
      <c r="F33" t="s">
        <v>4300</v>
      </c>
      <c r="G33" t="s">
        <v>39</v>
      </c>
      <c r="H33" t="s">
        <v>4017</v>
      </c>
      <c r="I33" t="s">
        <v>5227</v>
      </c>
      <c r="J33" t="s">
        <v>3517</v>
      </c>
      <c r="K33" t="s">
        <v>3461</v>
      </c>
    </row>
    <row r="34" spans="1:11" ht="15" customHeight="1" x14ac:dyDescent="0.25">
      <c r="A34" t="s">
        <v>5229</v>
      </c>
      <c r="B34" t="s">
        <v>5230</v>
      </c>
      <c r="C34" t="s">
        <v>3742</v>
      </c>
      <c r="D34" t="s">
        <v>4000</v>
      </c>
      <c r="E34" t="s">
        <v>3461</v>
      </c>
      <c r="F34" t="s">
        <v>4300</v>
      </c>
      <c r="G34" t="s">
        <v>5179</v>
      </c>
      <c r="H34" t="s">
        <v>4034</v>
      </c>
      <c r="I34" t="s">
        <v>5231</v>
      </c>
      <c r="J34" t="s">
        <v>3461</v>
      </c>
      <c r="K34" t="s">
        <v>3461</v>
      </c>
    </row>
    <row r="35" spans="1:11" ht="15" customHeight="1" x14ac:dyDescent="0.25">
      <c r="A35" t="s">
        <v>5232</v>
      </c>
      <c r="B35" t="s">
        <v>5233</v>
      </c>
      <c r="C35" t="s">
        <v>3986</v>
      </c>
      <c r="D35" t="s">
        <v>5234</v>
      </c>
      <c r="E35" t="s">
        <v>3461</v>
      </c>
      <c r="F35" t="s">
        <v>5235</v>
      </c>
      <c r="G35" t="s">
        <v>5176</v>
      </c>
      <c r="H35" t="s">
        <v>4034</v>
      </c>
      <c r="I35" t="s">
        <v>5236</v>
      </c>
      <c r="J35" t="s">
        <v>41</v>
      </c>
      <c r="K35" t="s">
        <v>3461</v>
      </c>
    </row>
    <row r="36" spans="1:11" ht="15" customHeight="1" x14ac:dyDescent="0.25">
      <c r="A36" t="s">
        <v>5237</v>
      </c>
      <c r="B36" t="s">
        <v>5238</v>
      </c>
      <c r="C36" t="s">
        <v>3986</v>
      </c>
      <c r="D36" t="s">
        <v>5234</v>
      </c>
      <c r="E36" t="s">
        <v>3461</v>
      </c>
      <c r="F36" t="s">
        <v>5235</v>
      </c>
      <c r="G36" t="s">
        <v>5176</v>
      </c>
      <c r="H36" t="s">
        <v>4034</v>
      </c>
      <c r="I36" t="s">
        <v>5239</v>
      </c>
      <c r="J36" t="s">
        <v>3505</v>
      </c>
      <c r="K36" t="s">
        <v>3461</v>
      </c>
    </row>
    <row r="37" spans="1:11" ht="15" customHeight="1" x14ac:dyDescent="0.25">
      <c r="A37" t="s">
        <v>5240</v>
      </c>
      <c r="B37" t="s">
        <v>5241</v>
      </c>
      <c r="C37" t="s">
        <v>3986</v>
      </c>
      <c r="D37" t="s">
        <v>5234</v>
      </c>
      <c r="E37" t="s">
        <v>3461</v>
      </c>
      <c r="F37" t="s">
        <v>5235</v>
      </c>
      <c r="G37" t="s">
        <v>5176</v>
      </c>
      <c r="H37" t="s">
        <v>4034</v>
      </c>
      <c r="I37" t="s">
        <v>5242</v>
      </c>
      <c r="J37" t="s">
        <v>3505</v>
      </c>
      <c r="K37" t="s">
        <v>3461</v>
      </c>
    </row>
    <row r="38" spans="1:11" ht="15" customHeight="1" x14ac:dyDescent="0.25">
      <c r="A38" t="s">
        <v>5243</v>
      </c>
      <c r="B38" t="s">
        <v>5244</v>
      </c>
      <c r="C38" t="s">
        <v>3995</v>
      </c>
      <c r="D38" t="s">
        <v>4000</v>
      </c>
      <c r="E38" t="s">
        <v>3461</v>
      </c>
      <c r="F38" t="s">
        <v>5162</v>
      </c>
      <c r="G38" t="s">
        <v>5176</v>
      </c>
      <c r="H38" t="s">
        <v>4017</v>
      </c>
      <c r="I38" t="s">
        <v>5245</v>
      </c>
      <c r="J38" t="s">
        <v>3461</v>
      </c>
      <c r="K38" t="s">
        <v>3461</v>
      </c>
    </row>
    <row r="39" spans="1:11" ht="15" customHeight="1" x14ac:dyDescent="0.25">
      <c r="A39" t="s">
        <v>5246</v>
      </c>
      <c r="B39" t="s">
        <v>5247</v>
      </c>
      <c r="C39" t="s">
        <v>3995</v>
      </c>
      <c r="D39" t="s">
        <v>187</v>
      </c>
      <c r="E39" t="s">
        <v>3461</v>
      </c>
      <c r="F39" t="s">
        <v>5162</v>
      </c>
      <c r="G39" t="s">
        <v>39</v>
      </c>
      <c r="H39" t="s">
        <v>4017</v>
      </c>
      <c r="I39" t="s">
        <v>5246</v>
      </c>
      <c r="J39" t="s">
        <v>3461</v>
      </c>
      <c r="K39" t="s">
        <v>3461</v>
      </c>
    </row>
    <row r="40" spans="1:11" ht="15" customHeight="1" x14ac:dyDescent="0.25">
      <c r="A40" t="s">
        <v>5248</v>
      </c>
      <c r="B40" t="s">
        <v>5249</v>
      </c>
      <c r="C40" t="s">
        <v>3986</v>
      </c>
      <c r="D40" t="s">
        <v>187</v>
      </c>
      <c r="E40" t="s">
        <v>3461</v>
      </c>
      <c r="F40" t="s">
        <v>4300</v>
      </c>
      <c r="G40" t="s">
        <v>39</v>
      </c>
      <c r="H40" t="s">
        <v>4034</v>
      </c>
      <c r="I40" t="s">
        <v>5248</v>
      </c>
      <c r="J40" t="s">
        <v>3505</v>
      </c>
      <c r="K40" t="s">
        <v>3461</v>
      </c>
    </row>
    <row r="41" spans="1:11" ht="15" customHeight="1" x14ac:dyDescent="0.25">
      <c r="A41" t="s">
        <v>5250</v>
      </c>
      <c r="B41" t="s">
        <v>5251</v>
      </c>
      <c r="C41" t="s">
        <v>3742</v>
      </c>
      <c r="D41" t="s">
        <v>4000</v>
      </c>
      <c r="E41" t="s">
        <v>3461</v>
      </c>
      <c r="F41" t="s">
        <v>4300</v>
      </c>
      <c r="G41" t="s">
        <v>5179</v>
      </c>
      <c r="H41" t="s">
        <v>4045</v>
      </c>
      <c r="I41" t="s">
        <v>5252</v>
      </c>
      <c r="J41" t="s">
        <v>3461</v>
      </c>
      <c r="K41" t="s">
        <v>3461</v>
      </c>
    </row>
    <row r="42" spans="1:11" ht="15" customHeight="1" x14ac:dyDescent="0.25">
      <c r="A42" t="s">
        <v>5253</v>
      </c>
      <c r="B42" t="s">
        <v>5254</v>
      </c>
      <c r="C42" t="s">
        <v>3986</v>
      </c>
      <c r="D42" t="s">
        <v>187</v>
      </c>
      <c r="E42" t="s">
        <v>3461</v>
      </c>
      <c r="F42" t="s">
        <v>5255</v>
      </c>
      <c r="G42" t="s">
        <v>39</v>
      </c>
      <c r="H42" t="s">
        <v>4034</v>
      </c>
      <c r="I42" t="s">
        <v>5256</v>
      </c>
      <c r="J42" t="s">
        <v>3517</v>
      </c>
      <c r="K42" t="s">
        <v>3461</v>
      </c>
    </row>
    <row r="43" spans="1:11" ht="15" customHeight="1" x14ac:dyDescent="0.25">
      <c r="A43" t="s">
        <v>5257</v>
      </c>
      <c r="B43" t="s">
        <v>5258</v>
      </c>
      <c r="C43" t="s">
        <v>3995</v>
      </c>
      <c r="D43" t="s">
        <v>187</v>
      </c>
      <c r="E43" t="s">
        <v>3461</v>
      </c>
      <c r="F43" t="s">
        <v>5259</v>
      </c>
      <c r="G43" t="s">
        <v>39</v>
      </c>
      <c r="H43" t="s">
        <v>4017</v>
      </c>
      <c r="I43" t="s">
        <v>5257</v>
      </c>
      <c r="J43" t="s">
        <v>41</v>
      </c>
      <c r="K43" t="s">
        <v>3461</v>
      </c>
    </row>
    <row r="44" spans="1:11" ht="15" customHeight="1" x14ac:dyDescent="0.25">
      <c r="A44" t="s">
        <v>4600</v>
      </c>
      <c r="B44" t="s">
        <v>5260</v>
      </c>
      <c r="C44" t="s">
        <v>3986</v>
      </c>
      <c r="D44" t="s">
        <v>187</v>
      </c>
      <c r="E44" t="s">
        <v>3461</v>
      </c>
      <c r="F44" t="s">
        <v>4300</v>
      </c>
      <c r="G44" t="s">
        <v>39</v>
      </c>
      <c r="H44" t="s">
        <v>4034</v>
      </c>
      <c r="I44" t="s">
        <v>4600</v>
      </c>
      <c r="J44" t="s">
        <v>3517</v>
      </c>
      <c r="K44" t="s">
        <v>3461</v>
      </c>
    </row>
    <row r="45" spans="1:11" ht="15" customHeight="1" x14ac:dyDescent="0.25">
      <c r="A45" t="s">
        <v>5261</v>
      </c>
      <c r="B45" t="s">
        <v>5262</v>
      </c>
      <c r="C45" t="s">
        <v>3986</v>
      </c>
      <c r="D45" t="s">
        <v>187</v>
      </c>
      <c r="E45" t="s">
        <v>3461</v>
      </c>
      <c r="F45" t="s">
        <v>5162</v>
      </c>
      <c r="G45" t="s">
        <v>39</v>
      </c>
      <c r="H45" t="s">
        <v>4034</v>
      </c>
      <c r="I45" t="s">
        <v>5261</v>
      </c>
      <c r="J45" t="s">
        <v>3517</v>
      </c>
      <c r="K45" t="s">
        <v>3461</v>
      </c>
    </row>
    <row r="46" spans="1:11" ht="15" customHeight="1" x14ac:dyDescent="0.25">
      <c r="A46" t="s">
        <v>5263</v>
      </c>
      <c r="B46" t="s">
        <v>5264</v>
      </c>
      <c r="C46" t="s">
        <v>3742</v>
      </c>
      <c r="D46" t="s">
        <v>4000</v>
      </c>
      <c r="E46" t="s">
        <v>3461</v>
      </c>
      <c r="F46" t="s">
        <v>4300</v>
      </c>
      <c r="G46" t="s">
        <v>5179</v>
      </c>
      <c r="H46" t="s">
        <v>4045</v>
      </c>
      <c r="I46" t="s">
        <v>5263</v>
      </c>
      <c r="J46" t="s">
        <v>3461</v>
      </c>
      <c r="K46" t="s">
        <v>3461</v>
      </c>
    </row>
    <row r="47" spans="1:11" ht="15" customHeight="1" x14ac:dyDescent="0.25">
      <c r="A47" t="s">
        <v>5265</v>
      </c>
      <c r="B47" t="s">
        <v>5266</v>
      </c>
      <c r="C47" t="s">
        <v>3986</v>
      </c>
      <c r="D47" t="s">
        <v>187</v>
      </c>
      <c r="E47" t="s">
        <v>3461</v>
      </c>
      <c r="F47" t="s">
        <v>4300</v>
      </c>
      <c r="G47" t="s">
        <v>39</v>
      </c>
      <c r="H47" t="s">
        <v>4034</v>
      </c>
      <c r="I47" t="s">
        <v>5265</v>
      </c>
      <c r="J47" t="s">
        <v>3505</v>
      </c>
      <c r="K47" t="s">
        <v>3461</v>
      </c>
    </row>
    <row r="48" spans="1:11" ht="15" customHeight="1" x14ac:dyDescent="0.25">
      <c r="A48" t="s">
        <v>5267</v>
      </c>
      <c r="B48" t="s">
        <v>5268</v>
      </c>
      <c r="C48" t="s">
        <v>3995</v>
      </c>
      <c r="D48" t="s">
        <v>187</v>
      </c>
      <c r="E48" t="s">
        <v>3461</v>
      </c>
      <c r="F48" t="s">
        <v>5269</v>
      </c>
      <c r="G48" t="s">
        <v>39</v>
      </c>
      <c r="H48" t="s">
        <v>4017</v>
      </c>
      <c r="I48" t="s">
        <v>5267</v>
      </c>
      <c r="J48" t="s">
        <v>3461</v>
      </c>
      <c r="K48" t="s">
        <v>3461</v>
      </c>
    </row>
    <row r="49" spans="1:11" ht="15" customHeight="1" x14ac:dyDescent="0.25">
      <c r="A49" t="s">
        <v>5270</v>
      </c>
      <c r="B49" t="s">
        <v>5271</v>
      </c>
      <c r="C49" t="s">
        <v>3742</v>
      </c>
      <c r="D49" t="s">
        <v>4000</v>
      </c>
      <c r="E49" t="s">
        <v>3461</v>
      </c>
      <c r="F49" t="s">
        <v>4300</v>
      </c>
      <c r="G49" t="s">
        <v>5179</v>
      </c>
      <c r="H49" t="s">
        <v>4045</v>
      </c>
      <c r="I49" t="s">
        <v>5270</v>
      </c>
      <c r="J49" t="s">
        <v>3461</v>
      </c>
      <c r="K49" t="s">
        <v>3461</v>
      </c>
    </row>
    <row r="50" spans="1:11" ht="15" customHeight="1" x14ac:dyDescent="0.25">
      <c r="A50" t="s">
        <v>5272</v>
      </c>
      <c r="B50" t="s">
        <v>5273</v>
      </c>
      <c r="C50" t="s">
        <v>3986</v>
      </c>
      <c r="D50" t="s">
        <v>187</v>
      </c>
      <c r="E50" t="s">
        <v>3461</v>
      </c>
      <c r="F50" t="s">
        <v>5235</v>
      </c>
      <c r="G50" t="s">
        <v>39</v>
      </c>
      <c r="H50" t="s">
        <v>4034</v>
      </c>
      <c r="I50" t="s">
        <v>5272</v>
      </c>
      <c r="J50" t="s">
        <v>3461</v>
      </c>
      <c r="K50" t="s">
        <v>3461</v>
      </c>
    </row>
    <row r="51" spans="1:11" ht="15" customHeight="1" x14ac:dyDescent="0.25">
      <c r="A51" t="s">
        <v>5274</v>
      </c>
      <c r="B51" t="s">
        <v>5275</v>
      </c>
      <c r="C51" t="s">
        <v>3995</v>
      </c>
      <c r="D51" t="s">
        <v>4000</v>
      </c>
      <c r="E51" t="s">
        <v>3461</v>
      </c>
      <c r="F51" t="s">
        <v>4300</v>
      </c>
      <c r="G51" t="s">
        <v>39</v>
      </c>
      <c r="H51" t="s">
        <v>4017</v>
      </c>
      <c r="I51" t="s">
        <v>5274</v>
      </c>
      <c r="J51" t="s">
        <v>3461</v>
      </c>
      <c r="K51" t="s">
        <v>3461</v>
      </c>
    </row>
    <row r="52" spans="1:11" ht="15" customHeight="1" x14ac:dyDescent="0.25">
      <c r="A52" t="s">
        <v>5276</v>
      </c>
      <c r="B52" t="s">
        <v>5277</v>
      </c>
      <c r="C52" t="s">
        <v>3995</v>
      </c>
      <c r="D52" t="s">
        <v>4000</v>
      </c>
      <c r="E52" t="s">
        <v>3461</v>
      </c>
      <c r="F52" t="s">
        <v>4300</v>
      </c>
      <c r="G52" t="s">
        <v>39</v>
      </c>
      <c r="H52" t="s">
        <v>4017</v>
      </c>
      <c r="I52" t="s">
        <v>5278</v>
      </c>
      <c r="J52" t="s">
        <v>3505</v>
      </c>
      <c r="K52" t="s">
        <v>3461</v>
      </c>
    </row>
    <row r="53" spans="1:11" ht="15" customHeight="1" x14ac:dyDescent="0.25">
      <c r="A53" t="s">
        <v>5279</v>
      </c>
      <c r="B53" t="s">
        <v>5280</v>
      </c>
      <c r="C53" t="s">
        <v>3742</v>
      </c>
      <c r="D53" t="s">
        <v>4000</v>
      </c>
      <c r="E53" t="s">
        <v>3461</v>
      </c>
      <c r="F53" t="s">
        <v>4300</v>
      </c>
      <c r="G53" t="s">
        <v>5179</v>
      </c>
      <c r="H53" t="s">
        <v>4034</v>
      </c>
      <c r="I53" t="s">
        <v>5279</v>
      </c>
      <c r="J53" t="s">
        <v>3461</v>
      </c>
      <c r="K53" t="s">
        <v>3461</v>
      </c>
    </row>
    <row r="54" spans="1:11" ht="15" customHeight="1" x14ac:dyDescent="0.25">
      <c r="A54" t="s">
        <v>5281</v>
      </c>
      <c r="B54" t="s">
        <v>5282</v>
      </c>
      <c r="C54" t="s">
        <v>3742</v>
      </c>
      <c r="D54" t="s">
        <v>4000</v>
      </c>
      <c r="E54" t="s">
        <v>3461</v>
      </c>
      <c r="F54" t="s">
        <v>4300</v>
      </c>
      <c r="G54" t="s">
        <v>5179</v>
      </c>
      <c r="H54" t="s">
        <v>4017</v>
      </c>
      <c r="I54" t="s">
        <v>5283</v>
      </c>
      <c r="J54" t="s">
        <v>3461</v>
      </c>
      <c r="K54" t="s">
        <v>3461</v>
      </c>
    </row>
    <row r="55" spans="1:11" ht="15" customHeight="1" x14ac:dyDescent="0.25">
      <c r="A55" t="s">
        <v>5283</v>
      </c>
      <c r="B55" t="s">
        <v>5284</v>
      </c>
      <c r="C55" t="s">
        <v>3995</v>
      </c>
      <c r="D55" t="s">
        <v>4000</v>
      </c>
      <c r="E55">
        <v>1</v>
      </c>
      <c r="F55" t="s">
        <v>5162</v>
      </c>
      <c r="G55" t="s">
        <v>5179</v>
      </c>
      <c r="H55" t="s">
        <v>4017</v>
      </c>
      <c r="I55" t="s">
        <v>5283</v>
      </c>
      <c r="J55" t="s">
        <v>3461</v>
      </c>
      <c r="K55" t="s">
        <v>3461</v>
      </c>
    </row>
    <row r="56" spans="1:11" ht="15" customHeight="1" x14ac:dyDescent="0.25">
      <c r="A56" t="s">
        <v>5285</v>
      </c>
      <c r="B56" t="s">
        <v>5286</v>
      </c>
      <c r="C56" t="s">
        <v>3986</v>
      </c>
      <c r="D56" t="s">
        <v>187</v>
      </c>
      <c r="E56" t="s">
        <v>3461</v>
      </c>
      <c r="F56" t="s">
        <v>4300</v>
      </c>
      <c r="G56" t="s">
        <v>39</v>
      </c>
      <c r="H56" t="s">
        <v>4034</v>
      </c>
      <c r="I56" t="s">
        <v>5285</v>
      </c>
      <c r="J56" t="s">
        <v>3517</v>
      </c>
      <c r="K56" t="s">
        <v>3461</v>
      </c>
    </row>
    <row r="57" spans="1:11" ht="15" customHeight="1" x14ac:dyDescent="0.25">
      <c r="A57" t="s">
        <v>5287</v>
      </c>
      <c r="B57" t="s">
        <v>5288</v>
      </c>
      <c r="C57" t="s">
        <v>5289</v>
      </c>
      <c r="D57" t="s">
        <v>4000</v>
      </c>
      <c r="E57" t="s">
        <v>3461</v>
      </c>
      <c r="F57" t="s">
        <v>4300</v>
      </c>
      <c r="G57" t="s">
        <v>5179</v>
      </c>
      <c r="H57" t="s">
        <v>4045</v>
      </c>
      <c r="I57" t="s">
        <v>5287</v>
      </c>
      <c r="J57" t="s">
        <v>3461</v>
      </c>
      <c r="K57" t="s">
        <v>3461</v>
      </c>
    </row>
    <row r="58" spans="1:11" ht="15" customHeight="1" x14ac:dyDescent="0.25">
      <c r="A58" t="s">
        <v>5290</v>
      </c>
      <c r="B58" t="s">
        <v>5291</v>
      </c>
      <c r="C58" t="s">
        <v>3995</v>
      </c>
      <c r="D58" t="s">
        <v>187</v>
      </c>
      <c r="E58" t="s">
        <v>3461</v>
      </c>
      <c r="F58" t="s">
        <v>5162</v>
      </c>
      <c r="G58" t="s">
        <v>39</v>
      </c>
      <c r="H58" t="s">
        <v>4017</v>
      </c>
      <c r="I58" t="s">
        <v>5290</v>
      </c>
      <c r="J58" t="s">
        <v>41</v>
      </c>
      <c r="K58" t="s">
        <v>3461</v>
      </c>
    </row>
    <row r="59" spans="1:11" ht="15" customHeight="1" x14ac:dyDescent="0.25">
      <c r="A59" t="s">
        <v>5292</v>
      </c>
      <c r="B59" t="s">
        <v>5293</v>
      </c>
      <c r="C59" t="s">
        <v>3995</v>
      </c>
      <c r="D59" t="s">
        <v>187</v>
      </c>
      <c r="E59" t="s">
        <v>3461</v>
      </c>
      <c r="F59" t="s">
        <v>5162</v>
      </c>
      <c r="G59" t="s">
        <v>39</v>
      </c>
      <c r="H59" t="s">
        <v>4017</v>
      </c>
      <c r="I59" t="s">
        <v>5292</v>
      </c>
      <c r="J59" t="s">
        <v>41</v>
      </c>
      <c r="K59" t="s">
        <v>3461</v>
      </c>
    </row>
    <row r="60" spans="1:11" ht="15" customHeight="1" x14ac:dyDescent="0.25">
      <c r="A60" t="s">
        <v>5294</v>
      </c>
      <c r="B60" t="s">
        <v>5295</v>
      </c>
      <c r="C60" t="s">
        <v>3742</v>
      </c>
      <c r="D60" t="s">
        <v>187</v>
      </c>
      <c r="E60" t="s">
        <v>3461</v>
      </c>
      <c r="F60" t="s">
        <v>5175</v>
      </c>
      <c r="G60" t="s">
        <v>5176</v>
      </c>
      <c r="H60" t="s">
        <v>4034</v>
      </c>
      <c r="I60" t="s">
        <v>5296</v>
      </c>
      <c r="J60" t="s">
        <v>3461</v>
      </c>
      <c r="K60" t="s">
        <v>3461</v>
      </c>
    </row>
    <row r="61" spans="1:11" ht="15" customHeight="1" x14ac:dyDescent="0.25">
      <c r="A61" t="s">
        <v>5297</v>
      </c>
      <c r="B61" t="s">
        <v>5298</v>
      </c>
      <c r="C61" t="s">
        <v>3742</v>
      </c>
      <c r="D61" t="s">
        <v>187</v>
      </c>
      <c r="E61" t="s">
        <v>3461</v>
      </c>
      <c r="F61" t="s">
        <v>5162</v>
      </c>
      <c r="G61" t="s">
        <v>39</v>
      </c>
      <c r="H61" t="s">
        <v>4045</v>
      </c>
      <c r="I61" t="s">
        <v>5297</v>
      </c>
      <c r="J61" t="s">
        <v>3461</v>
      </c>
      <c r="K61" t="s">
        <v>3461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3456</v>
      </c>
      <c r="C1" t="s">
        <v>3499</v>
      </c>
      <c r="D1" t="s">
        <v>167</v>
      </c>
      <c r="E1" t="s">
        <v>3984</v>
      </c>
      <c r="F1" t="s">
        <v>5148</v>
      </c>
      <c r="G1" t="s">
        <v>4262</v>
      </c>
      <c r="H1" t="s">
        <v>5149</v>
      </c>
      <c r="I1" t="s">
        <v>4012</v>
      </c>
      <c r="J1" t="s">
        <v>5299</v>
      </c>
      <c r="K1" t="s">
        <v>6</v>
      </c>
      <c r="L1" t="s">
        <v>5300</v>
      </c>
      <c r="M1" t="s">
        <v>5301</v>
      </c>
    </row>
    <row r="2" spans="1:13" ht="15" customHeight="1" x14ac:dyDescent="0.25">
      <c r="A2" t="s">
        <v>5151</v>
      </c>
      <c r="B2" t="s">
        <v>5152</v>
      </c>
      <c r="C2" t="s">
        <v>5302</v>
      </c>
      <c r="D2" t="s">
        <v>3986</v>
      </c>
      <c r="E2" t="s">
        <v>187</v>
      </c>
      <c r="F2" t="s">
        <v>3461</v>
      </c>
      <c r="G2" t="s">
        <v>4300</v>
      </c>
      <c r="H2" t="s">
        <v>39</v>
      </c>
      <c r="I2" t="s">
        <v>4034</v>
      </c>
      <c r="J2" t="s">
        <v>5151</v>
      </c>
      <c r="K2" t="s">
        <v>3517</v>
      </c>
      <c r="L2" t="s">
        <v>187</v>
      </c>
      <c r="M2" t="s">
        <v>3461</v>
      </c>
    </row>
    <row r="3" spans="1:13" ht="15" customHeight="1" x14ac:dyDescent="0.25">
      <c r="A3" t="s">
        <v>5154</v>
      </c>
      <c r="B3" t="s">
        <v>5303</v>
      </c>
      <c r="C3" t="s">
        <v>5304</v>
      </c>
      <c r="D3" t="s">
        <v>3995</v>
      </c>
      <c r="E3" t="s">
        <v>187</v>
      </c>
      <c r="F3" t="s">
        <v>3461</v>
      </c>
      <c r="G3" t="s">
        <v>5305</v>
      </c>
      <c r="H3" t="s">
        <v>39</v>
      </c>
      <c r="I3" t="s">
        <v>4017</v>
      </c>
      <c r="J3" t="s">
        <v>5154</v>
      </c>
      <c r="K3" t="s">
        <v>3517</v>
      </c>
      <c r="L3" t="s">
        <v>4000</v>
      </c>
      <c r="M3" t="s">
        <v>5306</v>
      </c>
    </row>
    <row r="4" spans="1:13" ht="15" customHeight="1" x14ac:dyDescent="0.25">
      <c r="A4" t="s">
        <v>5157</v>
      </c>
      <c r="B4" t="s">
        <v>5307</v>
      </c>
      <c r="C4" t="s">
        <v>5308</v>
      </c>
      <c r="D4" t="s">
        <v>3986</v>
      </c>
      <c r="E4" t="s">
        <v>187</v>
      </c>
      <c r="F4" t="s">
        <v>3461</v>
      </c>
      <c r="G4" t="s">
        <v>4300</v>
      </c>
      <c r="H4" t="s">
        <v>39</v>
      </c>
      <c r="I4" t="s">
        <v>4034</v>
      </c>
      <c r="J4" t="s">
        <v>5159</v>
      </c>
      <c r="K4" t="s">
        <v>3505</v>
      </c>
      <c r="L4" t="s">
        <v>187</v>
      </c>
      <c r="M4" t="s">
        <v>3461</v>
      </c>
    </row>
    <row r="5" spans="1:13" ht="15" customHeight="1" x14ac:dyDescent="0.25">
      <c r="A5" s="4" t="s">
        <v>5160</v>
      </c>
      <c r="B5" s="4" t="s">
        <v>5309</v>
      </c>
      <c r="C5" s="4" t="s">
        <v>5310</v>
      </c>
      <c r="D5" s="4" t="s">
        <v>3995</v>
      </c>
      <c r="E5" s="4" t="s">
        <v>187</v>
      </c>
      <c r="F5" s="4" t="s">
        <v>3461</v>
      </c>
      <c r="G5" s="4" t="s">
        <v>5162</v>
      </c>
      <c r="H5" s="4" t="s">
        <v>39</v>
      </c>
      <c r="I5" s="4" t="s">
        <v>4017</v>
      </c>
      <c r="J5" s="4" t="s">
        <v>5160</v>
      </c>
      <c r="K5" s="4" t="s">
        <v>41</v>
      </c>
      <c r="L5" t="s">
        <v>187</v>
      </c>
      <c r="M5" t="s">
        <v>3461</v>
      </c>
    </row>
    <row r="6" spans="1:13" ht="15" customHeight="1" x14ac:dyDescent="0.25">
      <c r="A6" t="s">
        <v>5167</v>
      </c>
      <c r="B6" t="s">
        <v>5311</v>
      </c>
      <c r="C6" t="s">
        <v>5312</v>
      </c>
      <c r="D6" t="s">
        <v>3995</v>
      </c>
      <c r="E6" t="s">
        <v>187</v>
      </c>
      <c r="F6" t="s">
        <v>3461</v>
      </c>
      <c r="G6" t="s">
        <v>4300</v>
      </c>
      <c r="H6" t="s">
        <v>39</v>
      </c>
      <c r="I6" t="s">
        <v>4017</v>
      </c>
      <c r="J6" t="s">
        <v>5167</v>
      </c>
      <c r="K6" t="s">
        <v>41</v>
      </c>
      <c r="L6" t="s">
        <v>187</v>
      </c>
      <c r="M6" t="s">
        <v>3461</v>
      </c>
    </row>
    <row r="7" spans="1:13" ht="15" customHeight="1" x14ac:dyDescent="0.25">
      <c r="A7" s="5" t="s">
        <v>5169</v>
      </c>
      <c r="B7" s="6" t="s">
        <v>5170</v>
      </c>
      <c r="C7" s="6" t="s">
        <v>5313</v>
      </c>
      <c r="D7" s="6" t="s">
        <v>3986</v>
      </c>
      <c r="E7" s="6" t="s">
        <v>187</v>
      </c>
      <c r="F7" s="6" t="s">
        <v>3461</v>
      </c>
      <c r="G7" s="7" t="s">
        <v>5191</v>
      </c>
      <c r="H7" s="6" t="s">
        <v>39</v>
      </c>
      <c r="I7" s="6" t="s">
        <v>4034</v>
      </c>
      <c r="J7" s="6" t="s">
        <v>5169</v>
      </c>
      <c r="K7" s="6" t="s">
        <v>3505</v>
      </c>
      <c r="L7" t="s">
        <v>187</v>
      </c>
      <c r="M7" t="s">
        <v>3461</v>
      </c>
    </row>
    <row r="8" spans="1:13" ht="15" customHeight="1" x14ac:dyDescent="0.25">
      <c r="A8" t="s">
        <v>4005</v>
      </c>
      <c r="B8" t="s">
        <v>5172</v>
      </c>
      <c r="C8" t="s">
        <v>5314</v>
      </c>
      <c r="D8" t="s">
        <v>3995</v>
      </c>
      <c r="E8" t="s">
        <v>187</v>
      </c>
      <c r="F8" t="s">
        <v>3461</v>
      </c>
      <c r="G8" t="s">
        <v>5162</v>
      </c>
      <c r="H8" t="s">
        <v>39</v>
      </c>
      <c r="I8" t="s">
        <v>4017</v>
      </c>
      <c r="J8" t="s">
        <v>4005</v>
      </c>
      <c r="K8" t="s">
        <v>41</v>
      </c>
      <c r="L8" t="s">
        <v>187</v>
      </c>
      <c r="M8" t="s">
        <v>3461</v>
      </c>
    </row>
    <row r="9" spans="1:13" ht="15" customHeight="1" x14ac:dyDescent="0.25">
      <c r="A9" t="s">
        <v>5180</v>
      </c>
      <c r="B9" s="8" t="s">
        <v>5315</v>
      </c>
      <c r="C9" s="8" t="s">
        <v>5316</v>
      </c>
      <c r="D9" t="s">
        <v>3995</v>
      </c>
      <c r="E9" t="s">
        <v>187</v>
      </c>
      <c r="F9" t="s">
        <v>3461</v>
      </c>
      <c r="G9" t="s">
        <v>5162</v>
      </c>
      <c r="H9" t="s">
        <v>5176</v>
      </c>
      <c r="I9" t="s">
        <v>4017</v>
      </c>
      <c r="J9" t="s">
        <v>5180</v>
      </c>
      <c r="K9" t="s">
        <v>3461</v>
      </c>
      <c r="L9" t="s">
        <v>187</v>
      </c>
      <c r="M9" t="s">
        <v>3461</v>
      </c>
    </row>
    <row r="10" spans="1:13" ht="15" customHeight="1" x14ac:dyDescent="0.25">
      <c r="A10" t="s">
        <v>5317</v>
      </c>
      <c r="B10" t="s">
        <v>5318</v>
      </c>
      <c r="C10" t="s">
        <v>5319</v>
      </c>
      <c r="D10" t="s">
        <v>3986</v>
      </c>
      <c r="E10" t="s">
        <v>187</v>
      </c>
      <c r="F10" t="s">
        <v>3461</v>
      </c>
      <c r="G10" t="s">
        <v>4300</v>
      </c>
      <c r="H10" t="s">
        <v>39</v>
      </c>
      <c r="I10" t="s">
        <v>4034</v>
      </c>
      <c r="J10" t="s">
        <v>5320</v>
      </c>
      <c r="K10" t="s">
        <v>41</v>
      </c>
      <c r="L10" t="s">
        <v>187</v>
      </c>
      <c r="M10" t="s">
        <v>3461</v>
      </c>
    </row>
    <row r="11" spans="1:13" ht="15" customHeight="1" x14ac:dyDescent="0.25">
      <c r="A11" t="s">
        <v>5185</v>
      </c>
      <c r="B11" s="8" t="s">
        <v>5321</v>
      </c>
      <c r="C11" s="8" t="s">
        <v>5322</v>
      </c>
      <c r="D11" t="s">
        <v>3742</v>
      </c>
      <c r="E11" t="s">
        <v>4000</v>
      </c>
      <c r="F11" t="s">
        <v>3461</v>
      </c>
      <c r="G11" t="s">
        <v>4300</v>
      </c>
      <c r="H11" t="s">
        <v>39</v>
      </c>
      <c r="I11" t="s">
        <v>4034</v>
      </c>
      <c r="J11" t="s">
        <v>5187</v>
      </c>
      <c r="K11" t="s">
        <v>3461</v>
      </c>
      <c r="L11" t="s">
        <v>187</v>
      </c>
      <c r="M11" t="s">
        <v>3461</v>
      </c>
    </row>
    <row r="12" spans="1:13" ht="15" customHeight="1" x14ac:dyDescent="0.25">
      <c r="A12" t="s">
        <v>3515</v>
      </c>
      <c r="B12" t="s">
        <v>5188</v>
      </c>
      <c r="C12" t="s">
        <v>5323</v>
      </c>
      <c r="D12" t="s">
        <v>3986</v>
      </c>
      <c r="E12" t="s">
        <v>187</v>
      </c>
      <c r="F12" t="s">
        <v>3461</v>
      </c>
      <c r="G12" t="s">
        <v>4300</v>
      </c>
      <c r="H12" t="s">
        <v>39</v>
      </c>
      <c r="I12" t="s">
        <v>4034</v>
      </c>
      <c r="J12" t="s">
        <v>3515</v>
      </c>
      <c r="K12" t="s">
        <v>3517</v>
      </c>
      <c r="L12" t="s">
        <v>187</v>
      </c>
      <c r="M12" t="s">
        <v>3461</v>
      </c>
    </row>
    <row r="13" spans="1:13" ht="15" customHeight="1" x14ac:dyDescent="0.25">
      <c r="A13" t="s">
        <v>5189</v>
      </c>
      <c r="B13" t="s">
        <v>5190</v>
      </c>
      <c r="C13" t="s">
        <v>5313</v>
      </c>
      <c r="D13" t="s">
        <v>3986</v>
      </c>
      <c r="E13" t="s">
        <v>187</v>
      </c>
      <c r="F13" t="s">
        <v>3461</v>
      </c>
      <c r="G13" t="s">
        <v>5171</v>
      </c>
      <c r="H13" t="s">
        <v>39</v>
      </c>
      <c r="I13" t="s">
        <v>4034</v>
      </c>
      <c r="J13" t="s">
        <v>5189</v>
      </c>
      <c r="K13" t="s">
        <v>3505</v>
      </c>
      <c r="L13" t="s">
        <v>187</v>
      </c>
      <c r="M13" t="s">
        <v>3461</v>
      </c>
    </row>
    <row r="14" spans="1:13" ht="15" customHeight="1" x14ac:dyDescent="0.25">
      <c r="A14" t="s">
        <v>5205</v>
      </c>
      <c r="B14" s="8" t="s">
        <v>5204</v>
      </c>
      <c r="C14" s="8" t="s">
        <v>5324</v>
      </c>
      <c r="D14" t="s">
        <v>3995</v>
      </c>
      <c r="E14" t="s">
        <v>187</v>
      </c>
      <c r="F14" t="s">
        <v>3461</v>
      </c>
      <c r="G14" t="s">
        <v>5162</v>
      </c>
      <c r="H14" t="s">
        <v>39</v>
      </c>
      <c r="I14" t="s">
        <v>4017</v>
      </c>
      <c r="J14" t="s">
        <v>5205</v>
      </c>
      <c r="K14" t="s">
        <v>3461</v>
      </c>
      <c r="L14" t="s">
        <v>187</v>
      </c>
      <c r="M14" t="s">
        <v>3461</v>
      </c>
    </row>
    <row r="15" spans="1:13" ht="15" customHeight="1" x14ac:dyDescent="0.25">
      <c r="A15" t="s">
        <v>5206</v>
      </c>
      <c r="B15" t="s">
        <v>5207</v>
      </c>
      <c r="C15" t="s">
        <v>3461</v>
      </c>
      <c r="D15" t="s">
        <v>3995</v>
      </c>
      <c r="E15" t="s">
        <v>187</v>
      </c>
      <c r="F15" t="s">
        <v>3461</v>
      </c>
      <c r="G15" t="s">
        <v>5208</v>
      </c>
      <c r="H15" t="s">
        <v>5176</v>
      </c>
      <c r="I15" t="s">
        <v>4017</v>
      </c>
      <c r="J15" t="s">
        <v>5206</v>
      </c>
      <c r="K15" t="s">
        <v>3517</v>
      </c>
      <c r="L15" t="s">
        <v>4000</v>
      </c>
      <c r="M15" t="s">
        <v>5325</v>
      </c>
    </row>
    <row r="16" spans="1:13" ht="15" customHeight="1" x14ac:dyDescent="0.25">
      <c r="A16" t="s">
        <v>5223</v>
      </c>
      <c r="B16" t="s">
        <v>5224</v>
      </c>
      <c r="C16" t="s">
        <v>5326</v>
      </c>
      <c r="D16" t="s">
        <v>3995</v>
      </c>
      <c r="E16" t="s">
        <v>187</v>
      </c>
      <c r="F16" t="s">
        <v>3461</v>
      </c>
      <c r="G16" t="s">
        <v>5162</v>
      </c>
      <c r="H16" t="s">
        <v>39</v>
      </c>
      <c r="I16" t="s">
        <v>4017</v>
      </c>
      <c r="J16" t="s">
        <v>5223</v>
      </c>
      <c r="K16" t="s">
        <v>41</v>
      </c>
      <c r="L16" t="s">
        <v>187</v>
      </c>
      <c r="M16" t="s">
        <v>3461</v>
      </c>
    </row>
    <row r="17" spans="1:13" ht="15" customHeight="1" x14ac:dyDescent="0.25">
      <c r="A17" t="s">
        <v>5248</v>
      </c>
      <c r="B17" t="s">
        <v>5249</v>
      </c>
      <c r="C17" t="s">
        <v>5327</v>
      </c>
      <c r="D17" t="s">
        <v>3986</v>
      </c>
      <c r="E17" t="s">
        <v>187</v>
      </c>
      <c r="F17" t="s">
        <v>3461</v>
      </c>
      <c r="G17" t="s">
        <v>4300</v>
      </c>
      <c r="H17" t="s">
        <v>39</v>
      </c>
      <c r="I17" t="s">
        <v>4034</v>
      </c>
      <c r="J17" t="s">
        <v>5248</v>
      </c>
      <c r="K17" t="s">
        <v>3505</v>
      </c>
      <c r="L17" t="s">
        <v>187</v>
      </c>
      <c r="M17" t="s">
        <v>3461</v>
      </c>
    </row>
    <row r="18" spans="1:13" ht="15" customHeight="1" x14ac:dyDescent="0.25">
      <c r="A18" t="s">
        <v>5253</v>
      </c>
      <c r="B18" t="s">
        <v>5254</v>
      </c>
      <c r="C18" t="s">
        <v>5328</v>
      </c>
      <c r="D18" t="s">
        <v>3986</v>
      </c>
      <c r="E18" t="s">
        <v>187</v>
      </c>
      <c r="F18" t="s">
        <v>3461</v>
      </c>
      <c r="G18" s="2" t="s">
        <v>5255</v>
      </c>
      <c r="H18" t="s">
        <v>39</v>
      </c>
      <c r="I18" t="s">
        <v>4034</v>
      </c>
      <c r="J18" t="s">
        <v>5256</v>
      </c>
      <c r="K18" t="s">
        <v>3517</v>
      </c>
      <c r="L18" t="s">
        <v>3461</v>
      </c>
      <c r="M18" t="s">
        <v>3461</v>
      </c>
    </row>
    <row r="19" spans="1:13" ht="15" customHeight="1" x14ac:dyDescent="0.25">
      <c r="A19" t="s">
        <v>5257</v>
      </c>
      <c r="B19" t="s">
        <v>5258</v>
      </c>
      <c r="C19" t="s">
        <v>5329</v>
      </c>
      <c r="D19" t="s">
        <v>3995</v>
      </c>
      <c r="E19" t="s">
        <v>187</v>
      </c>
      <c r="F19" t="s">
        <v>3461</v>
      </c>
      <c r="G19" t="s">
        <v>5259</v>
      </c>
      <c r="H19" t="s">
        <v>39</v>
      </c>
      <c r="I19" t="s">
        <v>4017</v>
      </c>
      <c r="J19" t="s">
        <v>5257</v>
      </c>
      <c r="K19" t="s">
        <v>41</v>
      </c>
      <c r="L19" t="s">
        <v>187</v>
      </c>
      <c r="M19" t="s">
        <v>3461</v>
      </c>
    </row>
    <row r="20" spans="1:13" ht="15" customHeight="1" x14ac:dyDescent="0.25">
      <c r="A20" t="s">
        <v>4600</v>
      </c>
      <c r="B20" t="s">
        <v>5260</v>
      </c>
      <c r="C20" t="s">
        <v>5330</v>
      </c>
      <c r="D20" t="s">
        <v>3986</v>
      </c>
      <c r="E20" t="s">
        <v>187</v>
      </c>
      <c r="F20" t="s">
        <v>3461</v>
      </c>
      <c r="G20" t="s">
        <v>4300</v>
      </c>
      <c r="H20" t="s">
        <v>39</v>
      </c>
      <c r="I20" t="s">
        <v>4034</v>
      </c>
      <c r="J20" t="s">
        <v>4600</v>
      </c>
      <c r="K20" t="s">
        <v>3517</v>
      </c>
      <c r="L20" t="s">
        <v>187</v>
      </c>
      <c r="M20" t="s">
        <v>3461</v>
      </c>
    </row>
    <row r="21" spans="1:13" ht="15" customHeight="1" x14ac:dyDescent="0.25">
      <c r="A21" t="s">
        <v>5261</v>
      </c>
      <c r="B21" t="s">
        <v>5262</v>
      </c>
      <c r="C21" t="s">
        <v>5331</v>
      </c>
      <c r="D21" t="s">
        <v>3986</v>
      </c>
      <c r="E21" t="s">
        <v>187</v>
      </c>
      <c r="F21" t="s">
        <v>3461</v>
      </c>
      <c r="G21" t="s">
        <v>5162</v>
      </c>
      <c r="H21" t="s">
        <v>39</v>
      </c>
      <c r="I21" t="s">
        <v>4034</v>
      </c>
      <c r="J21" t="s">
        <v>5261</v>
      </c>
      <c r="K21" t="s">
        <v>3517</v>
      </c>
      <c r="L21" t="s">
        <v>187</v>
      </c>
      <c r="M21" t="s">
        <v>3461</v>
      </c>
    </row>
    <row r="22" spans="1:13" ht="15" customHeight="1" x14ac:dyDescent="0.25">
      <c r="A22" t="s">
        <v>5265</v>
      </c>
      <c r="B22" s="8" t="s">
        <v>5266</v>
      </c>
      <c r="C22" s="8" t="s">
        <v>5332</v>
      </c>
      <c r="D22" t="s">
        <v>3986</v>
      </c>
      <c r="E22" t="s">
        <v>187</v>
      </c>
      <c r="F22" t="s">
        <v>3461</v>
      </c>
      <c r="G22" t="s">
        <v>4300</v>
      </c>
      <c r="H22" t="s">
        <v>39</v>
      </c>
      <c r="I22" t="s">
        <v>4034</v>
      </c>
      <c r="J22" t="s">
        <v>5265</v>
      </c>
      <c r="K22" t="s">
        <v>3505</v>
      </c>
      <c r="L22" t="s">
        <v>187</v>
      </c>
      <c r="M22" t="s">
        <v>3461</v>
      </c>
    </row>
    <row r="23" spans="1:13" ht="15" customHeight="1" x14ac:dyDescent="0.25">
      <c r="A23" t="s">
        <v>5272</v>
      </c>
      <c r="B23" s="8" t="s">
        <v>5333</v>
      </c>
      <c r="C23" s="8" t="s">
        <v>5334</v>
      </c>
      <c r="D23" t="s">
        <v>3986</v>
      </c>
      <c r="E23" t="s">
        <v>187</v>
      </c>
      <c r="F23" t="s">
        <v>3461</v>
      </c>
      <c r="G23" t="s">
        <v>5235</v>
      </c>
      <c r="H23" t="s">
        <v>39</v>
      </c>
      <c r="I23" t="s">
        <v>4034</v>
      </c>
      <c r="J23" t="s">
        <v>5272</v>
      </c>
      <c r="K23" t="s">
        <v>3461</v>
      </c>
      <c r="L23" t="s">
        <v>187</v>
      </c>
      <c r="M23" t="s">
        <v>3461</v>
      </c>
    </row>
    <row r="24" spans="1:13" ht="15" customHeight="1" x14ac:dyDescent="0.25">
      <c r="A24" t="s">
        <v>5274</v>
      </c>
      <c r="B24" s="8" t="s">
        <v>5335</v>
      </c>
      <c r="C24" s="8" t="s">
        <v>5336</v>
      </c>
      <c r="D24" t="s">
        <v>3995</v>
      </c>
      <c r="E24" t="s">
        <v>4000</v>
      </c>
      <c r="F24" t="s">
        <v>3461</v>
      </c>
      <c r="G24" t="s">
        <v>4300</v>
      </c>
      <c r="H24" t="s">
        <v>39</v>
      </c>
      <c r="I24" t="s">
        <v>4017</v>
      </c>
      <c r="J24" t="s">
        <v>5274</v>
      </c>
      <c r="K24" t="s">
        <v>3461</v>
      </c>
      <c r="L24" t="s">
        <v>187</v>
      </c>
      <c r="M24" t="s">
        <v>3461</v>
      </c>
    </row>
    <row r="25" spans="1:13" ht="15" customHeight="1" x14ac:dyDescent="0.25">
      <c r="A25" t="s">
        <v>5276</v>
      </c>
      <c r="B25" t="s">
        <v>5277</v>
      </c>
      <c r="C25" t="s">
        <v>5337</v>
      </c>
      <c r="D25" t="s">
        <v>3995</v>
      </c>
      <c r="E25" t="s">
        <v>4000</v>
      </c>
      <c r="F25" t="s">
        <v>3461</v>
      </c>
      <c r="G25" t="s">
        <v>4300</v>
      </c>
      <c r="H25" t="s">
        <v>39</v>
      </c>
      <c r="I25" t="s">
        <v>4017</v>
      </c>
      <c r="J25" t="s">
        <v>5278</v>
      </c>
      <c r="K25" t="s">
        <v>3505</v>
      </c>
      <c r="L25" t="s">
        <v>187</v>
      </c>
      <c r="M25" t="s">
        <v>3461</v>
      </c>
    </row>
    <row r="26" spans="1:13" ht="15" customHeight="1" x14ac:dyDescent="0.25">
      <c r="A26" t="s">
        <v>5279</v>
      </c>
      <c r="B26" s="8" t="s">
        <v>5338</v>
      </c>
      <c r="C26" s="8" t="s">
        <v>5339</v>
      </c>
      <c r="D26" t="s">
        <v>3742</v>
      </c>
      <c r="E26" t="s">
        <v>4000</v>
      </c>
      <c r="F26" t="s">
        <v>3461</v>
      </c>
      <c r="G26" t="s">
        <v>4300</v>
      </c>
      <c r="H26" t="s">
        <v>5179</v>
      </c>
      <c r="I26" t="s">
        <v>4034</v>
      </c>
      <c r="J26" t="s">
        <v>5279</v>
      </c>
      <c r="K26" t="s">
        <v>3461</v>
      </c>
      <c r="L26" t="s">
        <v>187</v>
      </c>
      <c r="M26" t="s">
        <v>3461</v>
      </c>
    </row>
    <row r="27" spans="1:13" ht="15" customHeight="1" x14ac:dyDescent="0.25">
      <c r="A27" t="s">
        <v>5285</v>
      </c>
      <c r="B27" t="s">
        <v>5340</v>
      </c>
      <c r="C27" t="s">
        <v>5341</v>
      </c>
      <c r="D27" t="s">
        <v>3986</v>
      </c>
      <c r="E27" t="s">
        <v>187</v>
      </c>
      <c r="F27" t="s">
        <v>3461</v>
      </c>
      <c r="G27" t="s">
        <v>4300</v>
      </c>
      <c r="H27" t="s">
        <v>39</v>
      </c>
      <c r="I27" t="s">
        <v>4034</v>
      </c>
      <c r="J27" t="s">
        <v>5285</v>
      </c>
      <c r="K27" t="s">
        <v>3517</v>
      </c>
      <c r="L27" t="s">
        <v>187</v>
      </c>
      <c r="M27" t="s">
        <v>3461</v>
      </c>
    </row>
    <row r="28" spans="1:13" ht="15" customHeight="1" x14ac:dyDescent="0.25">
      <c r="A28" t="s">
        <v>5290</v>
      </c>
      <c r="B28" t="s">
        <v>5291</v>
      </c>
      <c r="C28" t="s">
        <v>5342</v>
      </c>
      <c r="D28" t="s">
        <v>3995</v>
      </c>
      <c r="E28" t="s">
        <v>187</v>
      </c>
      <c r="F28" t="s">
        <v>3461</v>
      </c>
      <c r="G28" t="s">
        <v>5162</v>
      </c>
      <c r="H28" t="s">
        <v>39</v>
      </c>
      <c r="I28" t="s">
        <v>4017</v>
      </c>
      <c r="J28" t="s">
        <v>5290</v>
      </c>
      <c r="K28" t="s">
        <v>41</v>
      </c>
      <c r="L28" t="s">
        <v>187</v>
      </c>
      <c r="M28" t="s">
        <v>3461</v>
      </c>
    </row>
    <row r="29" spans="1:13" ht="15" customHeight="1" x14ac:dyDescent="0.25">
      <c r="A29" t="s">
        <v>5292</v>
      </c>
      <c r="B29" t="s">
        <v>5293</v>
      </c>
      <c r="C29" t="s">
        <v>5343</v>
      </c>
      <c r="D29" t="s">
        <v>3995</v>
      </c>
      <c r="E29" t="s">
        <v>187</v>
      </c>
      <c r="F29" t="s">
        <v>3461</v>
      </c>
      <c r="G29" t="s">
        <v>5162</v>
      </c>
      <c r="H29" t="s">
        <v>39</v>
      </c>
      <c r="I29" t="s">
        <v>4017</v>
      </c>
      <c r="J29" t="s">
        <v>5292</v>
      </c>
      <c r="K29" t="s">
        <v>41</v>
      </c>
      <c r="L29" t="s">
        <v>187</v>
      </c>
      <c r="M29" t="s">
        <v>3461</v>
      </c>
    </row>
    <row r="30" spans="1:13" ht="15" customHeight="1" x14ac:dyDescent="0.25">
      <c r="A30" t="s">
        <v>5283</v>
      </c>
      <c r="B30" t="s">
        <v>5284</v>
      </c>
      <c r="C30" t="s">
        <v>5344</v>
      </c>
      <c r="D30" t="s">
        <v>3995</v>
      </c>
      <c r="E30" t="s">
        <v>4000</v>
      </c>
      <c r="F30">
        <v>1</v>
      </c>
      <c r="G30" t="s">
        <v>5162</v>
      </c>
      <c r="H30" t="s">
        <v>39</v>
      </c>
      <c r="I30" t="s">
        <v>4017</v>
      </c>
      <c r="J30" t="s">
        <v>5283</v>
      </c>
      <c r="K30" t="s">
        <v>3461</v>
      </c>
      <c r="L30" t="s">
        <v>187</v>
      </c>
      <c r="M30" t="s">
        <v>5345</v>
      </c>
    </row>
    <row r="31" spans="1:13" ht="60" customHeight="1" x14ac:dyDescent="0.25">
      <c r="A31" t="s">
        <v>5240</v>
      </c>
      <c r="B31" s="8" t="s">
        <v>5346</v>
      </c>
      <c r="C31" s="8" t="s">
        <v>5347</v>
      </c>
      <c r="D31" t="s">
        <v>3986</v>
      </c>
      <c r="E31" t="s">
        <v>187</v>
      </c>
      <c r="F31" t="s">
        <v>3461</v>
      </c>
      <c r="G31" t="s">
        <v>5235</v>
      </c>
      <c r="H31" t="s">
        <v>5176</v>
      </c>
      <c r="I31" t="s">
        <v>4034</v>
      </c>
      <c r="J31" t="s">
        <v>5242</v>
      </c>
      <c r="K31" t="s">
        <v>3517</v>
      </c>
      <c r="L31" t="s">
        <v>4000</v>
      </c>
      <c r="M31" s="8" t="s">
        <v>5348</v>
      </c>
    </row>
    <row r="32" spans="1:13" ht="45" customHeight="1" x14ac:dyDescent="0.25">
      <c r="A32" t="s">
        <v>5237</v>
      </c>
      <c r="B32" s="8" t="s">
        <v>5349</v>
      </c>
      <c r="C32" s="8" t="s">
        <v>5350</v>
      </c>
      <c r="D32" t="s">
        <v>3986</v>
      </c>
      <c r="E32" t="s">
        <v>187</v>
      </c>
      <c r="F32" t="s">
        <v>3461</v>
      </c>
      <c r="G32" t="s">
        <v>5235</v>
      </c>
      <c r="H32" t="s">
        <v>5176</v>
      </c>
      <c r="I32" t="s">
        <v>4034</v>
      </c>
      <c r="J32" t="s">
        <v>5239</v>
      </c>
      <c r="K32" t="s">
        <v>3517</v>
      </c>
      <c r="L32" t="s">
        <v>4000</v>
      </c>
      <c r="M32" s="8" t="s">
        <v>5351</v>
      </c>
    </row>
    <row r="33" spans="1:13" ht="60" customHeight="1" x14ac:dyDescent="0.25">
      <c r="A33" t="s">
        <v>5243</v>
      </c>
      <c r="B33" s="8" t="s">
        <v>5352</v>
      </c>
      <c r="C33" s="8" t="s">
        <v>5353</v>
      </c>
      <c r="D33" t="s">
        <v>3995</v>
      </c>
      <c r="E33" t="s">
        <v>187</v>
      </c>
      <c r="F33" t="s">
        <v>3461</v>
      </c>
      <c r="G33" t="s">
        <v>5162</v>
      </c>
      <c r="H33" t="s">
        <v>5176</v>
      </c>
      <c r="I33" t="s">
        <v>4017</v>
      </c>
      <c r="J33" t="s">
        <v>5245</v>
      </c>
      <c r="K33" t="s">
        <v>3461</v>
      </c>
      <c r="L33" t="s">
        <v>4000</v>
      </c>
      <c r="M33" s="8" t="s">
        <v>5354</v>
      </c>
    </row>
    <row r="34" spans="1:13" ht="45" customHeight="1" x14ac:dyDescent="0.25">
      <c r="A34" t="s">
        <v>5225</v>
      </c>
      <c r="B34" s="8" t="s">
        <v>5226</v>
      </c>
      <c r="C34" s="8" t="s">
        <v>5355</v>
      </c>
      <c r="D34" t="s">
        <v>3986</v>
      </c>
      <c r="E34" t="s">
        <v>187</v>
      </c>
      <c r="F34" t="s">
        <v>3461</v>
      </c>
      <c r="G34" t="s">
        <v>5162</v>
      </c>
      <c r="H34" t="s">
        <v>39</v>
      </c>
      <c r="I34" t="s">
        <v>4034</v>
      </c>
      <c r="J34" t="s">
        <v>5225</v>
      </c>
      <c r="K34" t="s">
        <v>3505</v>
      </c>
      <c r="L34" t="s">
        <v>187</v>
      </c>
      <c r="M34" s="8" t="s">
        <v>5356</v>
      </c>
    </row>
    <row r="35" spans="1:13" ht="45" customHeight="1" x14ac:dyDescent="0.25">
      <c r="A35" t="s">
        <v>5177</v>
      </c>
      <c r="B35" s="8" t="s">
        <v>5357</v>
      </c>
      <c r="C35" s="8" t="s">
        <v>5358</v>
      </c>
      <c r="D35" t="s">
        <v>3995</v>
      </c>
      <c r="E35" t="s">
        <v>187</v>
      </c>
      <c r="F35" t="s">
        <v>3461</v>
      </c>
      <c r="G35" t="s">
        <v>5359</v>
      </c>
      <c r="H35" t="s">
        <v>5179</v>
      </c>
      <c r="I35" t="s">
        <v>4017</v>
      </c>
      <c r="J35" t="s">
        <v>5177</v>
      </c>
      <c r="K35" t="s">
        <v>3461</v>
      </c>
      <c r="L35" t="s">
        <v>187</v>
      </c>
      <c r="M35" s="8" t="s">
        <v>5360</v>
      </c>
    </row>
    <row r="36" spans="1:13" x14ac:dyDescent="0.25">
      <c r="A36" t="s">
        <v>5215</v>
      </c>
      <c r="B36" s="8" t="s">
        <v>5361</v>
      </c>
      <c r="C36" s="8" t="s">
        <v>5362</v>
      </c>
      <c r="D36" t="s">
        <v>5363</v>
      </c>
      <c r="E36" t="s">
        <v>187</v>
      </c>
      <c r="F36" t="s">
        <v>3461</v>
      </c>
      <c r="G36" t="s">
        <v>5364</v>
      </c>
      <c r="H36" t="s">
        <v>5176</v>
      </c>
      <c r="I36" t="s">
        <v>4034</v>
      </c>
      <c r="J36" t="s">
        <v>5217</v>
      </c>
      <c r="K36" t="s">
        <v>3517</v>
      </c>
      <c r="L36" t="s">
        <v>4000</v>
      </c>
      <c r="M36" t="s">
        <v>3461</v>
      </c>
    </row>
    <row r="37" spans="1:13" x14ac:dyDescent="0.25">
      <c r="A37" t="s">
        <v>5365</v>
      </c>
      <c r="B37" s="8" t="s">
        <v>5366</v>
      </c>
      <c r="C37" s="8" t="s">
        <v>5362</v>
      </c>
      <c r="D37" t="s">
        <v>5363</v>
      </c>
      <c r="E37" t="s">
        <v>187</v>
      </c>
      <c r="F37" t="s">
        <v>3461</v>
      </c>
      <c r="G37" t="s">
        <v>5364</v>
      </c>
      <c r="H37" t="s">
        <v>5176</v>
      </c>
      <c r="I37" t="s">
        <v>4034</v>
      </c>
      <c r="J37" t="s">
        <v>5365</v>
      </c>
      <c r="K37" t="s">
        <v>3517</v>
      </c>
      <c r="L37" t="s">
        <v>4000</v>
      </c>
      <c r="M37" t="s">
        <v>3461</v>
      </c>
    </row>
    <row r="38" spans="1:13" x14ac:dyDescent="0.25">
      <c r="A38" t="s">
        <v>5367</v>
      </c>
      <c r="B38" s="8" t="s">
        <v>5368</v>
      </c>
      <c r="C38" s="8" t="s">
        <v>5362</v>
      </c>
      <c r="D38" t="s">
        <v>5363</v>
      </c>
      <c r="E38" t="s">
        <v>187</v>
      </c>
      <c r="F38" t="s">
        <v>3461</v>
      </c>
      <c r="G38" t="s">
        <v>5364</v>
      </c>
      <c r="H38" t="s">
        <v>5176</v>
      </c>
      <c r="I38" t="s">
        <v>4034</v>
      </c>
      <c r="J38" t="s">
        <v>5369</v>
      </c>
      <c r="K38" t="s">
        <v>3505</v>
      </c>
      <c r="L38" t="s">
        <v>4000</v>
      </c>
      <c r="M38" t="s">
        <v>3461</v>
      </c>
    </row>
    <row r="39" spans="1:13" x14ac:dyDescent="0.25">
      <c r="A39" t="s">
        <v>5163</v>
      </c>
      <c r="B39" s="8" t="s">
        <v>5370</v>
      </c>
      <c r="C39" s="8" t="s">
        <v>5371</v>
      </c>
      <c r="D39" t="s">
        <v>3986</v>
      </c>
      <c r="E39" t="s">
        <v>187</v>
      </c>
      <c r="F39" t="s">
        <v>3461</v>
      </c>
      <c r="G39" t="s">
        <v>5372</v>
      </c>
      <c r="H39" t="s">
        <v>5176</v>
      </c>
      <c r="I39" t="s">
        <v>4034</v>
      </c>
      <c r="J39" t="s">
        <v>5163</v>
      </c>
      <c r="K39" t="s">
        <v>3517</v>
      </c>
      <c r="L39" t="s">
        <v>4000</v>
      </c>
      <c r="M39" t="s">
        <v>5373</v>
      </c>
    </row>
    <row r="40" spans="1:13" x14ac:dyDescent="0.25">
      <c r="A40" t="s">
        <v>5173</v>
      </c>
      <c r="B40" s="8" t="s">
        <v>5374</v>
      </c>
      <c r="C40" s="8" t="s">
        <v>5362</v>
      </c>
      <c r="D40" t="s">
        <v>5363</v>
      </c>
      <c r="E40" t="s">
        <v>187</v>
      </c>
      <c r="F40" t="s">
        <v>3461</v>
      </c>
      <c r="G40" t="s">
        <v>5364</v>
      </c>
      <c r="H40" t="s">
        <v>5176</v>
      </c>
      <c r="I40" t="s">
        <v>4034</v>
      </c>
      <c r="J40" t="s">
        <v>5173</v>
      </c>
      <c r="K40" t="s">
        <v>3505</v>
      </c>
      <c r="L40" t="s">
        <v>4000</v>
      </c>
      <c r="M40" t="s">
        <v>3461</v>
      </c>
    </row>
    <row r="41" spans="1:13" x14ac:dyDescent="0.25">
      <c r="A41" t="s">
        <v>5232</v>
      </c>
      <c r="B41" s="8" t="s">
        <v>5375</v>
      </c>
      <c r="C41" s="8" t="s">
        <v>5376</v>
      </c>
      <c r="D41" t="s">
        <v>3986</v>
      </c>
      <c r="E41" t="s">
        <v>187</v>
      </c>
      <c r="F41" t="s">
        <v>3461</v>
      </c>
      <c r="G41" t="s">
        <v>5235</v>
      </c>
      <c r="H41" t="s">
        <v>5176</v>
      </c>
      <c r="I41" t="s">
        <v>4034</v>
      </c>
      <c r="J41" t="s">
        <v>5236</v>
      </c>
      <c r="K41" t="s">
        <v>3517</v>
      </c>
      <c r="L41" t="s">
        <v>4000</v>
      </c>
      <c r="M41" t="s">
        <v>5377</v>
      </c>
    </row>
    <row r="42" spans="1:13" x14ac:dyDescent="0.25">
      <c r="A42" t="s">
        <v>5194</v>
      </c>
      <c r="B42" s="8" t="s">
        <v>5378</v>
      </c>
      <c r="C42" s="8" t="s">
        <v>5379</v>
      </c>
      <c r="D42" t="s">
        <v>3986</v>
      </c>
      <c r="E42" t="s">
        <v>187</v>
      </c>
      <c r="F42" t="s">
        <v>3461</v>
      </c>
      <c r="G42" t="s">
        <v>5162</v>
      </c>
      <c r="H42" t="s">
        <v>39</v>
      </c>
      <c r="I42" t="s">
        <v>4034</v>
      </c>
      <c r="J42" t="s">
        <v>5196</v>
      </c>
      <c r="K42" t="s">
        <v>3505</v>
      </c>
      <c r="L42" t="s">
        <v>187</v>
      </c>
      <c r="M42" t="s">
        <v>3461</v>
      </c>
    </row>
    <row r="43" spans="1:13" x14ac:dyDescent="0.25">
      <c r="A43" t="s">
        <v>5182</v>
      </c>
      <c r="B43" s="8" t="s">
        <v>5380</v>
      </c>
      <c r="C43" s="8" t="s">
        <v>5381</v>
      </c>
      <c r="D43" t="s">
        <v>3995</v>
      </c>
      <c r="E43" t="s">
        <v>4000</v>
      </c>
      <c r="F43" t="s">
        <v>3461</v>
      </c>
      <c r="G43" t="s">
        <v>4300</v>
      </c>
      <c r="H43" t="s">
        <v>5179</v>
      </c>
      <c r="I43" t="s">
        <v>4017</v>
      </c>
      <c r="J43" t="s">
        <v>5184</v>
      </c>
      <c r="K43" t="s">
        <v>3505</v>
      </c>
      <c r="L43" t="s">
        <v>4000</v>
      </c>
      <c r="M43" t="s">
        <v>5382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5383</v>
      </c>
      <c r="C1" t="s">
        <v>5384</v>
      </c>
      <c r="D1" t="s">
        <v>5385</v>
      </c>
      <c r="E1" t="s">
        <v>5064</v>
      </c>
    </row>
    <row r="2" spans="1:5" ht="15" customHeight="1" x14ac:dyDescent="0.25">
      <c r="A2" t="s">
        <v>5386</v>
      </c>
      <c r="B2" t="s">
        <v>5387</v>
      </c>
      <c r="E2" t="s">
        <v>5388</v>
      </c>
    </row>
    <row r="3" spans="1:5" ht="15" customHeight="1" x14ac:dyDescent="0.25">
      <c r="A3" t="s">
        <v>5389</v>
      </c>
      <c r="B3" t="s">
        <v>5390</v>
      </c>
      <c r="E3" t="s">
        <v>5391</v>
      </c>
    </row>
    <row r="4" spans="1:5" ht="15" customHeight="1" x14ac:dyDescent="0.25">
      <c r="A4" t="s">
        <v>5392</v>
      </c>
      <c r="B4" t="s">
        <v>3461</v>
      </c>
      <c r="E4" t="s">
        <v>5393</v>
      </c>
    </row>
    <row r="5" spans="1:5" ht="15" customHeight="1" x14ac:dyDescent="0.25">
      <c r="A5" t="s">
        <v>5394</v>
      </c>
      <c r="B5" t="s">
        <v>5395</v>
      </c>
      <c r="E5" t="s">
        <v>5396</v>
      </c>
    </row>
    <row r="6" spans="1:5" ht="15" customHeight="1" x14ac:dyDescent="0.25">
      <c r="A6" t="s">
        <v>4264</v>
      </c>
      <c r="B6" t="s">
        <v>5397</v>
      </c>
      <c r="E6" t="s">
        <v>5398</v>
      </c>
    </row>
    <row r="7" spans="1:5" ht="15" customHeight="1" x14ac:dyDescent="0.25">
      <c r="A7" t="s">
        <v>5257</v>
      </c>
      <c r="B7" t="s">
        <v>5399</v>
      </c>
      <c r="E7" t="s">
        <v>5400</v>
      </c>
    </row>
    <row r="8" spans="1:5" ht="15" customHeight="1" x14ac:dyDescent="0.25">
      <c r="A8" t="s">
        <v>5401</v>
      </c>
      <c r="B8" t="s">
        <v>5402</v>
      </c>
      <c r="C8" t="s">
        <v>5403</v>
      </c>
      <c r="D8" t="s">
        <v>5404</v>
      </c>
      <c r="E8" t="s">
        <v>5405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3456</v>
      </c>
      <c r="C1" t="s">
        <v>5406</v>
      </c>
      <c r="D1" t="s">
        <v>5407</v>
      </c>
    </row>
    <row r="2" spans="1:4" ht="15" customHeight="1" x14ac:dyDescent="0.25">
      <c r="A2" t="s">
        <v>5408</v>
      </c>
      <c r="B2" t="s">
        <v>5409</v>
      </c>
      <c r="C2" t="s">
        <v>39</v>
      </c>
      <c r="D2" t="s">
        <v>3461</v>
      </c>
    </row>
    <row r="3" spans="1:4" ht="15" customHeight="1" x14ac:dyDescent="0.25">
      <c r="A3" t="s">
        <v>5410</v>
      </c>
      <c r="B3" t="s">
        <v>5411</v>
      </c>
      <c r="C3" t="s">
        <v>5412</v>
      </c>
      <c r="D3" t="s">
        <v>3461</v>
      </c>
    </row>
    <row r="4" spans="1:4" ht="15" customHeight="1" x14ac:dyDescent="0.25">
      <c r="A4" t="s">
        <v>5413</v>
      </c>
      <c r="B4" t="s">
        <v>5414</v>
      </c>
      <c r="C4" t="s">
        <v>39</v>
      </c>
      <c r="D4" t="s">
        <v>3461</v>
      </c>
    </row>
    <row r="5" spans="1:4" ht="15" customHeight="1" x14ac:dyDescent="0.25">
      <c r="A5" t="s">
        <v>5415</v>
      </c>
      <c r="B5" t="s">
        <v>5416</v>
      </c>
      <c r="C5" t="s">
        <v>5412</v>
      </c>
      <c r="D5" t="s">
        <v>3461</v>
      </c>
    </row>
    <row r="6" spans="1:4" ht="15" customHeight="1" x14ac:dyDescent="0.25">
      <c r="A6" t="s">
        <v>5417</v>
      </c>
      <c r="B6" t="s">
        <v>5418</v>
      </c>
      <c r="C6" t="s">
        <v>5412</v>
      </c>
      <c r="D6" t="s">
        <v>3461</v>
      </c>
    </row>
    <row r="7" spans="1:4" ht="15" customHeight="1" x14ac:dyDescent="0.25">
      <c r="A7" t="s">
        <v>5419</v>
      </c>
      <c r="B7" t="s">
        <v>5420</v>
      </c>
      <c r="C7" t="s">
        <v>39</v>
      </c>
      <c r="D7" t="s">
        <v>3461</v>
      </c>
    </row>
    <row r="8" spans="1:4" ht="15" customHeight="1" x14ac:dyDescent="0.25">
      <c r="A8" t="s">
        <v>5421</v>
      </c>
      <c r="B8" t="s">
        <v>5422</v>
      </c>
      <c r="C8" t="s">
        <v>39</v>
      </c>
      <c r="D8" t="s">
        <v>3461</v>
      </c>
    </row>
    <row r="9" spans="1:4" ht="15" customHeight="1" x14ac:dyDescent="0.25">
      <c r="A9" t="s">
        <v>5423</v>
      </c>
      <c r="B9" t="s">
        <v>5424</v>
      </c>
      <c r="C9" t="s">
        <v>39</v>
      </c>
      <c r="D9" t="s">
        <v>3461</v>
      </c>
    </row>
    <row r="10" spans="1:4" ht="15" customHeight="1" x14ac:dyDescent="0.25">
      <c r="A10" t="s">
        <v>5425</v>
      </c>
      <c r="B10" t="s">
        <v>5426</v>
      </c>
      <c r="C10" t="s">
        <v>5427</v>
      </c>
      <c r="D10" t="s">
        <v>3461</v>
      </c>
    </row>
    <row r="11" spans="1:4" ht="15" customHeight="1" x14ac:dyDescent="0.25">
      <c r="A11" t="s">
        <v>5428</v>
      </c>
      <c r="B11" t="s">
        <v>5429</v>
      </c>
      <c r="C11" t="s">
        <v>4431</v>
      </c>
      <c r="D11" t="s">
        <v>3461</v>
      </c>
    </row>
    <row r="12" spans="1:4" ht="15" customHeight="1" x14ac:dyDescent="0.25">
      <c r="A12" t="s">
        <v>5430</v>
      </c>
      <c r="B12" t="s">
        <v>5431</v>
      </c>
      <c r="C12" t="s">
        <v>4431</v>
      </c>
      <c r="D12" t="s">
        <v>3461</v>
      </c>
    </row>
    <row r="13" spans="1:4" ht="15" customHeight="1" x14ac:dyDescent="0.25">
      <c r="A13" t="s">
        <v>5432</v>
      </c>
      <c r="B13" t="s">
        <v>5433</v>
      </c>
      <c r="C13" t="s">
        <v>5412</v>
      </c>
      <c r="D13" t="s">
        <v>3461</v>
      </c>
    </row>
    <row r="14" spans="1:4" ht="15" customHeight="1" x14ac:dyDescent="0.25">
      <c r="A14" t="s">
        <v>5434</v>
      </c>
      <c r="B14" t="s">
        <v>5435</v>
      </c>
      <c r="C14" t="s">
        <v>39</v>
      </c>
      <c r="D14" t="s">
        <v>3461</v>
      </c>
    </row>
    <row r="15" spans="1:4" ht="15" customHeight="1" x14ac:dyDescent="0.25">
      <c r="A15" t="s">
        <v>5436</v>
      </c>
      <c r="B15" t="s">
        <v>5437</v>
      </c>
      <c r="C15" t="s">
        <v>39</v>
      </c>
      <c r="D15" t="s">
        <v>3461</v>
      </c>
    </row>
    <row r="16" spans="1:4" ht="15" customHeight="1" x14ac:dyDescent="0.25">
      <c r="A16" t="s">
        <v>5438</v>
      </c>
      <c r="B16" t="s">
        <v>5439</v>
      </c>
      <c r="C16" t="s">
        <v>5427</v>
      </c>
      <c r="D16" t="s">
        <v>3461</v>
      </c>
    </row>
    <row r="17" spans="1:4" ht="15" customHeight="1" x14ac:dyDescent="0.25">
      <c r="A17" t="s">
        <v>5440</v>
      </c>
      <c r="B17" t="s">
        <v>5441</v>
      </c>
      <c r="C17" t="s">
        <v>39</v>
      </c>
      <c r="D17" t="s">
        <v>3461</v>
      </c>
    </row>
    <row r="18" spans="1:4" ht="15" customHeight="1" x14ac:dyDescent="0.25">
      <c r="A18" t="s">
        <v>5442</v>
      </c>
      <c r="B18" t="s">
        <v>5443</v>
      </c>
      <c r="C18" t="s">
        <v>5444</v>
      </c>
      <c r="D18" t="s">
        <v>3461</v>
      </c>
    </row>
    <row r="19" spans="1:4" ht="15" customHeight="1" x14ac:dyDescent="0.25">
      <c r="A19" t="s">
        <v>5445</v>
      </c>
      <c r="B19" t="s">
        <v>5446</v>
      </c>
      <c r="C19" t="s">
        <v>39</v>
      </c>
      <c r="D19" t="s">
        <v>3461</v>
      </c>
    </row>
    <row r="20" spans="1:4" ht="15" customHeight="1" x14ac:dyDescent="0.25">
      <c r="A20" t="s">
        <v>5447</v>
      </c>
      <c r="B20" t="s">
        <v>5448</v>
      </c>
      <c r="C20" t="s">
        <v>39</v>
      </c>
      <c r="D20" t="s">
        <v>3461</v>
      </c>
    </row>
    <row r="21" spans="1:4" ht="15" customHeight="1" x14ac:dyDescent="0.25">
      <c r="A21" t="s">
        <v>5449</v>
      </c>
      <c r="B21" t="s">
        <v>5450</v>
      </c>
      <c r="C21" t="s">
        <v>39</v>
      </c>
      <c r="D21" t="s">
        <v>5451</v>
      </c>
    </row>
    <row r="22" spans="1:4" ht="15" customHeight="1" x14ac:dyDescent="0.25">
      <c r="A22" t="s">
        <v>5452</v>
      </c>
      <c r="B22" t="s">
        <v>5453</v>
      </c>
      <c r="C22" t="s">
        <v>5454</v>
      </c>
      <c r="D22" t="s">
        <v>3461</v>
      </c>
    </row>
    <row r="23" spans="1:4" ht="15" customHeight="1" x14ac:dyDescent="0.25">
      <c r="A23" t="s">
        <v>5455</v>
      </c>
      <c r="B23" t="s">
        <v>5456</v>
      </c>
      <c r="C23" t="s">
        <v>5427</v>
      </c>
      <c r="D23" t="s">
        <v>3461</v>
      </c>
    </row>
    <row r="24" spans="1:4" ht="15" customHeight="1" x14ac:dyDescent="0.25">
      <c r="A24" t="s">
        <v>5457</v>
      </c>
      <c r="B24" t="s">
        <v>5458</v>
      </c>
      <c r="C24" t="s">
        <v>5427</v>
      </c>
      <c r="D24" t="s">
        <v>5459</v>
      </c>
    </row>
    <row r="25" spans="1:4" ht="15" customHeight="1" x14ac:dyDescent="0.25">
      <c r="A25" t="s">
        <v>5460</v>
      </c>
      <c r="B25" t="s">
        <v>5461</v>
      </c>
      <c r="C25" t="s">
        <v>5444</v>
      </c>
      <c r="D25" t="s">
        <v>3461</v>
      </c>
    </row>
    <row r="26" spans="1:4" ht="15" customHeight="1" x14ac:dyDescent="0.25">
      <c r="A26" t="s">
        <v>5462</v>
      </c>
      <c r="B26" t="s">
        <v>5463</v>
      </c>
      <c r="C26" t="s">
        <v>5412</v>
      </c>
      <c r="D26" t="s">
        <v>3461</v>
      </c>
    </row>
    <row r="27" spans="1:4" ht="15" customHeight="1" x14ac:dyDescent="0.25">
      <c r="A27" t="s">
        <v>5464</v>
      </c>
      <c r="B27" t="s">
        <v>5465</v>
      </c>
      <c r="C27" t="s">
        <v>5427</v>
      </c>
      <c r="D27" t="s">
        <v>3461</v>
      </c>
    </row>
    <row r="28" spans="1:4" ht="15" customHeight="1" x14ac:dyDescent="0.25">
      <c r="A28" t="s">
        <v>5466</v>
      </c>
      <c r="B28" t="s">
        <v>5467</v>
      </c>
      <c r="C28" t="s">
        <v>5427</v>
      </c>
      <c r="D28" t="s">
        <v>3461</v>
      </c>
    </row>
    <row r="29" spans="1:4" ht="15" customHeight="1" x14ac:dyDescent="0.25">
      <c r="A29" t="s">
        <v>5468</v>
      </c>
      <c r="B29" t="s">
        <v>5469</v>
      </c>
      <c r="C29" t="s">
        <v>5470</v>
      </c>
      <c r="D29" t="s">
        <v>3461</v>
      </c>
    </row>
    <row r="30" spans="1:4" ht="15" customHeight="1" x14ac:dyDescent="0.25">
      <c r="A30" t="s">
        <v>5471</v>
      </c>
      <c r="B30" t="s">
        <v>5472</v>
      </c>
      <c r="C30" t="s">
        <v>39</v>
      </c>
      <c r="D30" t="s">
        <v>3461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5473</v>
      </c>
      <c r="F1" t="s">
        <v>5474</v>
      </c>
      <c r="G1" t="s">
        <v>5407</v>
      </c>
      <c r="H1" t="s">
        <v>5475</v>
      </c>
      <c r="I1" t="s">
        <v>5476</v>
      </c>
      <c r="J1" t="s">
        <v>5477</v>
      </c>
      <c r="K1" t="s">
        <v>5478</v>
      </c>
      <c r="L1" t="s">
        <v>5479</v>
      </c>
      <c r="M1" t="s">
        <v>5480</v>
      </c>
    </row>
    <row r="2" spans="1:13" ht="15" customHeight="1" x14ac:dyDescent="0.25">
      <c r="A2" t="s">
        <v>5413</v>
      </c>
      <c r="B2" t="s">
        <v>5414</v>
      </c>
      <c r="C2" t="s">
        <v>5481</v>
      </c>
      <c r="D2" t="s">
        <v>5482</v>
      </c>
      <c r="E2" t="s">
        <v>4000</v>
      </c>
      <c r="F2" t="s">
        <v>39</v>
      </c>
      <c r="G2" t="s">
        <v>3461</v>
      </c>
      <c r="H2" t="s">
        <v>5483</v>
      </c>
      <c r="I2" t="s">
        <v>5484</v>
      </c>
      <c r="J2" t="s">
        <v>5485</v>
      </c>
    </row>
    <row r="3" spans="1:13" ht="15" customHeight="1" x14ac:dyDescent="0.25">
      <c r="A3" t="s">
        <v>5419</v>
      </c>
      <c r="B3" t="s">
        <v>5420</v>
      </c>
      <c r="C3" t="s">
        <v>5420</v>
      </c>
      <c r="D3" t="s">
        <v>5420</v>
      </c>
      <c r="E3" t="s">
        <v>4000</v>
      </c>
      <c r="F3" t="s">
        <v>39</v>
      </c>
      <c r="G3" t="s">
        <v>3461</v>
      </c>
      <c r="H3" t="s">
        <v>5486</v>
      </c>
      <c r="I3" t="s">
        <v>5487</v>
      </c>
    </row>
    <row r="4" spans="1:13" ht="15" customHeight="1" x14ac:dyDescent="0.25">
      <c r="A4" t="s">
        <v>5488</v>
      </c>
      <c r="B4" s="8" t="s">
        <v>5489</v>
      </c>
      <c r="C4" s="8" t="s">
        <v>5489</v>
      </c>
      <c r="D4" s="8" t="s">
        <v>5489</v>
      </c>
      <c r="E4" t="s">
        <v>187</v>
      </c>
      <c r="F4" t="s">
        <v>39</v>
      </c>
      <c r="G4" t="s">
        <v>3461</v>
      </c>
      <c r="H4" t="s">
        <v>5490</v>
      </c>
      <c r="I4" t="s">
        <v>5491</v>
      </c>
    </row>
    <row r="5" spans="1:13" ht="15" customHeight="1" x14ac:dyDescent="0.25">
      <c r="A5" t="s">
        <v>5492</v>
      </c>
      <c r="B5" t="s">
        <v>5493</v>
      </c>
      <c r="C5" t="s">
        <v>5493</v>
      </c>
      <c r="D5" t="s">
        <v>5493</v>
      </c>
      <c r="E5" t="s">
        <v>4000</v>
      </c>
      <c r="F5" t="s">
        <v>5427</v>
      </c>
      <c r="G5" t="s">
        <v>3461</v>
      </c>
      <c r="H5" t="s">
        <v>5494</v>
      </c>
      <c r="I5" t="s">
        <v>5487</v>
      </c>
    </row>
    <row r="6" spans="1:13" ht="15" customHeight="1" x14ac:dyDescent="0.25">
      <c r="A6" t="s">
        <v>5425</v>
      </c>
      <c r="B6" t="s">
        <v>5426</v>
      </c>
      <c r="C6" t="s">
        <v>5495</v>
      </c>
      <c r="D6" t="s">
        <v>5426</v>
      </c>
      <c r="E6" t="s">
        <v>4000</v>
      </c>
      <c r="F6" t="s">
        <v>5427</v>
      </c>
      <c r="G6" t="s">
        <v>3461</v>
      </c>
      <c r="H6" t="s">
        <v>5496</v>
      </c>
      <c r="I6" t="s">
        <v>5487</v>
      </c>
      <c r="K6" t="s">
        <v>5497</v>
      </c>
      <c r="L6" t="s">
        <v>5498</v>
      </c>
    </row>
    <row r="7" spans="1:13" ht="15" customHeight="1" x14ac:dyDescent="0.25">
      <c r="A7" t="s">
        <v>5499</v>
      </c>
      <c r="B7" t="s">
        <v>5500</v>
      </c>
      <c r="C7" t="s">
        <v>5501</v>
      </c>
      <c r="D7" t="s">
        <v>5500</v>
      </c>
      <c r="E7" t="s">
        <v>4000</v>
      </c>
      <c r="F7" t="s">
        <v>5427</v>
      </c>
      <c r="G7" t="s">
        <v>3461</v>
      </c>
      <c r="H7" t="s">
        <v>5502</v>
      </c>
      <c r="I7" t="s">
        <v>5487</v>
      </c>
      <c r="K7" t="s">
        <v>5503</v>
      </c>
      <c r="L7" t="s">
        <v>5504</v>
      </c>
    </row>
    <row r="8" spans="1:13" ht="15" customHeight="1" x14ac:dyDescent="0.25">
      <c r="A8" t="s">
        <v>5428</v>
      </c>
      <c r="B8" t="s">
        <v>5505</v>
      </c>
      <c r="C8" t="s">
        <v>5506</v>
      </c>
      <c r="D8" t="s">
        <v>5506</v>
      </c>
      <c r="E8" t="s">
        <v>4000</v>
      </c>
      <c r="F8" t="s">
        <v>4431</v>
      </c>
      <c r="G8" t="s">
        <v>3461</v>
      </c>
      <c r="H8" t="s">
        <v>5507</v>
      </c>
      <c r="I8" t="s">
        <v>5508</v>
      </c>
      <c r="J8" t="s">
        <v>5507</v>
      </c>
    </row>
    <row r="9" spans="1:13" ht="15" customHeight="1" x14ac:dyDescent="0.25">
      <c r="A9" t="s">
        <v>5430</v>
      </c>
      <c r="B9" t="s">
        <v>5431</v>
      </c>
      <c r="C9" t="s">
        <v>5431</v>
      </c>
      <c r="D9" t="s">
        <v>5431</v>
      </c>
      <c r="E9" t="s">
        <v>4000</v>
      </c>
      <c r="F9" t="s">
        <v>39</v>
      </c>
      <c r="G9" t="s">
        <v>3461</v>
      </c>
      <c r="H9" t="s">
        <v>5509</v>
      </c>
      <c r="I9" t="s">
        <v>5510</v>
      </c>
      <c r="J9" t="s">
        <v>3849</v>
      </c>
    </row>
    <row r="10" spans="1:13" ht="15" customHeight="1" x14ac:dyDescent="0.25">
      <c r="A10" t="s">
        <v>5434</v>
      </c>
      <c r="B10" t="s">
        <v>5435</v>
      </c>
      <c r="C10" t="s">
        <v>5511</v>
      </c>
      <c r="D10" t="s">
        <v>5511</v>
      </c>
      <c r="E10" t="s">
        <v>4000</v>
      </c>
      <c r="F10" t="s">
        <v>39</v>
      </c>
      <c r="G10" t="s">
        <v>3461</v>
      </c>
      <c r="H10" t="s">
        <v>5512</v>
      </c>
      <c r="I10" t="s">
        <v>5508</v>
      </c>
      <c r="J10" t="s">
        <v>5512</v>
      </c>
    </row>
    <row r="11" spans="1:13" ht="15" customHeight="1" x14ac:dyDescent="0.25">
      <c r="A11" t="s">
        <v>5513</v>
      </c>
      <c r="B11" t="s">
        <v>5437</v>
      </c>
      <c r="C11" t="s">
        <v>5514</v>
      </c>
      <c r="D11" t="s">
        <v>5437</v>
      </c>
      <c r="E11" t="s">
        <v>187</v>
      </c>
      <c r="F11" t="s">
        <v>39</v>
      </c>
      <c r="G11" t="s">
        <v>3461</v>
      </c>
      <c r="H11" t="s">
        <v>5515</v>
      </c>
      <c r="I11" t="s">
        <v>5491</v>
      </c>
    </row>
    <row r="12" spans="1:13" ht="15" customHeight="1" x14ac:dyDescent="0.25">
      <c r="A12" t="s">
        <v>5438</v>
      </c>
      <c r="B12" t="s">
        <v>5439</v>
      </c>
      <c r="C12" t="s">
        <v>5516</v>
      </c>
      <c r="D12" t="s">
        <v>5439</v>
      </c>
      <c r="E12" t="s">
        <v>4000</v>
      </c>
      <c r="F12" t="s">
        <v>5427</v>
      </c>
      <c r="G12" t="s">
        <v>3461</v>
      </c>
      <c r="H12" t="s">
        <v>5517</v>
      </c>
      <c r="I12" t="s">
        <v>5487</v>
      </c>
      <c r="K12" t="s">
        <v>5518</v>
      </c>
      <c r="L12" t="s">
        <v>5519</v>
      </c>
    </row>
    <row r="13" spans="1:13" ht="15" customHeight="1" x14ac:dyDescent="0.25">
      <c r="A13" t="s">
        <v>5440</v>
      </c>
      <c r="B13" t="s">
        <v>5441</v>
      </c>
      <c r="C13" t="s">
        <v>5441</v>
      </c>
      <c r="D13" t="s">
        <v>5441</v>
      </c>
      <c r="E13" t="s">
        <v>4000</v>
      </c>
      <c r="F13" t="s">
        <v>39</v>
      </c>
      <c r="G13" t="s">
        <v>3461</v>
      </c>
      <c r="H13" t="s">
        <v>5520</v>
      </c>
      <c r="I13" t="s">
        <v>5508</v>
      </c>
      <c r="J13" t="s">
        <v>5520</v>
      </c>
    </row>
    <row r="14" spans="1:13" ht="15" customHeight="1" x14ac:dyDescent="0.25">
      <c r="A14" t="s">
        <v>5445</v>
      </c>
      <c r="B14" t="s">
        <v>5521</v>
      </c>
      <c r="C14" t="s">
        <v>5522</v>
      </c>
      <c r="D14" t="s">
        <v>5522</v>
      </c>
      <c r="E14" t="s">
        <v>4000</v>
      </c>
      <c r="F14" t="s">
        <v>39</v>
      </c>
      <c r="G14" t="s">
        <v>3461</v>
      </c>
      <c r="H14" t="s">
        <v>5523</v>
      </c>
      <c r="I14" t="s">
        <v>5487</v>
      </c>
    </row>
    <row r="15" spans="1:13" ht="15" customHeight="1" x14ac:dyDescent="0.25">
      <c r="A15" t="s">
        <v>5524</v>
      </c>
      <c r="B15" t="s">
        <v>5525</v>
      </c>
      <c r="C15" t="s">
        <v>5525</v>
      </c>
      <c r="D15" t="s">
        <v>5525</v>
      </c>
      <c r="E15" t="s">
        <v>4000</v>
      </c>
      <c r="F15" t="s">
        <v>5526</v>
      </c>
      <c r="G15" t="s">
        <v>3461</v>
      </c>
      <c r="H15" t="s">
        <v>5527</v>
      </c>
      <c r="I15" t="s">
        <v>5527</v>
      </c>
    </row>
    <row r="16" spans="1:13" ht="15" customHeight="1" x14ac:dyDescent="0.25">
      <c r="A16" t="s">
        <v>5528</v>
      </c>
      <c r="B16" t="s">
        <v>5529</v>
      </c>
      <c r="C16" t="s">
        <v>5529</v>
      </c>
      <c r="D16" t="s">
        <v>5529</v>
      </c>
      <c r="E16" t="s">
        <v>187</v>
      </c>
      <c r="F16" t="s">
        <v>5526</v>
      </c>
      <c r="G16" t="s">
        <v>3461</v>
      </c>
      <c r="H16" t="s">
        <v>5530</v>
      </c>
      <c r="I16" t="s">
        <v>5530</v>
      </c>
    </row>
    <row r="17" spans="1:12" ht="15" customHeight="1" x14ac:dyDescent="0.25">
      <c r="A17" t="s">
        <v>5452</v>
      </c>
      <c r="B17" t="s">
        <v>5453</v>
      </c>
      <c r="C17" t="s">
        <v>5531</v>
      </c>
      <c r="D17" t="s">
        <v>5531</v>
      </c>
      <c r="E17" t="s">
        <v>4000</v>
      </c>
      <c r="F17" t="s">
        <v>39</v>
      </c>
      <c r="G17" t="s">
        <v>3461</v>
      </c>
      <c r="H17" t="s">
        <v>5532</v>
      </c>
      <c r="I17" t="s">
        <v>5487</v>
      </c>
    </row>
    <row r="18" spans="1:12" ht="15" customHeight="1" x14ac:dyDescent="0.25">
      <c r="A18" t="s">
        <v>5533</v>
      </c>
      <c r="B18" t="s">
        <v>5534</v>
      </c>
      <c r="C18" t="s">
        <v>5534</v>
      </c>
      <c r="D18" t="s">
        <v>5535</v>
      </c>
      <c r="E18" t="s">
        <v>187</v>
      </c>
      <c r="F18" t="s">
        <v>5427</v>
      </c>
      <c r="G18" t="s">
        <v>3461</v>
      </c>
      <c r="H18" t="s">
        <v>5536</v>
      </c>
      <c r="I18" t="s">
        <v>5537</v>
      </c>
    </row>
    <row r="19" spans="1:12" ht="15" customHeight="1" x14ac:dyDescent="0.25">
      <c r="A19" t="s">
        <v>5455</v>
      </c>
      <c r="B19" t="s">
        <v>5456</v>
      </c>
      <c r="C19" t="s">
        <v>5538</v>
      </c>
      <c r="D19" t="s">
        <v>5456</v>
      </c>
      <c r="E19" t="s">
        <v>4000</v>
      </c>
      <c r="F19" t="s">
        <v>5427</v>
      </c>
      <c r="G19" t="s">
        <v>3461</v>
      </c>
      <c r="H19" t="s">
        <v>5539</v>
      </c>
      <c r="I19" t="s">
        <v>5487</v>
      </c>
    </row>
    <row r="20" spans="1:12" ht="15" customHeight="1" x14ac:dyDescent="0.25">
      <c r="A20" t="s">
        <v>5464</v>
      </c>
      <c r="B20" t="s">
        <v>5540</v>
      </c>
      <c r="C20" t="s">
        <v>5541</v>
      </c>
      <c r="D20" t="s">
        <v>5540</v>
      </c>
      <c r="E20" t="s">
        <v>4000</v>
      </c>
      <c r="F20" t="s">
        <v>5427</v>
      </c>
      <c r="G20" t="s">
        <v>3461</v>
      </c>
      <c r="H20" t="s">
        <v>5542</v>
      </c>
      <c r="I20" t="s">
        <v>5487</v>
      </c>
    </row>
    <row r="21" spans="1:12" ht="15" customHeight="1" x14ac:dyDescent="0.25">
      <c r="A21" t="s">
        <v>5466</v>
      </c>
      <c r="B21" t="s">
        <v>5543</v>
      </c>
      <c r="C21" t="s">
        <v>5495</v>
      </c>
      <c r="D21" t="s">
        <v>5543</v>
      </c>
      <c r="E21" t="s">
        <v>4000</v>
      </c>
      <c r="F21" t="s">
        <v>5427</v>
      </c>
      <c r="G21" t="s">
        <v>3461</v>
      </c>
      <c r="H21" t="s">
        <v>5544</v>
      </c>
      <c r="I21" t="s">
        <v>5487</v>
      </c>
      <c r="K21" t="s">
        <v>5545</v>
      </c>
      <c r="L21" t="s">
        <v>5498</v>
      </c>
    </row>
    <row r="22" spans="1:12" ht="15" customHeight="1" x14ac:dyDescent="0.25">
      <c r="A22" t="s">
        <v>5468</v>
      </c>
      <c r="B22" t="s">
        <v>5546</v>
      </c>
      <c r="C22" t="s">
        <v>5546</v>
      </c>
      <c r="D22" t="s">
        <v>5546</v>
      </c>
      <c r="E22" t="s">
        <v>4000</v>
      </c>
      <c r="F22" t="s">
        <v>4431</v>
      </c>
      <c r="G22" t="s">
        <v>3461</v>
      </c>
      <c r="H22" t="s">
        <v>5547</v>
      </c>
      <c r="I22" t="s">
        <v>5548</v>
      </c>
    </row>
    <row r="23" spans="1:12" ht="15" customHeight="1" x14ac:dyDescent="0.25">
      <c r="A23" t="s">
        <v>5471</v>
      </c>
      <c r="B23" t="s">
        <v>5472</v>
      </c>
      <c r="C23" t="s">
        <v>5472</v>
      </c>
      <c r="D23" t="s">
        <v>5472</v>
      </c>
      <c r="E23" t="s">
        <v>4000</v>
      </c>
      <c r="F23" t="s">
        <v>39</v>
      </c>
      <c r="G23" t="s">
        <v>3461</v>
      </c>
      <c r="H23" t="s">
        <v>5549</v>
      </c>
      <c r="I23" t="s">
        <v>5510</v>
      </c>
      <c r="J23" t="s">
        <v>5550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5551</v>
      </c>
      <c r="D1" t="s">
        <v>5552</v>
      </c>
      <c r="E1" t="s">
        <v>5553</v>
      </c>
      <c r="F1" t="s">
        <v>5554</v>
      </c>
      <c r="G1" t="s">
        <v>5555</v>
      </c>
      <c r="H1" t="s">
        <v>5556</v>
      </c>
      <c r="I1" t="s">
        <v>5557</v>
      </c>
      <c r="J1" t="s">
        <v>5558</v>
      </c>
      <c r="K1" t="s">
        <v>3500</v>
      </c>
      <c r="L1" t="s">
        <v>4012</v>
      </c>
      <c r="M1" t="s">
        <v>171</v>
      </c>
    </row>
    <row r="2" spans="1:13" ht="15" customHeight="1" x14ac:dyDescent="0.25">
      <c r="A2" t="s">
        <v>5559</v>
      </c>
      <c r="B2" t="s">
        <v>3517</v>
      </c>
      <c r="C2" t="s">
        <v>5560</v>
      </c>
      <c r="D2" t="s">
        <v>101</v>
      </c>
      <c r="E2" t="s">
        <v>5560</v>
      </c>
      <c r="F2" t="s">
        <v>101</v>
      </c>
      <c r="G2" t="s">
        <v>5560</v>
      </c>
      <c r="H2" t="s">
        <v>101</v>
      </c>
      <c r="I2" t="s">
        <v>5560</v>
      </c>
      <c r="J2" t="s">
        <v>101</v>
      </c>
      <c r="K2" t="s">
        <v>2154</v>
      </c>
      <c r="L2" t="s">
        <v>4045</v>
      </c>
    </row>
    <row r="3" spans="1:13" ht="15" customHeight="1" x14ac:dyDescent="0.25">
      <c r="A3" t="s">
        <v>4016</v>
      </c>
      <c r="B3" t="s">
        <v>3517</v>
      </c>
      <c r="C3" t="s">
        <v>5561</v>
      </c>
      <c r="D3" t="s">
        <v>5562</v>
      </c>
      <c r="E3" t="s">
        <v>5563</v>
      </c>
      <c r="F3" t="s">
        <v>5564</v>
      </c>
      <c r="G3" t="s">
        <v>5565</v>
      </c>
      <c r="H3" t="s">
        <v>5566</v>
      </c>
      <c r="I3" t="s">
        <v>5567</v>
      </c>
      <c r="J3" t="s">
        <v>5568</v>
      </c>
      <c r="K3" t="s">
        <v>2154</v>
      </c>
      <c r="L3" t="s">
        <v>4017</v>
      </c>
    </row>
    <row r="4" spans="1:13" ht="15" customHeight="1" x14ac:dyDescent="0.25">
      <c r="A4" t="s">
        <v>4022</v>
      </c>
      <c r="B4" t="s">
        <v>3517</v>
      </c>
      <c r="C4" t="s">
        <v>5569</v>
      </c>
      <c r="D4" t="s">
        <v>5570</v>
      </c>
      <c r="E4" t="s">
        <v>5571</v>
      </c>
      <c r="F4" t="s">
        <v>5572</v>
      </c>
      <c r="G4" t="s">
        <v>5573</v>
      </c>
      <c r="H4" t="s">
        <v>5574</v>
      </c>
      <c r="I4" t="s">
        <v>5575</v>
      </c>
      <c r="J4" t="s">
        <v>5576</v>
      </c>
      <c r="K4" t="s">
        <v>1284</v>
      </c>
      <c r="L4" t="s">
        <v>4017</v>
      </c>
      <c r="M4" t="s">
        <v>4025</v>
      </c>
    </row>
    <row r="5" spans="1:13" ht="15" customHeight="1" x14ac:dyDescent="0.25">
      <c r="A5" t="s">
        <v>5577</v>
      </c>
      <c r="B5" t="s">
        <v>3517</v>
      </c>
      <c r="C5" t="s">
        <v>5578</v>
      </c>
      <c r="D5" t="s">
        <v>5579</v>
      </c>
      <c r="E5" t="s">
        <v>5580</v>
      </c>
      <c r="F5" t="s">
        <v>5581</v>
      </c>
      <c r="G5" t="s">
        <v>5582</v>
      </c>
      <c r="H5" t="s">
        <v>5583</v>
      </c>
      <c r="I5" t="s">
        <v>5584</v>
      </c>
      <c r="J5" t="s">
        <v>5585</v>
      </c>
      <c r="K5" t="s">
        <v>1725</v>
      </c>
      <c r="L5" t="s">
        <v>4034</v>
      </c>
    </row>
    <row r="6" spans="1:13" ht="15" customHeight="1" x14ac:dyDescent="0.25">
      <c r="A6" t="s">
        <v>4028</v>
      </c>
      <c r="B6" t="s">
        <v>41</v>
      </c>
      <c r="C6" t="s">
        <v>5586</v>
      </c>
      <c r="D6" t="s">
        <v>5587</v>
      </c>
      <c r="E6" t="s">
        <v>5588</v>
      </c>
      <c r="F6" t="s">
        <v>5589</v>
      </c>
      <c r="G6" t="s">
        <v>5590</v>
      </c>
      <c r="H6" t="s">
        <v>5591</v>
      </c>
      <c r="I6" t="s">
        <v>5592</v>
      </c>
      <c r="J6" t="s">
        <v>5593</v>
      </c>
      <c r="K6" t="s">
        <v>2154</v>
      </c>
      <c r="L6" t="s">
        <v>4017</v>
      </c>
    </row>
    <row r="7" spans="1:13" ht="15" customHeight="1" x14ac:dyDescent="0.25">
      <c r="A7" t="s">
        <v>5594</v>
      </c>
      <c r="B7" t="s">
        <v>41</v>
      </c>
      <c r="C7" t="s">
        <v>5595</v>
      </c>
      <c r="D7" t="s">
        <v>5596</v>
      </c>
      <c r="E7" t="s">
        <v>5597</v>
      </c>
      <c r="F7" t="s">
        <v>5598</v>
      </c>
      <c r="G7" t="s">
        <v>5599</v>
      </c>
      <c r="H7" t="s">
        <v>5600</v>
      </c>
      <c r="I7" t="s">
        <v>5601</v>
      </c>
      <c r="J7" t="s">
        <v>5602</v>
      </c>
      <c r="K7" t="s">
        <v>2154</v>
      </c>
      <c r="L7" t="s">
        <v>4034</v>
      </c>
      <c r="M7" t="s">
        <v>5603</v>
      </c>
    </row>
    <row r="8" spans="1:13" ht="15" customHeight="1" x14ac:dyDescent="0.25">
      <c r="A8" t="s">
        <v>4051</v>
      </c>
      <c r="B8" t="s">
        <v>3517</v>
      </c>
      <c r="C8" t="s">
        <v>5604</v>
      </c>
      <c r="D8" t="s">
        <v>5605</v>
      </c>
      <c r="E8" t="s">
        <v>5606</v>
      </c>
      <c r="F8" t="s">
        <v>5607</v>
      </c>
      <c r="G8" t="s">
        <v>5608</v>
      </c>
      <c r="H8" t="s">
        <v>5609</v>
      </c>
      <c r="I8" t="s">
        <v>5610</v>
      </c>
      <c r="J8" t="s">
        <v>5611</v>
      </c>
      <c r="K8" t="s">
        <v>1284</v>
      </c>
      <c r="L8" t="s">
        <v>4017</v>
      </c>
    </row>
    <row r="9" spans="1:13" ht="15" customHeight="1" x14ac:dyDescent="0.25">
      <c r="A9" t="s">
        <v>4033</v>
      </c>
      <c r="B9" t="s">
        <v>41</v>
      </c>
      <c r="C9" t="s">
        <v>5612</v>
      </c>
      <c r="D9" t="s">
        <v>5613</v>
      </c>
      <c r="E9" t="s">
        <v>5614</v>
      </c>
      <c r="F9" t="s">
        <v>5615</v>
      </c>
      <c r="G9" t="s">
        <v>5616</v>
      </c>
      <c r="H9" t="s">
        <v>5617</v>
      </c>
      <c r="I9" t="s">
        <v>5618</v>
      </c>
      <c r="J9" t="s">
        <v>5619</v>
      </c>
      <c r="K9" t="s">
        <v>2154</v>
      </c>
      <c r="L9" t="s">
        <v>4034</v>
      </c>
      <c r="M9" t="s">
        <v>4037</v>
      </c>
    </row>
    <row r="10" spans="1:13" ht="15" customHeight="1" x14ac:dyDescent="0.25">
      <c r="A10" t="s">
        <v>4040</v>
      </c>
      <c r="B10" t="s">
        <v>3517</v>
      </c>
      <c r="C10" t="s">
        <v>5620</v>
      </c>
      <c r="D10" t="s">
        <v>5621</v>
      </c>
      <c r="E10" t="s">
        <v>5622</v>
      </c>
      <c r="F10" t="s">
        <v>5623</v>
      </c>
      <c r="G10" t="s">
        <v>5624</v>
      </c>
      <c r="H10" t="s">
        <v>4041</v>
      </c>
      <c r="I10" t="s">
        <v>5625</v>
      </c>
      <c r="J10" t="s">
        <v>5626</v>
      </c>
      <c r="K10" t="s">
        <v>2154</v>
      </c>
      <c r="L10" t="s">
        <v>4034</v>
      </c>
    </row>
    <row r="11" spans="1:13" ht="15" customHeight="1" x14ac:dyDescent="0.25">
      <c r="A11" t="s">
        <v>5627</v>
      </c>
      <c r="B11" t="s">
        <v>3517</v>
      </c>
      <c r="C11" t="s">
        <v>5628</v>
      </c>
      <c r="D11" t="s">
        <v>5629</v>
      </c>
      <c r="E11" t="s">
        <v>5630</v>
      </c>
      <c r="F11" t="s">
        <v>5631</v>
      </c>
      <c r="G11" t="s">
        <v>5632</v>
      </c>
      <c r="H11" t="s">
        <v>5633</v>
      </c>
      <c r="I11" t="s">
        <v>5634</v>
      </c>
      <c r="J11" t="s">
        <v>5635</v>
      </c>
      <c r="K11" t="s">
        <v>2154</v>
      </c>
      <c r="L11" t="s">
        <v>4017</v>
      </c>
    </row>
    <row r="12" spans="1:13" ht="15" customHeight="1" x14ac:dyDescent="0.25">
      <c r="A12" t="s">
        <v>5636</v>
      </c>
      <c r="B12" t="s">
        <v>41</v>
      </c>
      <c r="C12" t="s">
        <v>5637</v>
      </c>
      <c r="D12" t="s">
        <v>5638</v>
      </c>
      <c r="E12" t="s">
        <v>5639</v>
      </c>
      <c r="F12" t="s">
        <v>5640</v>
      </c>
      <c r="G12" t="s">
        <v>5641</v>
      </c>
      <c r="H12" t="s">
        <v>5642</v>
      </c>
      <c r="I12" t="s">
        <v>5643</v>
      </c>
      <c r="J12" t="s">
        <v>5644</v>
      </c>
      <c r="K12" t="s">
        <v>2154</v>
      </c>
      <c r="L12" t="s">
        <v>4045</v>
      </c>
      <c r="M12" t="s">
        <v>4048</v>
      </c>
    </row>
    <row r="13" spans="1:13" ht="15" customHeight="1" x14ac:dyDescent="0.25">
      <c r="A13" t="s">
        <v>5645</v>
      </c>
      <c r="B13" t="s">
        <v>3505</v>
      </c>
      <c r="C13" t="s">
        <v>5646</v>
      </c>
      <c r="D13" t="s">
        <v>5647</v>
      </c>
      <c r="E13" t="s">
        <v>5648</v>
      </c>
      <c r="F13" t="s">
        <v>5649</v>
      </c>
      <c r="G13" t="s">
        <v>5650</v>
      </c>
      <c r="H13" t="s">
        <v>5651</v>
      </c>
      <c r="I13" t="s">
        <v>5652</v>
      </c>
      <c r="J13" t="s">
        <v>5653</v>
      </c>
      <c r="K13" t="s">
        <v>2154</v>
      </c>
      <c r="L13" t="s">
        <v>4034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3499</v>
      </c>
      <c r="D1" t="s">
        <v>3500</v>
      </c>
      <c r="E1" t="s">
        <v>171</v>
      </c>
    </row>
    <row r="2" spans="1:5" ht="15" customHeight="1" x14ac:dyDescent="0.25">
      <c r="A2" t="s">
        <v>4164</v>
      </c>
      <c r="B2" t="s">
        <v>41</v>
      </c>
      <c r="C2" t="s">
        <v>5654</v>
      </c>
      <c r="D2" t="s">
        <v>90</v>
      </c>
      <c r="E2" t="s">
        <v>4165</v>
      </c>
    </row>
    <row r="3" spans="1:5" ht="15" customHeight="1" x14ac:dyDescent="0.25">
      <c r="A3" t="s">
        <v>4166</v>
      </c>
      <c r="B3" t="s">
        <v>41</v>
      </c>
      <c r="C3" t="s">
        <v>5655</v>
      </c>
      <c r="D3" t="s">
        <v>90</v>
      </c>
      <c r="E3" t="s">
        <v>4169</v>
      </c>
    </row>
    <row r="4" spans="1:5" ht="15" customHeight="1" x14ac:dyDescent="0.25">
      <c r="A4" t="s">
        <v>5656</v>
      </c>
      <c r="B4" t="s">
        <v>41</v>
      </c>
      <c r="C4" t="s">
        <v>5657</v>
      </c>
      <c r="D4" t="s">
        <v>90</v>
      </c>
      <c r="E4" t="s">
        <v>5658</v>
      </c>
    </row>
    <row r="5" spans="1:5" ht="15" customHeight="1" x14ac:dyDescent="0.25">
      <c r="A5" t="s">
        <v>5659</v>
      </c>
      <c r="B5" t="s">
        <v>41</v>
      </c>
      <c r="C5" t="s">
        <v>5660</v>
      </c>
      <c r="D5" t="s">
        <v>90</v>
      </c>
      <c r="E5" t="s">
        <v>5661</v>
      </c>
    </row>
    <row r="6" spans="1:5" ht="15" customHeight="1" x14ac:dyDescent="0.25">
      <c r="A6" t="s">
        <v>5662</v>
      </c>
      <c r="B6" t="s">
        <v>41</v>
      </c>
      <c r="C6" t="s">
        <v>5663</v>
      </c>
      <c r="D6" t="s">
        <v>90</v>
      </c>
      <c r="E6" t="s">
        <v>5664</v>
      </c>
    </row>
    <row r="7" spans="1:5" ht="15" customHeight="1" x14ac:dyDescent="0.25">
      <c r="A7" t="s">
        <v>4170</v>
      </c>
      <c r="B7" t="s">
        <v>41</v>
      </c>
      <c r="C7" t="s">
        <v>5665</v>
      </c>
      <c r="D7" t="s">
        <v>90</v>
      </c>
      <c r="E7" t="s">
        <v>4175</v>
      </c>
    </row>
    <row r="8" spans="1:5" ht="15" customHeight="1" x14ac:dyDescent="0.25">
      <c r="A8" t="s">
        <v>4176</v>
      </c>
      <c r="B8" t="s">
        <v>41</v>
      </c>
      <c r="C8" t="s">
        <v>5666</v>
      </c>
      <c r="D8" t="s">
        <v>90</v>
      </c>
      <c r="E8" t="s">
        <v>4181</v>
      </c>
    </row>
    <row r="9" spans="1:5" ht="15" customHeight="1" x14ac:dyDescent="0.25">
      <c r="A9" t="s">
        <v>4182</v>
      </c>
      <c r="B9" t="s">
        <v>3505</v>
      </c>
      <c r="C9" t="s">
        <v>5667</v>
      </c>
      <c r="D9" t="s">
        <v>90</v>
      </c>
      <c r="E9" t="s">
        <v>4185</v>
      </c>
    </row>
    <row r="10" spans="1:5" ht="15" customHeight="1" x14ac:dyDescent="0.25">
      <c r="A10" t="s">
        <v>4186</v>
      </c>
      <c r="B10" t="s">
        <v>41</v>
      </c>
      <c r="C10" t="s">
        <v>5668</v>
      </c>
      <c r="D10" t="s">
        <v>90</v>
      </c>
      <c r="E10" t="s">
        <v>4191</v>
      </c>
    </row>
    <row r="11" spans="1:5" ht="15" customHeight="1" x14ac:dyDescent="0.25">
      <c r="A11" t="s">
        <v>4192</v>
      </c>
      <c r="B11" t="s">
        <v>41</v>
      </c>
      <c r="C11" t="s">
        <v>5669</v>
      </c>
      <c r="D11" t="s">
        <v>90</v>
      </c>
      <c r="E11" t="s">
        <v>4197</v>
      </c>
    </row>
    <row r="12" spans="1:5" ht="15" customHeight="1" x14ac:dyDescent="0.25">
      <c r="A12" t="s">
        <v>4198</v>
      </c>
      <c r="B12" t="s">
        <v>41</v>
      </c>
      <c r="C12" t="s">
        <v>5670</v>
      </c>
      <c r="D12" t="s">
        <v>90</v>
      </c>
      <c r="E12" t="s">
        <v>4203</v>
      </c>
    </row>
    <row r="13" spans="1:5" ht="15" customHeight="1" x14ac:dyDescent="0.25">
      <c r="A13" t="s">
        <v>5671</v>
      </c>
      <c r="B13" t="s">
        <v>3517</v>
      </c>
      <c r="C13" t="s">
        <v>5672</v>
      </c>
      <c r="D13" t="s">
        <v>90</v>
      </c>
      <c r="E13" t="s">
        <v>5673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3444</v>
      </c>
      <c r="D1" t="s">
        <v>4536</v>
      </c>
      <c r="E1" t="s">
        <v>5674</v>
      </c>
      <c r="F1" t="s">
        <v>5675</v>
      </c>
      <c r="G1" t="s">
        <v>5676</v>
      </c>
      <c r="H1" t="s">
        <v>5677</v>
      </c>
      <c r="I1" t="s">
        <v>3453</v>
      </c>
      <c r="J1" t="s">
        <v>5678</v>
      </c>
      <c r="K1" t="s">
        <v>3447</v>
      </c>
      <c r="L1" t="s">
        <v>5679</v>
      </c>
      <c r="M1" t="s">
        <v>3841</v>
      </c>
      <c r="N1" t="s">
        <v>5680</v>
      </c>
      <c r="O1" t="s">
        <v>5681</v>
      </c>
      <c r="P1" t="s">
        <v>3454</v>
      </c>
      <c r="Q1" t="s">
        <v>3455</v>
      </c>
      <c r="R1" t="s">
        <v>3456</v>
      </c>
      <c r="S1" t="s">
        <v>5682</v>
      </c>
      <c r="T1" t="s">
        <v>5683</v>
      </c>
      <c r="U1" t="s">
        <v>5684</v>
      </c>
      <c r="V1" t="s">
        <v>5685</v>
      </c>
      <c r="W1" t="s">
        <v>5686</v>
      </c>
      <c r="X1" t="s">
        <v>3457</v>
      </c>
    </row>
    <row r="2" spans="1:24" ht="15" customHeight="1" x14ac:dyDescent="0.25">
      <c r="A2" t="s">
        <v>3488</v>
      </c>
      <c r="B2" t="s">
        <v>2154</v>
      </c>
      <c r="C2">
        <v>75</v>
      </c>
      <c r="D2">
        <v>3</v>
      </c>
      <c r="E2">
        <v>0</v>
      </c>
      <c r="F2">
        <v>0</v>
      </c>
      <c r="G2">
        <v>0</v>
      </c>
      <c r="H2">
        <v>0</v>
      </c>
      <c r="I2">
        <v>2</v>
      </c>
      <c r="J2">
        <v>0</v>
      </c>
      <c r="K2">
        <v>0</v>
      </c>
      <c r="L2">
        <v>0</v>
      </c>
      <c r="M2">
        <v>0</v>
      </c>
      <c r="N2">
        <v>0</v>
      </c>
      <c r="O2">
        <v>0</v>
      </c>
      <c r="P2" t="s">
        <v>3489</v>
      </c>
      <c r="Q2" t="s">
        <v>5687</v>
      </c>
      <c r="R2" t="s">
        <v>3490</v>
      </c>
      <c r="S2" t="s">
        <v>5427</v>
      </c>
      <c r="T2">
        <v>5</v>
      </c>
      <c r="U2">
        <v>5</v>
      </c>
      <c r="X2" t="s">
        <v>3461</v>
      </c>
    </row>
    <row r="3" spans="1:24" ht="15" customHeight="1" x14ac:dyDescent="0.25">
      <c r="A3" t="s">
        <v>3471</v>
      </c>
      <c r="B3" t="s">
        <v>160</v>
      </c>
      <c r="C3">
        <v>75</v>
      </c>
      <c r="D3">
        <v>3</v>
      </c>
      <c r="E3">
        <v>0</v>
      </c>
      <c r="F3">
        <v>0</v>
      </c>
      <c r="G3">
        <v>0</v>
      </c>
      <c r="H3">
        <v>0</v>
      </c>
      <c r="I3">
        <v>0</v>
      </c>
      <c r="J3">
        <v>2</v>
      </c>
      <c r="K3">
        <v>0</v>
      </c>
      <c r="L3">
        <v>0</v>
      </c>
      <c r="M3">
        <v>0</v>
      </c>
      <c r="N3">
        <v>0</v>
      </c>
      <c r="O3">
        <v>0</v>
      </c>
      <c r="P3" t="s">
        <v>5688</v>
      </c>
      <c r="Q3" t="s">
        <v>5689</v>
      </c>
      <c r="R3" t="s">
        <v>3473</v>
      </c>
      <c r="S3" t="s">
        <v>5444</v>
      </c>
      <c r="T3">
        <v>5</v>
      </c>
      <c r="U3">
        <v>4</v>
      </c>
      <c r="V3" t="s">
        <v>5690</v>
      </c>
      <c r="X3" t="s">
        <v>3474</v>
      </c>
    </row>
    <row r="4" spans="1:24" ht="15" customHeight="1" x14ac:dyDescent="0.25">
      <c r="A4" t="s">
        <v>3494</v>
      </c>
      <c r="B4" t="s">
        <v>1322</v>
      </c>
      <c r="C4">
        <v>60</v>
      </c>
      <c r="D4">
        <v>3</v>
      </c>
      <c r="E4">
        <v>0</v>
      </c>
      <c r="F4">
        <v>1</v>
      </c>
      <c r="G4">
        <v>0</v>
      </c>
      <c r="H4">
        <v>0</v>
      </c>
      <c r="I4">
        <v>0</v>
      </c>
      <c r="J4">
        <v>0</v>
      </c>
      <c r="K4">
        <v>1</v>
      </c>
      <c r="L4">
        <v>0</v>
      </c>
      <c r="M4">
        <v>0</v>
      </c>
      <c r="N4">
        <v>0</v>
      </c>
      <c r="O4">
        <v>0</v>
      </c>
      <c r="P4" t="s">
        <v>3495</v>
      </c>
      <c r="Q4" t="s">
        <v>5691</v>
      </c>
      <c r="R4" t="s">
        <v>3497</v>
      </c>
      <c r="S4" t="s">
        <v>4553</v>
      </c>
      <c r="T4">
        <v>5</v>
      </c>
      <c r="U4">
        <v>5</v>
      </c>
      <c r="X4" t="s">
        <v>3461</v>
      </c>
    </row>
    <row r="5" spans="1:24" ht="15" customHeight="1" x14ac:dyDescent="0.25">
      <c r="A5" t="s">
        <v>3478</v>
      </c>
      <c r="B5" t="s">
        <v>1817</v>
      </c>
      <c r="C5">
        <v>60</v>
      </c>
      <c r="D5">
        <v>3</v>
      </c>
      <c r="E5">
        <v>0</v>
      </c>
      <c r="F5">
        <v>0</v>
      </c>
      <c r="G5">
        <v>1</v>
      </c>
      <c r="H5">
        <v>1</v>
      </c>
      <c r="I5">
        <v>0</v>
      </c>
      <c r="J5">
        <v>0</v>
      </c>
      <c r="K5">
        <v>0</v>
      </c>
      <c r="L5">
        <v>0</v>
      </c>
      <c r="M5">
        <v>0</v>
      </c>
      <c r="N5">
        <v>0</v>
      </c>
      <c r="O5">
        <v>0</v>
      </c>
      <c r="P5" t="s">
        <v>3479</v>
      </c>
      <c r="Q5" t="s">
        <v>5692</v>
      </c>
      <c r="R5" t="s">
        <v>3481</v>
      </c>
      <c r="S5" t="s">
        <v>5693</v>
      </c>
      <c r="T5">
        <v>5</v>
      </c>
      <c r="U5">
        <v>5</v>
      </c>
      <c r="X5" t="s">
        <v>3461</v>
      </c>
    </row>
    <row r="6" spans="1:24" ht="15" customHeight="1" x14ac:dyDescent="0.25">
      <c r="A6" t="s">
        <v>3467</v>
      </c>
      <c r="B6" t="s">
        <v>90</v>
      </c>
      <c r="C6">
        <v>80</v>
      </c>
      <c r="D6">
        <v>3</v>
      </c>
      <c r="E6">
        <v>2</v>
      </c>
      <c r="F6">
        <v>0</v>
      </c>
      <c r="G6">
        <v>0</v>
      </c>
      <c r="H6">
        <v>0</v>
      </c>
      <c r="I6">
        <v>0</v>
      </c>
      <c r="J6">
        <v>0</v>
      </c>
      <c r="K6">
        <v>0</v>
      </c>
      <c r="L6">
        <v>0</v>
      </c>
      <c r="M6">
        <v>0</v>
      </c>
      <c r="N6">
        <v>0</v>
      </c>
      <c r="O6">
        <v>0</v>
      </c>
      <c r="P6" t="s">
        <v>5694</v>
      </c>
      <c r="Q6" t="s">
        <v>5695</v>
      </c>
      <c r="R6" t="s">
        <v>3469</v>
      </c>
      <c r="S6" t="s">
        <v>5427</v>
      </c>
      <c r="T6">
        <v>5</v>
      </c>
      <c r="U6">
        <v>4</v>
      </c>
      <c r="V6" t="s">
        <v>3446</v>
      </c>
      <c r="X6" t="s">
        <v>3470</v>
      </c>
    </row>
    <row r="7" spans="1:24" ht="15" customHeight="1" x14ac:dyDescent="0.25">
      <c r="A7" t="s">
        <v>5696</v>
      </c>
      <c r="B7" t="s">
        <v>90</v>
      </c>
      <c r="C7">
        <v>70</v>
      </c>
      <c r="D7">
        <v>3</v>
      </c>
      <c r="E7">
        <v>0</v>
      </c>
      <c r="F7">
        <v>2</v>
      </c>
      <c r="G7">
        <v>0</v>
      </c>
      <c r="H7">
        <v>0</v>
      </c>
      <c r="I7">
        <v>0</v>
      </c>
      <c r="J7">
        <v>0</v>
      </c>
      <c r="K7">
        <v>0</v>
      </c>
      <c r="L7">
        <v>0</v>
      </c>
      <c r="M7">
        <v>0</v>
      </c>
      <c r="N7">
        <v>0</v>
      </c>
      <c r="O7">
        <v>0</v>
      </c>
      <c r="P7" t="s">
        <v>5694</v>
      </c>
      <c r="Q7" t="s">
        <v>5697</v>
      </c>
      <c r="R7" t="s">
        <v>5698</v>
      </c>
      <c r="S7" t="s">
        <v>5427</v>
      </c>
      <c r="T7">
        <v>5</v>
      </c>
      <c r="U7">
        <v>5</v>
      </c>
      <c r="V7" t="s">
        <v>5699</v>
      </c>
      <c r="W7" t="s">
        <v>5700</v>
      </c>
      <c r="X7" t="s">
        <v>4805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5701</v>
      </c>
      <c r="E1" t="s">
        <v>3456</v>
      </c>
      <c r="F1" t="s">
        <v>5702</v>
      </c>
      <c r="G1" t="s">
        <v>5703</v>
      </c>
      <c r="H1" t="s">
        <v>4263</v>
      </c>
      <c r="I1" t="s">
        <v>1</v>
      </c>
      <c r="J1" t="s">
        <v>170</v>
      </c>
    </row>
    <row r="2" spans="1:10" ht="15" customHeight="1" x14ac:dyDescent="0.25">
      <c r="A2" t="s">
        <v>5704</v>
      </c>
      <c r="B2" t="s">
        <v>3517</v>
      </c>
      <c r="C2" t="s">
        <v>4600</v>
      </c>
      <c r="D2">
        <v>1</v>
      </c>
      <c r="E2" t="s">
        <v>5705</v>
      </c>
      <c r="F2" t="s">
        <v>5706</v>
      </c>
      <c r="G2">
        <v>1</v>
      </c>
      <c r="H2" t="s">
        <v>5704</v>
      </c>
      <c r="I2" t="s">
        <v>90</v>
      </c>
      <c r="J2" t="s">
        <v>5707</v>
      </c>
    </row>
    <row r="3" spans="1:10" ht="15" customHeight="1" x14ac:dyDescent="0.25">
      <c r="A3" t="s">
        <v>5708</v>
      </c>
      <c r="B3" t="s">
        <v>41</v>
      </c>
      <c r="C3" t="s">
        <v>5363</v>
      </c>
      <c r="D3">
        <v>1</v>
      </c>
      <c r="E3" t="s">
        <v>5709</v>
      </c>
      <c r="F3" t="s">
        <v>5710</v>
      </c>
      <c r="G3">
        <v>1</v>
      </c>
      <c r="H3" t="s">
        <v>5708</v>
      </c>
      <c r="I3" t="s">
        <v>90</v>
      </c>
      <c r="J3" t="s">
        <v>5711</v>
      </c>
    </row>
    <row r="4" spans="1:10" ht="15" customHeight="1" x14ac:dyDescent="0.25">
      <c r="A4" t="s">
        <v>5712</v>
      </c>
      <c r="B4" t="s">
        <v>3505</v>
      </c>
      <c r="C4" t="s">
        <v>5363</v>
      </c>
      <c r="D4">
        <v>0</v>
      </c>
      <c r="E4" t="s">
        <v>5713</v>
      </c>
      <c r="F4" t="s">
        <v>5714</v>
      </c>
      <c r="G4">
        <v>0</v>
      </c>
      <c r="H4" t="s">
        <v>5712</v>
      </c>
      <c r="I4" t="s">
        <v>90</v>
      </c>
      <c r="J4" t="s">
        <v>5715</v>
      </c>
    </row>
    <row r="5" spans="1:10" ht="15" customHeight="1" x14ac:dyDescent="0.25">
      <c r="A5" t="s">
        <v>5716</v>
      </c>
      <c r="B5" t="s">
        <v>3505</v>
      </c>
      <c r="C5" t="s">
        <v>4600</v>
      </c>
      <c r="D5">
        <v>1</v>
      </c>
      <c r="E5" t="s">
        <v>5717</v>
      </c>
      <c r="F5" t="s">
        <v>5718</v>
      </c>
      <c r="G5">
        <v>1</v>
      </c>
      <c r="H5" t="s">
        <v>5719</v>
      </c>
      <c r="I5" t="s">
        <v>90</v>
      </c>
      <c r="J5" t="s">
        <v>5720</v>
      </c>
    </row>
    <row r="6" spans="1:10" ht="15" customHeight="1" x14ac:dyDescent="0.25">
      <c r="A6" t="s">
        <v>5721</v>
      </c>
      <c r="B6" t="s">
        <v>3505</v>
      </c>
      <c r="C6" t="s">
        <v>5363</v>
      </c>
      <c r="D6">
        <v>1</v>
      </c>
      <c r="E6" t="s">
        <v>5722</v>
      </c>
      <c r="F6" t="s">
        <v>5722</v>
      </c>
      <c r="G6">
        <v>0</v>
      </c>
      <c r="H6" t="s">
        <v>5721</v>
      </c>
      <c r="I6" t="s">
        <v>90</v>
      </c>
      <c r="J6" t="s">
        <v>5723</v>
      </c>
    </row>
    <row r="7" spans="1:10" ht="15" customHeight="1" x14ac:dyDescent="0.25">
      <c r="A7" t="s">
        <v>5724</v>
      </c>
      <c r="B7" t="s">
        <v>3505</v>
      </c>
      <c r="C7" t="s">
        <v>5725</v>
      </c>
      <c r="D7">
        <v>2</v>
      </c>
      <c r="E7" t="s">
        <v>5726</v>
      </c>
      <c r="F7" t="s">
        <v>5727</v>
      </c>
      <c r="G7">
        <v>2</v>
      </c>
      <c r="H7" t="s">
        <v>5728</v>
      </c>
      <c r="I7" t="s">
        <v>90</v>
      </c>
      <c r="J7" t="s">
        <v>5729</v>
      </c>
    </row>
    <row r="8" spans="1:10" ht="15" customHeight="1" x14ac:dyDescent="0.25">
      <c r="A8" t="s">
        <v>5730</v>
      </c>
      <c r="B8" t="s">
        <v>3517</v>
      </c>
      <c r="C8" t="s">
        <v>5725</v>
      </c>
      <c r="D8">
        <v>1</v>
      </c>
      <c r="E8" t="s">
        <v>5731</v>
      </c>
      <c r="F8" t="s">
        <v>5732</v>
      </c>
      <c r="G8">
        <v>1</v>
      </c>
      <c r="H8" t="s">
        <v>5733</v>
      </c>
      <c r="I8" t="s">
        <v>90</v>
      </c>
      <c r="J8" t="s">
        <v>5734</v>
      </c>
    </row>
    <row r="9" spans="1:10" ht="15" customHeight="1" x14ac:dyDescent="0.25">
      <c r="A9" t="s">
        <v>5735</v>
      </c>
      <c r="B9" t="s">
        <v>41</v>
      </c>
      <c r="C9" t="s">
        <v>5725</v>
      </c>
      <c r="D9">
        <v>0</v>
      </c>
      <c r="E9" t="s">
        <v>5736</v>
      </c>
      <c r="F9" t="s">
        <v>5737</v>
      </c>
      <c r="G9">
        <v>0</v>
      </c>
      <c r="H9" t="s">
        <v>5735</v>
      </c>
      <c r="I9" t="s">
        <v>90</v>
      </c>
      <c r="J9" t="s">
        <v>5738</v>
      </c>
    </row>
    <row r="10" spans="1:10" ht="15" customHeight="1" x14ac:dyDescent="0.25">
      <c r="A10" t="s">
        <v>5739</v>
      </c>
      <c r="B10" t="s">
        <v>41</v>
      </c>
      <c r="C10" t="s">
        <v>5363</v>
      </c>
      <c r="D10">
        <v>1</v>
      </c>
      <c r="E10" t="s">
        <v>5740</v>
      </c>
      <c r="F10" t="s">
        <v>5741</v>
      </c>
      <c r="G10">
        <v>1</v>
      </c>
      <c r="H10" t="s">
        <v>5739</v>
      </c>
      <c r="I10" t="s">
        <v>90</v>
      </c>
      <c r="J10" t="s">
        <v>5742</v>
      </c>
    </row>
    <row r="11" spans="1:10" ht="15" customHeight="1" x14ac:dyDescent="0.25">
      <c r="A11" t="s">
        <v>5743</v>
      </c>
      <c r="B11" t="s">
        <v>41</v>
      </c>
      <c r="C11" t="s">
        <v>5363</v>
      </c>
      <c r="D11">
        <v>1</v>
      </c>
      <c r="E11" t="s">
        <v>5744</v>
      </c>
      <c r="F11" t="s">
        <v>5745</v>
      </c>
      <c r="G11">
        <v>1</v>
      </c>
      <c r="H11" t="s">
        <v>5743</v>
      </c>
      <c r="I11" t="s">
        <v>90</v>
      </c>
      <c r="J11" t="s">
        <v>5746</v>
      </c>
    </row>
    <row r="12" spans="1:10" ht="15" customHeight="1" x14ac:dyDescent="0.25">
      <c r="A12" t="s">
        <v>5747</v>
      </c>
      <c r="B12" t="s">
        <v>3517</v>
      </c>
      <c r="C12" t="s">
        <v>5725</v>
      </c>
      <c r="D12">
        <v>0</v>
      </c>
      <c r="E12" t="s">
        <v>5748</v>
      </c>
      <c r="F12" t="s">
        <v>5749</v>
      </c>
      <c r="G12">
        <v>0</v>
      </c>
      <c r="H12" t="s">
        <v>5747</v>
      </c>
      <c r="I12" t="s">
        <v>90</v>
      </c>
      <c r="J12" t="s">
        <v>5750</v>
      </c>
    </row>
    <row r="13" spans="1:10" ht="15" customHeight="1" x14ac:dyDescent="0.25">
      <c r="A13" t="s">
        <v>4430</v>
      </c>
      <c r="B13" t="s">
        <v>3517</v>
      </c>
      <c r="C13" t="s">
        <v>5363</v>
      </c>
      <c r="D13">
        <v>1</v>
      </c>
      <c r="E13" t="s">
        <v>5751</v>
      </c>
      <c r="F13" t="s">
        <v>5751</v>
      </c>
      <c r="G13">
        <v>1</v>
      </c>
      <c r="H13" t="s">
        <v>4435</v>
      </c>
      <c r="I13" t="s">
        <v>1649</v>
      </c>
      <c r="J13" t="s">
        <v>5752</v>
      </c>
    </row>
    <row r="14" spans="1:10" ht="15" customHeight="1" x14ac:dyDescent="0.25">
      <c r="A14" t="s">
        <v>5753</v>
      </c>
      <c r="B14" t="s">
        <v>41</v>
      </c>
      <c r="C14" t="s">
        <v>5725</v>
      </c>
      <c r="D14">
        <v>1</v>
      </c>
      <c r="E14" t="s">
        <v>5754</v>
      </c>
      <c r="F14" t="s">
        <v>5755</v>
      </c>
      <c r="G14">
        <v>1</v>
      </c>
      <c r="H14" t="s">
        <v>5753</v>
      </c>
      <c r="I14" t="s">
        <v>90</v>
      </c>
      <c r="J14" t="s">
        <v>5756</v>
      </c>
    </row>
    <row r="15" spans="1:10" ht="15" customHeight="1" x14ac:dyDescent="0.25">
      <c r="A15" t="s">
        <v>4441</v>
      </c>
      <c r="B15" t="s">
        <v>3517</v>
      </c>
      <c r="C15" t="s">
        <v>5725</v>
      </c>
      <c r="D15">
        <v>1</v>
      </c>
      <c r="E15" t="s">
        <v>5757</v>
      </c>
      <c r="F15" t="s">
        <v>5757</v>
      </c>
      <c r="G15">
        <v>1</v>
      </c>
      <c r="H15" t="s">
        <v>4441</v>
      </c>
      <c r="I15" t="s">
        <v>1046</v>
      </c>
      <c r="J15" t="s">
        <v>5758</v>
      </c>
    </row>
    <row r="16" spans="1:10" ht="15" customHeight="1" x14ac:dyDescent="0.25">
      <c r="A16" t="s">
        <v>3524</v>
      </c>
      <c r="B16" t="s">
        <v>3505</v>
      </c>
      <c r="C16" t="s">
        <v>4600</v>
      </c>
      <c r="D16">
        <v>3</v>
      </c>
      <c r="E16" t="s">
        <v>5759</v>
      </c>
      <c r="F16" t="s">
        <v>5759</v>
      </c>
      <c r="G16">
        <v>2</v>
      </c>
      <c r="H16" t="s">
        <v>3524</v>
      </c>
      <c r="I16" t="s">
        <v>90</v>
      </c>
      <c r="J16" t="s">
        <v>5742</v>
      </c>
    </row>
    <row r="17" spans="1:10" ht="15" customHeight="1" x14ac:dyDescent="0.25">
      <c r="A17" t="s">
        <v>3446</v>
      </c>
      <c r="B17" t="s">
        <v>3549</v>
      </c>
      <c r="C17" t="s">
        <v>5725</v>
      </c>
      <c r="D17">
        <v>2</v>
      </c>
      <c r="E17" t="s">
        <v>5760</v>
      </c>
      <c r="F17" t="s">
        <v>5761</v>
      </c>
      <c r="G17">
        <v>2</v>
      </c>
      <c r="H17" t="s">
        <v>3446</v>
      </c>
      <c r="I17" t="s">
        <v>90</v>
      </c>
      <c r="J17" t="s">
        <v>5738</v>
      </c>
    </row>
    <row r="18" spans="1:10" ht="15" customHeight="1" x14ac:dyDescent="0.25">
      <c r="A18" t="s">
        <v>5762</v>
      </c>
      <c r="B18" t="s">
        <v>3517</v>
      </c>
      <c r="C18" t="s">
        <v>5363</v>
      </c>
      <c r="D18">
        <v>0</v>
      </c>
      <c r="E18" t="s">
        <v>5763</v>
      </c>
      <c r="F18" t="s">
        <v>5764</v>
      </c>
      <c r="G18">
        <v>0</v>
      </c>
      <c r="H18" t="s">
        <v>5765</v>
      </c>
      <c r="I18" t="s">
        <v>90</v>
      </c>
      <c r="J18" t="s">
        <v>5766</v>
      </c>
    </row>
    <row r="19" spans="1:10" ht="15" customHeight="1" x14ac:dyDescent="0.25">
      <c r="A19" t="s">
        <v>5767</v>
      </c>
      <c r="B19" t="s">
        <v>41</v>
      </c>
      <c r="C19" t="s">
        <v>5725</v>
      </c>
      <c r="D19">
        <v>0</v>
      </c>
      <c r="E19" t="s">
        <v>5768</v>
      </c>
      <c r="F19" t="s">
        <v>5769</v>
      </c>
      <c r="G19">
        <v>0</v>
      </c>
      <c r="H19" t="s">
        <v>5770</v>
      </c>
      <c r="I19" t="s">
        <v>90</v>
      </c>
      <c r="J19" t="s">
        <v>5771</v>
      </c>
    </row>
    <row r="20" spans="1:10" ht="15" customHeight="1" x14ac:dyDescent="0.25">
      <c r="A20" t="s">
        <v>5772</v>
      </c>
      <c r="B20" t="s">
        <v>3505</v>
      </c>
      <c r="C20" t="s">
        <v>4600</v>
      </c>
      <c r="D20">
        <v>0</v>
      </c>
      <c r="E20" t="s">
        <v>5773</v>
      </c>
      <c r="F20" t="s">
        <v>5774</v>
      </c>
      <c r="G20">
        <v>0</v>
      </c>
      <c r="H20" t="s">
        <v>5772</v>
      </c>
      <c r="I20" t="s">
        <v>90</v>
      </c>
      <c r="J20" t="s">
        <v>5775</v>
      </c>
    </row>
    <row r="21" spans="1:10" ht="15" customHeight="1" x14ac:dyDescent="0.25">
      <c r="A21" t="s">
        <v>5776</v>
      </c>
      <c r="B21" t="s">
        <v>41</v>
      </c>
      <c r="C21" t="s">
        <v>5363</v>
      </c>
      <c r="D21">
        <v>1</v>
      </c>
      <c r="E21" t="s">
        <v>5777</v>
      </c>
      <c r="F21" t="s">
        <v>5778</v>
      </c>
      <c r="G21">
        <v>1</v>
      </c>
      <c r="H21" t="s">
        <v>5779</v>
      </c>
      <c r="I21" t="s">
        <v>90</v>
      </c>
      <c r="J21" t="s">
        <v>5780</v>
      </c>
    </row>
    <row r="22" spans="1:10" ht="15" customHeight="1" x14ac:dyDescent="0.25">
      <c r="A22" t="s">
        <v>4468</v>
      </c>
      <c r="B22" t="s">
        <v>41</v>
      </c>
      <c r="C22" t="s">
        <v>5725</v>
      </c>
      <c r="D22">
        <v>1</v>
      </c>
      <c r="E22" t="s">
        <v>5781</v>
      </c>
      <c r="F22" t="s">
        <v>5781</v>
      </c>
      <c r="G22">
        <v>1</v>
      </c>
      <c r="H22" t="s">
        <v>4471</v>
      </c>
      <c r="I22" t="s">
        <v>1104</v>
      </c>
      <c r="J22" t="s">
        <v>5758</v>
      </c>
    </row>
    <row r="23" spans="1:10" ht="15" customHeight="1" x14ac:dyDescent="0.25">
      <c r="A23" t="s">
        <v>5782</v>
      </c>
      <c r="B23" t="s">
        <v>3517</v>
      </c>
      <c r="C23" t="s">
        <v>5725</v>
      </c>
      <c r="D23">
        <v>4</v>
      </c>
      <c r="E23" t="s">
        <v>5783</v>
      </c>
      <c r="F23" t="s">
        <v>5784</v>
      </c>
      <c r="G23">
        <v>3</v>
      </c>
      <c r="H23" t="s">
        <v>5785</v>
      </c>
      <c r="I23" t="s">
        <v>90</v>
      </c>
      <c r="J23" t="s">
        <v>5766</v>
      </c>
    </row>
    <row r="24" spans="1:10" ht="15" customHeight="1" x14ac:dyDescent="0.25">
      <c r="A24" t="s">
        <v>4472</v>
      </c>
      <c r="B24" t="s">
        <v>3505</v>
      </c>
      <c r="C24" t="s">
        <v>5725</v>
      </c>
      <c r="D24">
        <v>1</v>
      </c>
      <c r="E24" t="s">
        <v>5786</v>
      </c>
      <c r="F24" t="s">
        <v>5786</v>
      </c>
      <c r="G24">
        <v>1</v>
      </c>
      <c r="H24" t="s">
        <v>4475</v>
      </c>
      <c r="I24" t="s">
        <v>1621</v>
      </c>
      <c r="J24" t="s">
        <v>5758</v>
      </c>
    </row>
    <row r="25" spans="1:10" ht="15" customHeight="1" x14ac:dyDescent="0.25">
      <c r="A25" t="s">
        <v>5787</v>
      </c>
      <c r="B25" t="s">
        <v>3517</v>
      </c>
      <c r="C25" t="s">
        <v>5363</v>
      </c>
      <c r="D25">
        <v>0</v>
      </c>
      <c r="E25" t="s">
        <v>5788</v>
      </c>
      <c r="F25" t="s">
        <v>5789</v>
      </c>
      <c r="G25">
        <v>0</v>
      </c>
      <c r="H25" t="s">
        <v>5787</v>
      </c>
      <c r="I25" t="s">
        <v>90</v>
      </c>
      <c r="J25" t="s">
        <v>5775</v>
      </c>
    </row>
    <row r="26" spans="1:10" ht="15" customHeight="1" x14ac:dyDescent="0.25">
      <c r="A26" t="s">
        <v>5790</v>
      </c>
      <c r="B26" t="s">
        <v>3505</v>
      </c>
      <c r="C26" t="s">
        <v>5725</v>
      </c>
      <c r="D26">
        <v>3</v>
      </c>
      <c r="E26" t="s">
        <v>5791</v>
      </c>
      <c r="F26" t="s">
        <v>5792</v>
      </c>
      <c r="G26">
        <v>3</v>
      </c>
      <c r="H26" t="s">
        <v>5790</v>
      </c>
      <c r="I26" t="s">
        <v>90</v>
      </c>
      <c r="J26" t="s">
        <v>5738</v>
      </c>
    </row>
    <row r="27" spans="1:10" ht="15" customHeight="1" x14ac:dyDescent="0.25">
      <c r="A27" t="s">
        <v>5793</v>
      </c>
      <c r="B27" t="s">
        <v>4300</v>
      </c>
      <c r="C27" t="s">
        <v>3659</v>
      </c>
      <c r="D27">
        <v>1</v>
      </c>
      <c r="E27" t="s">
        <v>5794</v>
      </c>
      <c r="F27" t="s">
        <v>3461</v>
      </c>
      <c r="G27" t="s">
        <v>3461</v>
      </c>
      <c r="H27" t="s">
        <v>5795</v>
      </c>
      <c r="I27" t="s">
        <v>501</v>
      </c>
      <c r="J27" t="s">
        <v>5796</v>
      </c>
    </row>
    <row r="28" spans="1:10" ht="15" customHeight="1" x14ac:dyDescent="0.25">
      <c r="A28" t="s">
        <v>5163</v>
      </c>
      <c r="B28" t="s">
        <v>3517</v>
      </c>
      <c r="C28" t="s">
        <v>5363</v>
      </c>
      <c r="D28">
        <v>1</v>
      </c>
      <c r="E28" t="s">
        <v>5797</v>
      </c>
      <c r="F28" t="s">
        <v>5798</v>
      </c>
      <c r="G28">
        <v>1</v>
      </c>
      <c r="H28" t="s">
        <v>5163</v>
      </c>
      <c r="I28" t="s">
        <v>90</v>
      </c>
      <c r="J28" t="s">
        <v>5720</v>
      </c>
    </row>
    <row r="29" spans="1:10" ht="15" customHeight="1" x14ac:dyDescent="0.25">
      <c r="A29" t="s">
        <v>5799</v>
      </c>
      <c r="B29" t="s">
        <v>41</v>
      </c>
      <c r="C29" t="s">
        <v>5725</v>
      </c>
      <c r="D29">
        <v>1</v>
      </c>
      <c r="E29" t="s">
        <v>5800</v>
      </c>
      <c r="F29" t="s">
        <v>5800</v>
      </c>
      <c r="G29">
        <v>0</v>
      </c>
      <c r="H29" t="s">
        <v>5801</v>
      </c>
      <c r="I29" t="s">
        <v>90</v>
      </c>
      <c r="J29" t="s">
        <v>5738</v>
      </c>
    </row>
    <row r="30" spans="1:10" ht="15" customHeight="1" x14ac:dyDescent="0.25">
      <c r="A30" t="s">
        <v>5802</v>
      </c>
      <c r="B30" t="s">
        <v>3517</v>
      </c>
      <c r="C30" t="s">
        <v>5363</v>
      </c>
      <c r="D30">
        <v>0</v>
      </c>
      <c r="E30" t="s">
        <v>5803</v>
      </c>
      <c r="F30" t="s">
        <v>5804</v>
      </c>
      <c r="G30">
        <v>0</v>
      </c>
      <c r="H30" t="s">
        <v>5805</v>
      </c>
      <c r="I30" t="s">
        <v>90</v>
      </c>
      <c r="J30" t="s">
        <v>5806</v>
      </c>
    </row>
    <row r="31" spans="1:10" ht="15" customHeight="1" x14ac:dyDescent="0.25">
      <c r="A31" t="s">
        <v>5807</v>
      </c>
      <c r="B31" t="s">
        <v>3517</v>
      </c>
      <c r="C31" t="s">
        <v>5808</v>
      </c>
      <c r="D31">
        <v>3</v>
      </c>
      <c r="E31" t="s">
        <v>5809</v>
      </c>
      <c r="F31" t="s">
        <v>5810</v>
      </c>
      <c r="G31">
        <v>3</v>
      </c>
      <c r="H31" t="s">
        <v>5811</v>
      </c>
      <c r="I31" t="s">
        <v>1672</v>
      </c>
    </row>
    <row r="32" spans="1:10" ht="15" customHeight="1" x14ac:dyDescent="0.25">
      <c r="A32" t="s">
        <v>5812</v>
      </c>
      <c r="B32" t="s">
        <v>3517</v>
      </c>
      <c r="C32" t="s">
        <v>5363</v>
      </c>
      <c r="D32">
        <v>2</v>
      </c>
      <c r="E32" t="s">
        <v>5813</v>
      </c>
      <c r="F32" t="s">
        <v>5814</v>
      </c>
      <c r="G32">
        <v>2</v>
      </c>
      <c r="H32" t="s">
        <v>5815</v>
      </c>
      <c r="I32" t="s">
        <v>90</v>
      </c>
      <c r="J32" t="s">
        <v>5816</v>
      </c>
    </row>
    <row r="33" spans="1:10" ht="15" customHeight="1" x14ac:dyDescent="0.25">
      <c r="A33" t="s">
        <v>5817</v>
      </c>
      <c r="B33" t="s">
        <v>3505</v>
      </c>
      <c r="C33" t="s">
        <v>4600</v>
      </c>
      <c r="D33">
        <v>0</v>
      </c>
      <c r="E33" t="s">
        <v>5818</v>
      </c>
      <c r="F33" t="s">
        <v>5819</v>
      </c>
      <c r="G33">
        <v>0</v>
      </c>
      <c r="H33" t="s">
        <v>5817</v>
      </c>
      <c r="I33" t="s">
        <v>90</v>
      </c>
      <c r="J33" t="s">
        <v>5766</v>
      </c>
    </row>
    <row r="34" spans="1:10" ht="15" customHeight="1" x14ac:dyDescent="0.25">
      <c r="A34" t="s">
        <v>5169</v>
      </c>
      <c r="B34" t="s">
        <v>3505</v>
      </c>
      <c r="C34" t="s">
        <v>4600</v>
      </c>
      <c r="D34">
        <v>2</v>
      </c>
      <c r="E34" t="s">
        <v>5820</v>
      </c>
      <c r="F34" t="s">
        <v>5821</v>
      </c>
      <c r="G34">
        <v>2</v>
      </c>
      <c r="H34" t="s">
        <v>5169</v>
      </c>
      <c r="I34" t="s">
        <v>90</v>
      </c>
      <c r="J34" t="s">
        <v>5822</v>
      </c>
    </row>
    <row r="35" spans="1:10" ht="15" customHeight="1" x14ac:dyDescent="0.25">
      <c r="A35" t="s">
        <v>5823</v>
      </c>
      <c r="B35" t="s">
        <v>3505</v>
      </c>
      <c r="C35" t="s">
        <v>5363</v>
      </c>
      <c r="D35">
        <v>3</v>
      </c>
      <c r="E35" t="s">
        <v>5824</v>
      </c>
      <c r="F35" t="s">
        <v>5824</v>
      </c>
      <c r="G35">
        <v>2</v>
      </c>
      <c r="H35" t="s">
        <v>5825</v>
      </c>
      <c r="I35" t="s">
        <v>90</v>
      </c>
      <c r="J35" t="s">
        <v>5826</v>
      </c>
    </row>
    <row r="36" spans="1:10" ht="15" customHeight="1" x14ac:dyDescent="0.25">
      <c r="A36" t="s">
        <v>4005</v>
      </c>
      <c r="B36" t="s">
        <v>4300</v>
      </c>
      <c r="C36" t="s">
        <v>3659</v>
      </c>
      <c r="D36" t="s">
        <v>4000</v>
      </c>
      <c r="E36" t="s">
        <v>5827</v>
      </c>
      <c r="F36" t="s">
        <v>5828</v>
      </c>
      <c r="G36" t="s">
        <v>4000</v>
      </c>
      <c r="H36" t="s">
        <v>4005</v>
      </c>
      <c r="I36" t="s">
        <v>90</v>
      </c>
    </row>
    <row r="37" spans="1:10" ht="15" customHeight="1" x14ac:dyDescent="0.25">
      <c r="A37" t="s">
        <v>5829</v>
      </c>
      <c r="B37" t="s">
        <v>3517</v>
      </c>
      <c r="C37" t="s">
        <v>5363</v>
      </c>
      <c r="D37">
        <v>1</v>
      </c>
      <c r="E37" t="s">
        <v>5830</v>
      </c>
      <c r="F37" t="s">
        <v>5831</v>
      </c>
      <c r="G37">
        <v>1</v>
      </c>
      <c r="H37" t="s">
        <v>5832</v>
      </c>
      <c r="I37" t="s">
        <v>90</v>
      </c>
      <c r="J37" t="s">
        <v>5833</v>
      </c>
    </row>
    <row r="38" spans="1:10" ht="15" customHeight="1" x14ac:dyDescent="0.25">
      <c r="A38" t="s">
        <v>5173</v>
      </c>
      <c r="B38" t="s">
        <v>3505</v>
      </c>
      <c r="C38" t="s">
        <v>5363</v>
      </c>
      <c r="D38">
        <v>1</v>
      </c>
      <c r="E38" t="s">
        <v>5834</v>
      </c>
      <c r="F38" t="s">
        <v>5835</v>
      </c>
      <c r="G38">
        <v>1</v>
      </c>
      <c r="H38" t="s">
        <v>5173</v>
      </c>
      <c r="I38" t="s">
        <v>90</v>
      </c>
      <c r="J38" t="s">
        <v>5826</v>
      </c>
    </row>
    <row r="39" spans="1:10" ht="15" customHeight="1" x14ac:dyDescent="0.25">
      <c r="A39" t="s">
        <v>5836</v>
      </c>
      <c r="B39" t="s">
        <v>3517</v>
      </c>
      <c r="C39" t="s">
        <v>5363</v>
      </c>
      <c r="D39">
        <v>0</v>
      </c>
      <c r="E39" t="s">
        <v>5837</v>
      </c>
      <c r="F39" t="s">
        <v>5838</v>
      </c>
      <c r="G39">
        <v>0</v>
      </c>
      <c r="H39" t="s">
        <v>5839</v>
      </c>
      <c r="I39" t="s">
        <v>90</v>
      </c>
      <c r="J39" t="s">
        <v>5840</v>
      </c>
    </row>
    <row r="40" spans="1:10" ht="15" customHeight="1" x14ac:dyDescent="0.25">
      <c r="A40" t="s">
        <v>5841</v>
      </c>
      <c r="B40" t="s">
        <v>3517</v>
      </c>
      <c r="C40" t="s">
        <v>4600</v>
      </c>
      <c r="D40">
        <v>1</v>
      </c>
      <c r="E40" t="s">
        <v>5672</v>
      </c>
      <c r="F40" t="s">
        <v>5842</v>
      </c>
      <c r="G40">
        <v>1</v>
      </c>
      <c r="H40" t="s">
        <v>5841</v>
      </c>
      <c r="I40" t="s">
        <v>90</v>
      </c>
      <c r="J40" t="s">
        <v>5720</v>
      </c>
    </row>
    <row r="41" spans="1:10" ht="15" customHeight="1" x14ac:dyDescent="0.25">
      <c r="A41" t="s">
        <v>5843</v>
      </c>
      <c r="B41" t="s">
        <v>3517</v>
      </c>
      <c r="C41" t="s">
        <v>5725</v>
      </c>
      <c r="D41">
        <v>2</v>
      </c>
      <c r="E41" t="s">
        <v>5844</v>
      </c>
      <c r="F41" t="s">
        <v>5845</v>
      </c>
      <c r="G41">
        <v>2</v>
      </c>
      <c r="H41" t="s">
        <v>5843</v>
      </c>
      <c r="I41" t="s">
        <v>90</v>
      </c>
      <c r="J41" t="s">
        <v>5738</v>
      </c>
    </row>
    <row r="42" spans="1:10" ht="15" customHeight="1" x14ac:dyDescent="0.25">
      <c r="A42" t="s">
        <v>5846</v>
      </c>
      <c r="B42" t="s">
        <v>3517</v>
      </c>
      <c r="C42" t="s">
        <v>5363</v>
      </c>
      <c r="D42">
        <v>1</v>
      </c>
      <c r="E42" t="s">
        <v>5847</v>
      </c>
      <c r="F42" t="s">
        <v>5848</v>
      </c>
      <c r="G42">
        <v>1</v>
      </c>
      <c r="H42" t="s">
        <v>5846</v>
      </c>
      <c r="I42" t="s">
        <v>90</v>
      </c>
      <c r="J42" t="s">
        <v>5816</v>
      </c>
    </row>
    <row r="43" spans="1:10" ht="15" customHeight="1" x14ac:dyDescent="0.25">
      <c r="A43" t="s">
        <v>5849</v>
      </c>
      <c r="B43" t="s">
        <v>3517</v>
      </c>
      <c r="C43" t="s">
        <v>5725</v>
      </c>
      <c r="D43">
        <v>2</v>
      </c>
      <c r="E43" t="s">
        <v>5850</v>
      </c>
      <c r="F43" t="s">
        <v>5851</v>
      </c>
      <c r="G43">
        <v>2</v>
      </c>
      <c r="H43" t="s">
        <v>5849</v>
      </c>
      <c r="I43" t="s">
        <v>90</v>
      </c>
      <c r="J43" t="s">
        <v>5852</v>
      </c>
    </row>
    <row r="44" spans="1:10" ht="15" customHeight="1" x14ac:dyDescent="0.25">
      <c r="A44" t="s">
        <v>5853</v>
      </c>
      <c r="B44" t="s">
        <v>41</v>
      </c>
      <c r="C44" t="s">
        <v>5725</v>
      </c>
      <c r="D44">
        <v>0</v>
      </c>
      <c r="E44" t="s">
        <v>5854</v>
      </c>
      <c r="F44" t="s">
        <v>5855</v>
      </c>
      <c r="G44">
        <v>0</v>
      </c>
      <c r="H44" t="s">
        <v>5853</v>
      </c>
      <c r="I44" t="s">
        <v>90</v>
      </c>
      <c r="J44" t="s">
        <v>5738</v>
      </c>
    </row>
    <row r="45" spans="1:10" ht="15" customHeight="1" x14ac:dyDescent="0.25">
      <c r="A45" t="s">
        <v>5856</v>
      </c>
      <c r="B45" t="s">
        <v>41</v>
      </c>
      <c r="C45" t="s">
        <v>5725</v>
      </c>
      <c r="D45">
        <v>0</v>
      </c>
      <c r="E45" t="s">
        <v>5857</v>
      </c>
      <c r="F45" t="s">
        <v>5858</v>
      </c>
      <c r="G45">
        <v>0</v>
      </c>
      <c r="H45" t="s">
        <v>5856</v>
      </c>
      <c r="I45" t="s">
        <v>90</v>
      </c>
      <c r="J45" t="s">
        <v>5859</v>
      </c>
    </row>
    <row r="46" spans="1:10" ht="15" customHeight="1" x14ac:dyDescent="0.25">
      <c r="A46" t="s">
        <v>5413</v>
      </c>
      <c r="B46" t="s">
        <v>41</v>
      </c>
      <c r="C46" t="s">
        <v>5725</v>
      </c>
      <c r="D46">
        <v>1</v>
      </c>
      <c r="E46" t="s">
        <v>5860</v>
      </c>
      <c r="F46" t="s">
        <v>5861</v>
      </c>
      <c r="G46">
        <v>1</v>
      </c>
      <c r="H46" t="s">
        <v>5413</v>
      </c>
      <c r="I46" t="s">
        <v>90</v>
      </c>
      <c r="J46" t="s">
        <v>5862</v>
      </c>
    </row>
    <row r="47" spans="1:10" ht="15" customHeight="1" x14ac:dyDescent="0.25">
      <c r="A47" t="s">
        <v>5863</v>
      </c>
      <c r="B47" t="s">
        <v>41</v>
      </c>
      <c r="C47" t="s">
        <v>5363</v>
      </c>
      <c r="D47">
        <v>1</v>
      </c>
      <c r="E47" t="s">
        <v>5864</v>
      </c>
      <c r="F47" t="s">
        <v>5865</v>
      </c>
      <c r="G47">
        <v>1</v>
      </c>
      <c r="H47" t="s">
        <v>5866</v>
      </c>
      <c r="I47" t="s">
        <v>90</v>
      </c>
      <c r="J47" t="s">
        <v>5720</v>
      </c>
    </row>
    <row r="48" spans="1:10" ht="15" customHeight="1" x14ac:dyDescent="0.25">
      <c r="A48" t="s">
        <v>5867</v>
      </c>
      <c r="B48" t="s">
        <v>41</v>
      </c>
      <c r="C48" t="s">
        <v>5725</v>
      </c>
      <c r="D48">
        <v>2</v>
      </c>
      <c r="E48" t="s">
        <v>5868</v>
      </c>
      <c r="F48" t="s">
        <v>5869</v>
      </c>
      <c r="G48">
        <v>2</v>
      </c>
      <c r="H48" t="s">
        <v>5867</v>
      </c>
      <c r="I48" t="s">
        <v>90</v>
      </c>
      <c r="J48" t="s">
        <v>5870</v>
      </c>
    </row>
    <row r="49" spans="1:10" ht="15" customHeight="1" x14ac:dyDescent="0.25">
      <c r="A49" t="s">
        <v>5871</v>
      </c>
      <c r="B49" t="s">
        <v>4300</v>
      </c>
      <c r="C49" t="s">
        <v>4248</v>
      </c>
      <c r="D49" t="s">
        <v>4000</v>
      </c>
      <c r="E49" t="s">
        <v>5872</v>
      </c>
      <c r="F49" t="s">
        <v>3461</v>
      </c>
      <c r="G49" t="s">
        <v>3461</v>
      </c>
      <c r="H49" t="s">
        <v>5871</v>
      </c>
      <c r="I49" t="s">
        <v>90</v>
      </c>
      <c r="J49" t="s">
        <v>5873</v>
      </c>
    </row>
    <row r="50" spans="1:10" ht="15" customHeight="1" x14ac:dyDescent="0.25">
      <c r="A50" t="s">
        <v>5871</v>
      </c>
      <c r="B50" t="s">
        <v>41</v>
      </c>
      <c r="C50" t="s">
        <v>5444</v>
      </c>
      <c r="D50">
        <v>1</v>
      </c>
      <c r="E50" t="s">
        <v>5874</v>
      </c>
      <c r="F50" t="s">
        <v>5875</v>
      </c>
      <c r="G50">
        <v>1</v>
      </c>
      <c r="H50" t="s">
        <v>5871</v>
      </c>
      <c r="I50" t="s">
        <v>5876</v>
      </c>
      <c r="J50" t="s">
        <v>5877</v>
      </c>
    </row>
    <row r="51" spans="1:10" ht="15" customHeight="1" x14ac:dyDescent="0.25">
      <c r="A51" t="s">
        <v>5878</v>
      </c>
      <c r="B51" t="s">
        <v>3517</v>
      </c>
      <c r="C51" t="s">
        <v>4600</v>
      </c>
      <c r="D51">
        <v>1</v>
      </c>
      <c r="E51" t="s">
        <v>5879</v>
      </c>
      <c r="F51" t="s">
        <v>5880</v>
      </c>
      <c r="G51">
        <v>1</v>
      </c>
      <c r="H51" t="s">
        <v>5878</v>
      </c>
      <c r="I51" t="s">
        <v>90</v>
      </c>
      <c r="J51" t="s">
        <v>5738</v>
      </c>
    </row>
    <row r="52" spans="1:10" ht="15" customHeight="1" x14ac:dyDescent="0.25">
      <c r="A52" t="s">
        <v>5881</v>
      </c>
      <c r="B52" t="s">
        <v>3517</v>
      </c>
      <c r="C52" t="s">
        <v>5363</v>
      </c>
      <c r="D52">
        <v>0</v>
      </c>
      <c r="E52" t="s">
        <v>5882</v>
      </c>
      <c r="F52" t="s">
        <v>5883</v>
      </c>
      <c r="G52">
        <v>0</v>
      </c>
      <c r="H52" t="s">
        <v>5881</v>
      </c>
      <c r="I52" t="s">
        <v>90</v>
      </c>
      <c r="J52" t="s">
        <v>5884</v>
      </c>
    </row>
    <row r="53" spans="1:10" ht="15" customHeight="1" x14ac:dyDescent="0.25">
      <c r="A53" t="s">
        <v>5182</v>
      </c>
      <c r="B53" t="s">
        <v>3505</v>
      </c>
      <c r="C53" t="s">
        <v>5363</v>
      </c>
      <c r="D53">
        <v>2</v>
      </c>
      <c r="E53" t="s">
        <v>5885</v>
      </c>
      <c r="F53" t="s">
        <v>5886</v>
      </c>
      <c r="G53">
        <v>2</v>
      </c>
      <c r="H53" t="s">
        <v>5184</v>
      </c>
      <c r="I53" t="s">
        <v>90</v>
      </c>
      <c r="J53" t="s">
        <v>5887</v>
      </c>
    </row>
    <row r="54" spans="1:10" ht="15" customHeight="1" x14ac:dyDescent="0.25">
      <c r="A54" t="s">
        <v>5888</v>
      </c>
      <c r="B54" t="s">
        <v>3505</v>
      </c>
      <c r="C54" t="s">
        <v>4600</v>
      </c>
      <c r="D54">
        <v>3</v>
      </c>
      <c r="E54" t="s">
        <v>5889</v>
      </c>
      <c r="F54" t="s">
        <v>5889</v>
      </c>
      <c r="G54">
        <v>2</v>
      </c>
      <c r="H54" t="s">
        <v>5888</v>
      </c>
      <c r="I54" t="s">
        <v>90</v>
      </c>
      <c r="J54" t="s">
        <v>5775</v>
      </c>
    </row>
    <row r="55" spans="1:10" ht="15" customHeight="1" x14ac:dyDescent="0.25">
      <c r="A55" t="s">
        <v>5890</v>
      </c>
      <c r="B55" t="s">
        <v>3517</v>
      </c>
      <c r="C55" t="s">
        <v>5363</v>
      </c>
      <c r="D55">
        <v>2</v>
      </c>
      <c r="E55" t="s">
        <v>5891</v>
      </c>
      <c r="F55" t="s">
        <v>5892</v>
      </c>
      <c r="G55">
        <v>2</v>
      </c>
      <c r="H55" t="s">
        <v>5893</v>
      </c>
      <c r="I55" t="s">
        <v>90</v>
      </c>
      <c r="J55" t="s">
        <v>5887</v>
      </c>
    </row>
    <row r="56" spans="1:10" ht="15" customHeight="1" x14ac:dyDescent="0.25">
      <c r="A56" t="s">
        <v>5894</v>
      </c>
      <c r="B56" t="s">
        <v>3505</v>
      </c>
      <c r="C56" t="s">
        <v>5444</v>
      </c>
      <c r="D56">
        <v>1</v>
      </c>
      <c r="E56" t="s">
        <v>5874</v>
      </c>
      <c r="F56" t="s">
        <v>5875</v>
      </c>
      <c r="G56">
        <v>1</v>
      </c>
      <c r="H56" t="s">
        <v>5894</v>
      </c>
      <c r="I56" t="s">
        <v>5876</v>
      </c>
      <c r="J56" t="s">
        <v>5877</v>
      </c>
    </row>
    <row r="57" spans="1:10" ht="15" customHeight="1" x14ac:dyDescent="0.25">
      <c r="A57" t="s">
        <v>5895</v>
      </c>
      <c r="B57" t="s">
        <v>41</v>
      </c>
      <c r="C57" t="s">
        <v>5725</v>
      </c>
      <c r="D57">
        <v>1</v>
      </c>
      <c r="E57" t="s">
        <v>5896</v>
      </c>
      <c r="F57" t="s">
        <v>5897</v>
      </c>
      <c r="G57">
        <v>1</v>
      </c>
      <c r="H57" t="s">
        <v>5898</v>
      </c>
      <c r="I57" t="s">
        <v>90</v>
      </c>
      <c r="J57" t="s">
        <v>5899</v>
      </c>
    </row>
    <row r="58" spans="1:10" ht="15" customHeight="1" x14ac:dyDescent="0.25">
      <c r="A58" t="s">
        <v>5900</v>
      </c>
      <c r="B58" t="s">
        <v>41</v>
      </c>
      <c r="C58" t="s">
        <v>5725</v>
      </c>
      <c r="D58">
        <v>1</v>
      </c>
      <c r="E58" t="s">
        <v>5901</v>
      </c>
      <c r="F58" t="s">
        <v>5902</v>
      </c>
      <c r="G58">
        <v>1</v>
      </c>
      <c r="H58" t="s">
        <v>5903</v>
      </c>
      <c r="I58" t="s">
        <v>90</v>
      </c>
      <c r="J58" t="s">
        <v>5904</v>
      </c>
    </row>
    <row r="59" spans="1:10" ht="15" customHeight="1" x14ac:dyDescent="0.25">
      <c r="A59" t="s">
        <v>5905</v>
      </c>
      <c r="B59" t="s">
        <v>3517</v>
      </c>
      <c r="C59" t="s">
        <v>4600</v>
      </c>
      <c r="D59">
        <v>2</v>
      </c>
      <c r="E59" t="s">
        <v>5906</v>
      </c>
      <c r="F59" t="s">
        <v>5906</v>
      </c>
      <c r="G59">
        <v>1</v>
      </c>
      <c r="H59" t="s">
        <v>5907</v>
      </c>
      <c r="I59" t="s">
        <v>90</v>
      </c>
      <c r="J59" t="s">
        <v>5833</v>
      </c>
    </row>
    <row r="60" spans="1:10" ht="15" customHeight="1" x14ac:dyDescent="0.25">
      <c r="A60" t="s">
        <v>3447</v>
      </c>
      <c r="B60" t="s">
        <v>3517</v>
      </c>
      <c r="C60" t="s">
        <v>5725</v>
      </c>
      <c r="D60">
        <v>2</v>
      </c>
      <c r="E60" t="s">
        <v>5908</v>
      </c>
      <c r="F60" t="s">
        <v>5909</v>
      </c>
      <c r="G60">
        <v>2</v>
      </c>
      <c r="H60" t="s">
        <v>3447</v>
      </c>
      <c r="I60" t="s">
        <v>90</v>
      </c>
      <c r="J60" t="s">
        <v>5910</v>
      </c>
    </row>
    <row r="61" spans="1:10" ht="15" customHeight="1" x14ac:dyDescent="0.25">
      <c r="A61" t="s">
        <v>5911</v>
      </c>
      <c r="B61" t="s">
        <v>4300</v>
      </c>
      <c r="C61" t="s">
        <v>3659</v>
      </c>
      <c r="D61" t="s">
        <v>4000</v>
      </c>
      <c r="E61" t="s">
        <v>5912</v>
      </c>
      <c r="F61" t="s">
        <v>3461</v>
      </c>
      <c r="G61" t="s">
        <v>4000</v>
      </c>
      <c r="H61" t="s">
        <v>5911</v>
      </c>
      <c r="I61" t="s">
        <v>90</v>
      </c>
    </row>
    <row r="62" spans="1:10" ht="15" customHeight="1" x14ac:dyDescent="0.25">
      <c r="A62" t="s">
        <v>5913</v>
      </c>
      <c r="B62" t="s">
        <v>41</v>
      </c>
      <c r="C62" t="s">
        <v>5363</v>
      </c>
      <c r="D62">
        <v>1</v>
      </c>
      <c r="E62" t="s">
        <v>5914</v>
      </c>
      <c r="F62" t="s">
        <v>5915</v>
      </c>
      <c r="G62">
        <v>1</v>
      </c>
      <c r="H62" t="s">
        <v>5916</v>
      </c>
      <c r="I62" t="s">
        <v>90</v>
      </c>
      <c r="J62" t="s">
        <v>5816</v>
      </c>
    </row>
    <row r="63" spans="1:10" ht="15" customHeight="1" x14ac:dyDescent="0.25">
      <c r="A63" t="s">
        <v>4262</v>
      </c>
      <c r="B63" t="s">
        <v>4300</v>
      </c>
      <c r="C63" t="s">
        <v>4248</v>
      </c>
      <c r="D63" t="s">
        <v>4000</v>
      </c>
      <c r="E63" t="s">
        <v>5917</v>
      </c>
      <c r="F63" t="s">
        <v>3461</v>
      </c>
      <c r="G63" t="s">
        <v>3461</v>
      </c>
      <c r="H63" t="s">
        <v>4262</v>
      </c>
      <c r="I63" t="s">
        <v>90</v>
      </c>
      <c r="J63" t="s">
        <v>5873</v>
      </c>
    </row>
    <row r="64" spans="1:10" ht="15" customHeight="1" x14ac:dyDescent="0.25">
      <c r="A64" t="s">
        <v>5918</v>
      </c>
      <c r="B64" t="s">
        <v>3549</v>
      </c>
      <c r="C64" t="s">
        <v>5363</v>
      </c>
      <c r="D64">
        <v>1</v>
      </c>
      <c r="E64" t="s">
        <v>5919</v>
      </c>
      <c r="F64" t="s">
        <v>5920</v>
      </c>
      <c r="G64">
        <v>1</v>
      </c>
      <c r="H64" t="s">
        <v>3461</v>
      </c>
      <c r="I64" t="s">
        <v>3461</v>
      </c>
    </row>
    <row r="65" spans="1:10" ht="15" customHeight="1" x14ac:dyDescent="0.25">
      <c r="A65" t="s">
        <v>5921</v>
      </c>
      <c r="B65" t="s">
        <v>41</v>
      </c>
      <c r="C65" t="s">
        <v>5444</v>
      </c>
      <c r="D65">
        <v>1</v>
      </c>
      <c r="E65" t="s">
        <v>5874</v>
      </c>
      <c r="F65" t="s">
        <v>5875</v>
      </c>
      <c r="G65">
        <v>1</v>
      </c>
      <c r="H65" t="s">
        <v>5921</v>
      </c>
      <c r="I65" t="s">
        <v>5876</v>
      </c>
      <c r="J65" t="s">
        <v>5922</v>
      </c>
    </row>
    <row r="66" spans="1:10" ht="15" customHeight="1" x14ac:dyDescent="0.25">
      <c r="A66" t="s">
        <v>5923</v>
      </c>
      <c r="B66" t="s">
        <v>41</v>
      </c>
      <c r="C66" t="s">
        <v>5363</v>
      </c>
      <c r="D66">
        <v>0</v>
      </c>
      <c r="E66" t="s">
        <v>5924</v>
      </c>
      <c r="F66" t="s">
        <v>5925</v>
      </c>
      <c r="G66">
        <v>0</v>
      </c>
      <c r="H66" t="s">
        <v>5923</v>
      </c>
      <c r="I66" t="s">
        <v>90</v>
      </c>
      <c r="J66" t="s">
        <v>5720</v>
      </c>
    </row>
    <row r="67" spans="1:10" ht="15" customHeight="1" x14ac:dyDescent="0.25">
      <c r="A67" t="s">
        <v>5926</v>
      </c>
      <c r="B67" t="s">
        <v>3505</v>
      </c>
      <c r="C67" t="s">
        <v>4600</v>
      </c>
      <c r="D67">
        <v>3</v>
      </c>
      <c r="E67" t="s">
        <v>5927</v>
      </c>
      <c r="F67" t="s">
        <v>5928</v>
      </c>
      <c r="G67">
        <v>3</v>
      </c>
      <c r="H67" t="s">
        <v>5929</v>
      </c>
      <c r="I67" t="s">
        <v>90</v>
      </c>
      <c r="J67" t="s">
        <v>5930</v>
      </c>
    </row>
    <row r="68" spans="1:10" ht="15" customHeight="1" x14ac:dyDescent="0.25">
      <c r="A68" t="s">
        <v>4585</v>
      </c>
      <c r="B68" t="s">
        <v>3517</v>
      </c>
      <c r="C68" t="s">
        <v>5725</v>
      </c>
      <c r="D68">
        <v>0</v>
      </c>
      <c r="E68" t="s">
        <v>5931</v>
      </c>
      <c r="F68" t="s">
        <v>5931</v>
      </c>
      <c r="G68">
        <v>1</v>
      </c>
      <c r="H68" t="s">
        <v>4585</v>
      </c>
      <c r="I68" t="s">
        <v>1621</v>
      </c>
      <c r="J68" t="s">
        <v>5758</v>
      </c>
    </row>
    <row r="69" spans="1:10" ht="15" customHeight="1" x14ac:dyDescent="0.25">
      <c r="A69" t="s">
        <v>5932</v>
      </c>
      <c r="B69" t="s">
        <v>3505</v>
      </c>
      <c r="C69" t="s">
        <v>5725</v>
      </c>
      <c r="D69">
        <v>1</v>
      </c>
      <c r="E69" t="s">
        <v>5933</v>
      </c>
      <c r="F69" t="s">
        <v>5934</v>
      </c>
      <c r="G69">
        <v>1</v>
      </c>
      <c r="H69" t="s">
        <v>5935</v>
      </c>
      <c r="I69" t="s">
        <v>90</v>
      </c>
      <c r="J69" t="s">
        <v>5936</v>
      </c>
    </row>
    <row r="70" spans="1:10" ht="15" customHeight="1" x14ac:dyDescent="0.25">
      <c r="A70" t="s">
        <v>5937</v>
      </c>
      <c r="B70" t="s">
        <v>3517</v>
      </c>
      <c r="C70" t="s">
        <v>5363</v>
      </c>
      <c r="D70">
        <v>1</v>
      </c>
      <c r="E70" t="s">
        <v>5938</v>
      </c>
      <c r="F70" t="s">
        <v>5939</v>
      </c>
      <c r="G70">
        <v>1</v>
      </c>
      <c r="H70" t="s">
        <v>5937</v>
      </c>
      <c r="I70" t="s">
        <v>90</v>
      </c>
      <c r="J70" t="s">
        <v>5940</v>
      </c>
    </row>
    <row r="71" spans="1:10" ht="15" customHeight="1" x14ac:dyDescent="0.25">
      <c r="A71" t="s">
        <v>5941</v>
      </c>
      <c r="B71" t="s">
        <v>3517</v>
      </c>
      <c r="C71" t="s">
        <v>5363</v>
      </c>
      <c r="D71">
        <v>1</v>
      </c>
      <c r="E71" t="s">
        <v>5942</v>
      </c>
      <c r="F71" t="s">
        <v>5942</v>
      </c>
      <c r="G71">
        <v>0</v>
      </c>
      <c r="H71" t="s">
        <v>5941</v>
      </c>
      <c r="I71" t="s">
        <v>90</v>
      </c>
      <c r="J71" t="s">
        <v>5943</v>
      </c>
    </row>
    <row r="72" spans="1:10" ht="15" customHeight="1" x14ac:dyDescent="0.25">
      <c r="A72" t="s">
        <v>5944</v>
      </c>
      <c r="B72" t="s">
        <v>41</v>
      </c>
      <c r="C72" t="s">
        <v>5363</v>
      </c>
      <c r="D72">
        <v>1</v>
      </c>
      <c r="E72" t="s">
        <v>5945</v>
      </c>
      <c r="F72" t="s">
        <v>5946</v>
      </c>
      <c r="G72">
        <v>1</v>
      </c>
      <c r="H72" t="s">
        <v>5947</v>
      </c>
      <c r="I72" t="s">
        <v>90</v>
      </c>
      <c r="J72" t="s">
        <v>5720</v>
      </c>
    </row>
    <row r="73" spans="1:10" ht="15" customHeight="1" x14ac:dyDescent="0.25">
      <c r="A73" t="s">
        <v>5948</v>
      </c>
      <c r="B73" t="s">
        <v>3505</v>
      </c>
      <c r="C73" t="s">
        <v>5363</v>
      </c>
      <c r="D73" t="s">
        <v>5949</v>
      </c>
      <c r="E73" t="s">
        <v>5950</v>
      </c>
      <c r="F73" t="s">
        <v>5951</v>
      </c>
      <c r="G73" t="s">
        <v>5949</v>
      </c>
      <c r="H73" t="s">
        <v>5948</v>
      </c>
      <c r="I73" t="s">
        <v>90</v>
      </c>
      <c r="J73" t="s">
        <v>5952</v>
      </c>
    </row>
    <row r="74" spans="1:10" ht="15" customHeight="1" x14ac:dyDescent="0.25">
      <c r="A74" t="s">
        <v>5367</v>
      </c>
      <c r="B74" t="s">
        <v>3505</v>
      </c>
      <c r="C74" t="s">
        <v>5363</v>
      </c>
      <c r="D74">
        <v>1</v>
      </c>
      <c r="E74" t="s">
        <v>5953</v>
      </c>
      <c r="F74" t="s">
        <v>5954</v>
      </c>
      <c r="G74">
        <v>1</v>
      </c>
      <c r="H74" t="s">
        <v>5369</v>
      </c>
      <c r="I74" t="s">
        <v>90</v>
      </c>
      <c r="J74" t="s">
        <v>5955</v>
      </c>
    </row>
    <row r="75" spans="1:10" ht="15" customHeight="1" x14ac:dyDescent="0.25">
      <c r="A75" t="s">
        <v>5956</v>
      </c>
      <c r="B75" t="s">
        <v>4300</v>
      </c>
      <c r="C75" t="s">
        <v>4248</v>
      </c>
      <c r="D75" t="s">
        <v>4000</v>
      </c>
      <c r="E75" t="s">
        <v>5957</v>
      </c>
      <c r="F75" t="s">
        <v>3461</v>
      </c>
      <c r="G75" t="s">
        <v>3461</v>
      </c>
      <c r="H75" t="s">
        <v>5956</v>
      </c>
      <c r="I75" t="s">
        <v>90</v>
      </c>
      <c r="J75" t="s">
        <v>5873</v>
      </c>
    </row>
    <row r="76" spans="1:10" ht="15" customHeight="1" x14ac:dyDescent="0.25">
      <c r="A76" t="s">
        <v>5958</v>
      </c>
      <c r="B76" t="s">
        <v>3517</v>
      </c>
      <c r="C76" t="s">
        <v>5725</v>
      </c>
      <c r="D76">
        <v>1</v>
      </c>
      <c r="E76" t="s">
        <v>5959</v>
      </c>
      <c r="F76" t="s">
        <v>5960</v>
      </c>
      <c r="G76">
        <v>1</v>
      </c>
      <c r="H76" t="s">
        <v>5958</v>
      </c>
      <c r="I76" t="s">
        <v>90</v>
      </c>
      <c r="J76" t="s">
        <v>5961</v>
      </c>
    </row>
    <row r="77" spans="1:10" ht="15" customHeight="1" x14ac:dyDescent="0.25">
      <c r="A77" t="s">
        <v>5962</v>
      </c>
      <c r="B77" t="s">
        <v>3517</v>
      </c>
      <c r="C77" t="s">
        <v>5444</v>
      </c>
      <c r="D77">
        <v>1</v>
      </c>
      <c r="E77" t="s">
        <v>5963</v>
      </c>
      <c r="F77" t="s">
        <v>5964</v>
      </c>
      <c r="G77">
        <v>1</v>
      </c>
      <c r="H77" t="s">
        <v>5962</v>
      </c>
      <c r="I77" t="s">
        <v>5876</v>
      </c>
      <c r="J77" t="s">
        <v>5965</v>
      </c>
    </row>
    <row r="78" spans="1:10" ht="15" customHeight="1" x14ac:dyDescent="0.25">
      <c r="A78" t="s">
        <v>5966</v>
      </c>
      <c r="B78" t="s">
        <v>3517</v>
      </c>
      <c r="C78" t="s">
        <v>5363</v>
      </c>
      <c r="D78">
        <v>1</v>
      </c>
      <c r="E78" t="s">
        <v>5967</v>
      </c>
      <c r="F78" t="s">
        <v>5968</v>
      </c>
      <c r="G78">
        <v>1</v>
      </c>
      <c r="H78" t="s">
        <v>5969</v>
      </c>
      <c r="I78" t="s">
        <v>90</v>
      </c>
      <c r="J78" t="s">
        <v>5766</v>
      </c>
    </row>
    <row r="79" spans="1:10" ht="15" customHeight="1" x14ac:dyDescent="0.25">
      <c r="A79" t="s">
        <v>5970</v>
      </c>
      <c r="B79" t="s">
        <v>3517</v>
      </c>
      <c r="C79" t="s">
        <v>5725</v>
      </c>
      <c r="D79">
        <v>0</v>
      </c>
      <c r="E79" t="s">
        <v>5971</v>
      </c>
      <c r="F79" t="s">
        <v>5972</v>
      </c>
      <c r="G79">
        <v>0</v>
      </c>
      <c r="H79" t="s">
        <v>5973</v>
      </c>
      <c r="I79" t="s">
        <v>90</v>
      </c>
      <c r="J79" t="s">
        <v>5780</v>
      </c>
    </row>
    <row r="80" spans="1:10" ht="15" customHeight="1" x14ac:dyDescent="0.25">
      <c r="A80" t="s">
        <v>5974</v>
      </c>
      <c r="B80" t="s">
        <v>3517</v>
      </c>
      <c r="C80" t="s">
        <v>5363</v>
      </c>
      <c r="D80">
        <v>2</v>
      </c>
      <c r="E80" t="s">
        <v>5975</v>
      </c>
      <c r="F80" t="s">
        <v>5975</v>
      </c>
      <c r="G80">
        <v>1</v>
      </c>
      <c r="H80" t="s">
        <v>5974</v>
      </c>
      <c r="I80" t="s">
        <v>90</v>
      </c>
      <c r="J80" t="s">
        <v>5742</v>
      </c>
    </row>
    <row r="81" spans="1:10" ht="15" customHeight="1" x14ac:dyDescent="0.25">
      <c r="A81" t="s">
        <v>5199</v>
      </c>
      <c r="B81" t="s">
        <v>3505</v>
      </c>
      <c r="C81" t="s">
        <v>4600</v>
      </c>
      <c r="D81">
        <v>2</v>
      </c>
      <c r="E81" t="s">
        <v>5976</v>
      </c>
      <c r="F81" t="s">
        <v>5976</v>
      </c>
      <c r="G81">
        <v>1</v>
      </c>
      <c r="H81" t="s">
        <v>5199</v>
      </c>
      <c r="I81" t="s">
        <v>90</v>
      </c>
      <c r="J81" t="s">
        <v>5852</v>
      </c>
    </row>
    <row r="82" spans="1:10" ht="15" customHeight="1" x14ac:dyDescent="0.25">
      <c r="A82" t="s">
        <v>5977</v>
      </c>
      <c r="B82" t="s">
        <v>3517</v>
      </c>
      <c r="C82" t="s">
        <v>5363</v>
      </c>
      <c r="D82">
        <v>0</v>
      </c>
      <c r="E82" t="s">
        <v>5978</v>
      </c>
      <c r="F82" t="s">
        <v>5979</v>
      </c>
      <c r="G82">
        <v>0</v>
      </c>
      <c r="H82" t="s">
        <v>5980</v>
      </c>
      <c r="I82" t="s">
        <v>90</v>
      </c>
      <c r="J82" t="s">
        <v>5981</v>
      </c>
    </row>
    <row r="83" spans="1:10" ht="15" customHeight="1" x14ac:dyDescent="0.25">
      <c r="A83" t="s">
        <v>5982</v>
      </c>
      <c r="B83" t="s">
        <v>3517</v>
      </c>
      <c r="C83" t="s">
        <v>5725</v>
      </c>
      <c r="D83">
        <v>3</v>
      </c>
      <c r="E83" t="s">
        <v>5983</v>
      </c>
      <c r="F83" t="s">
        <v>5984</v>
      </c>
      <c r="G83">
        <v>3</v>
      </c>
      <c r="H83" t="s">
        <v>5982</v>
      </c>
      <c r="I83" t="s">
        <v>90</v>
      </c>
      <c r="J83" t="s">
        <v>5985</v>
      </c>
    </row>
    <row r="84" spans="1:10" ht="15" customHeight="1" x14ac:dyDescent="0.25">
      <c r="A84" t="s">
        <v>5201</v>
      </c>
      <c r="B84" t="s">
        <v>3517</v>
      </c>
      <c r="C84" t="s">
        <v>4600</v>
      </c>
      <c r="D84">
        <v>1</v>
      </c>
      <c r="E84" t="s">
        <v>5986</v>
      </c>
      <c r="F84" t="s">
        <v>5987</v>
      </c>
      <c r="G84">
        <v>1</v>
      </c>
      <c r="H84" t="s">
        <v>5201</v>
      </c>
      <c r="I84" t="s">
        <v>90</v>
      </c>
      <c r="J84" t="s">
        <v>5988</v>
      </c>
    </row>
    <row r="85" spans="1:10" ht="15" customHeight="1" x14ac:dyDescent="0.25">
      <c r="A85" t="s">
        <v>5989</v>
      </c>
      <c r="B85" t="s">
        <v>3505</v>
      </c>
      <c r="C85" t="s">
        <v>5363</v>
      </c>
      <c r="D85">
        <v>1</v>
      </c>
      <c r="E85" t="s">
        <v>5990</v>
      </c>
      <c r="F85" t="s">
        <v>5990</v>
      </c>
      <c r="G85">
        <v>0</v>
      </c>
      <c r="H85" t="s">
        <v>5989</v>
      </c>
      <c r="I85" t="s">
        <v>90</v>
      </c>
      <c r="J85" t="s">
        <v>5991</v>
      </c>
    </row>
    <row r="86" spans="1:10" ht="15" customHeight="1" x14ac:dyDescent="0.25">
      <c r="A86" t="s">
        <v>5992</v>
      </c>
      <c r="B86" t="s">
        <v>3517</v>
      </c>
      <c r="C86" t="s">
        <v>5363</v>
      </c>
      <c r="D86">
        <v>1</v>
      </c>
      <c r="E86" t="s">
        <v>5993</v>
      </c>
      <c r="F86" t="s">
        <v>5994</v>
      </c>
      <c r="G86">
        <v>1</v>
      </c>
      <c r="H86" t="s">
        <v>5992</v>
      </c>
      <c r="I86" t="s">
        <v>90</v>
      </c>
      <c r="J86" t="s">
        <v>5995</v>
      </c>
    </row>
    <row r="87" spans="1:10" ht="15" customHeight="1" x14ac:dyDescent="0.25">
      <c r="A87" t="s">
        <v>5996</v>
      </c>
      <c r="B87" t="s">
        <v>3505</v>
      </c>
      <c r="C87" t="s">
        <v>5725</v>
      </c>
      <c r="D87">
        <v>1</v>
      </c>
      <c r="E87" t="s">
        <v>5997</v>
      </c>
      <c r="F87" t="s">
        <v>5998</v>
      </c>
      <c r="G87">
        <v>1</v>
      </c>
      <c r="H87" t="s">
        <v>5996</v>
      </c>
      <c r="I87" t="s">
        <v>90</v>
      </c>
      <c r="J87" t="s">
        <v>5999</v>
      </c>
    </row>
    <row r="88" spans="1:10" ht="15" customHeight="1" x14ac:dyDescent="0.25">
      <c r="A88" t="s">
        <v>5209</v>
      </c>
      <c r="B88" t="s">
        <v>3517</v>
      </c>
      <c r="C88" t="s">
        <v>4600</v>
      </c>
      <c r="D88">
        <v>1</v>
      </c>
      <c r="E88" t="s">
        <v>6000</v>
      </c>
      <c r="F88" t="s">
        <v>6001</v>
      </c>
      <c r="G88">
        <v>1</v>
      </c>
      <c r="H88" t="s">
        <v>5211</v>
      </c>
      <c r="I88" t="s">
        <v>90</v>
      </c>
      <c r="J88" t="s">
        <v>6002</v>
      </c>
    </row>
    <row r="89" spans="1:10" ht="15" customHeight="1" x14ac:dyDescent="0.25">
      <c r="A89" t="s">
        <v>6003</v>
      </c>
      <c r="B89" t="s">
        <v>3505</v>
      </c>
      <c r="C89" t="s">
        <v>5725</v>
      </c>
      <c r="D89">
        <v>2</v>
      </c>
      <c r="E89" t="s">
        <v>6004</v>
      </c>
      <c r="F89" t="s">
        <v>6005</v>
      </c>
      <c r="G89">
        <v>2</v>
      </c>
      <c r="H89" t="s">
        <v>6006</v>
      </c>
      <c r="I89" t="s">
        <v>90</v>
      </c>
      <c r="J89" t="s">
        <v>6007</v>
      </c>
    </row>
    <row r="90" spans="1:10" ht="15" customHeight="1" x14ac:dyDescent="0.25">
      <c r="A90" t="s">
        <v>6008</v>
      </c>
      <c r="B90" t="s">
        <v>41</v>
      </c>
      <c r="C90" t="s">
        <v>5444</v>
      </c>
      <c r="D90">
        <v>1</v>
      </c>
      <c r="E90" t="s">
        <v>5874</v>
      </c>
      <c r="F90" t="s">
        <v>5875</v>
      </c>
      <c r="G90">
        <v>1</v>
      </c>
      <c r="H90" t="s">
        <v>6008</v>
      </c>
      <c r="I90" t="s">
        <v>2361</v>
      </c>
      <c r="J90" t="s">
        <v>6009</v>
      </c>
    </row>
    <row r="91" spans="1:10" ht="15" customHeight="1" x14ac:dyDescent="0.25">
      <c r="A91" t="s">
        <v>6010</v>
      </c>
      <c r="B91" t="s">
        <v>3517</v>
      </c>
      <c r="C91" t="s">
        <v>5725</v>
      </c>
      <c r="D91">
        <v>1</v>
      </c>
      <c r="E91" t="s">
        <v>6011</v>
      </c>
      <c r="F91" t="s">
        <v>6012</v>
      </c>
      <c r="G91">
        <v>1</v>
      </c>
      <c r="H91" t="s">
        <v>6010</v>
      </c>
      <c r="I91" t="s">
        <v>90</v>
      </c>
      <c r="J91" t="s">
        <v>5780</v>
      </c>
    </row>
    <row r="92" spans="1:10" ht="15" customHeight="1" x14ac:dyDescent="0.25">
      <c r="A92" t="s">
        <v>5212</v>
      </c>
      <c r="B92" t="s">
        <v>3517</v>
      </c>
      <c r="C92" t="s">
        <v>4600</v>
      </c>
      <c r="D92">
        <v>1</v>
      </c>
      <c r="E92" t="s">
        <v>6013</v>
      </c>
      <c r="F92" t="s">
        <v>6014</v>
      </c>
      <c r="G92">
        <v>1</v>
      </c>
      <c r="H92" t="s">
        <v>5214</v>
      </c>
      <c r="I92" t="s">
        <v>90</v>
      </c>
      <c r="J92" t="s">
        <v>6015</v>
      </c>
    </row>
    <row r="93" spans="1:10" ht="15" customHeight="1" x14ac:dyDescent="0.25">
      <c r="A93" t="s">
        <v>5215</v>
      </c>
      <c r="B93" t="s">
        <v>3517</v>
      </c>
      <c r="C93" t="s">
        <v>5363</v>
      </c>
      <c r="D93">
        <v>2</v>
      </c>
      <c r="E93" t="s">
        <v>6016</v>
      </c>
      <c r="F93" t="s">
        <v>6017</v>
      </c>
      <c r="G93">
        <v>2</v>
      </c>
      <c r="H93" t="s">
        <v>5217</v>
      </c>
      <c r="I93" t="s">
        <v>90</v>
      </c>
      <c r="J93" t="s">
        <v>5742</v>
      </c>
    </row>
    <row r="94" spans="1:10" ht="15" customHeight="1" x14ac:dyDescent="0.25">
      <c r="A94" t="s">
        <v>6018</v>
      </c>
      <c r="B94" t="s">
        <v>3517</v>
      </c>
      <c r="C94" t="s">
        <v>5725</v>
      </c>
      <c r="D94">
        <v>1</v>
      </c>
      <c r="E94" t="s">
        <v>6019</v>
      </c>
      <c r="F94" t="s">
        <v>6020</v>
      </c>
      <c r="G94">
        <v>1</v>
      </c>
      <c r="H94" t="s">
        <v>6018</v>
      </c>
      <c r="I94" t="s">
        <v>90</v>
      </c>
      <c r="J94" t="s">
        <v>5780</v>
      </c>
    </row>
    <row r="95" spans="1:10" ht="15" customHeight="1" x14ac:dyDescent="0.25">
      <c r="A95" t="s">
        <v>6021</v>
      </c>
      <c r="B95" t="s">
        <v>41</v>
      </c>
      <c r="C95" t="s">
        <v>5363</v>
      </c>
      <c r="D95">
        <v>0</v>
      </c>
      <c r="E95" t="s">
        <v>6022</v>
      </c>
      <c r="F95" t="s">
        <v>6023</v>
      </c>
      <c r="G95">
        <v>0</v>
      </c>
      <c r="H95" t="s">
        <v>6021</v>
      </c>
      <c r="I95" t="s">
        <v>90</v>
      </c>
      <c r="J95" t="s">
        <v>5738</v>
      </c>
    </row>
    <row r="96" spans="1:10" ht="15" customHeight="1" x14ac:dyDescent="0.25">
      <c r="A96" t="s">
        <v>6024</v>
      </c>
      <c r="B96" t="s">
        <v>41</v>
      </c>
      <c r="C96" t="s">
        <v>5725</v>
      </c>
      <c r="D96">
        <v>1</v>
      </c>
      <c r="E96" t="s">
        <v>6025</v>
      </c>
      <c r="F96" t="s">
        <v>6026</v>
      </c>
      <c r="G96">
        <v>1</v>
      </c>
      <c r="H96" t="s">
        <v>6027</v>
      </c>
      <c r="I96" t="s">
        <v>90</v>
      </c>
      <c r="J96" t="s">
        <v>6028</v>
      </c>
    </row>
    <row r="97" spans="1:10" ht="15" customHeight="1" x14ac:dyDescent="0.25">
      <c r="A97" t="s">
        <v>6029</v>
      </c>
      <c r="B97" t="s">
        <v>3517</v>
      </c>
      <c r="C97" t="s">
        <v>4600</v>
      </c>
      <c r="D97">
        <v>1</v>
      </c>
      <c r="E97" t="s">
        <v>5668</v>
      </c>
      <c r="F97" t="s">
        <v>6030</v>
      </c>
      <c r="G97">
        <v>1</v>
      </c>
      <c r="H97" t="s">
        <v>6029</v>
      </c>
      <c r="I97" t="s">
        <v>90</v>
      </c>
      <c r="J97" t="s">
        <v>5720</v>
      </c>
    </row>
    <row r="98" spans="1:10" ht="15" customHeight="1" x14ac:dyDescent="0.25">
      <c r="A98" t="s">
        <v>6031</v>
      </c>
      <c r="B98" t="s">
        <v>3517</v>
      </c>
      <c r="C98" t="s">
        <v>5444</v>
      </c>
      <c r="D98">
        <v>1</v>
      </c>
      <c r="E98" t="s">
        <v>5874</v>
      </c>
      <c r="F98" t="s">
        <v>5875</v>
      </c>
      <c r="G98">
        <v>1</v>
      </c>
      <c r="H98" t="s">
        <v>6031</v>
      </c>
      <c r="I98" t="s">
        <v>2361</v>
      </c>
      <c r="J98" t="s">
        <v>5877</v>
      </c>
    </row>
    <row r="99" spans="1:10" ht="15" customHeight="1" x14ac:dyDescent="0.25">
      <c r="A99" t="s">
        <v>6032</v>
      </c>
      <c r="B99" t="s">
        <v>3517</v>
      </c>
      <c r="C99" t="s">
        <v>5363</v>
      </c>
      <c r="D99">
        <v>1</v>
      </c>
      <c r="E99" t="s">
        <v>6033</v>
      </c>
      <c r="F99" t="s">
        <v>6034</v>
      </c>
      <c r="G99">
        <v>1</v>
      </c>
      <c r="H99" t="s">
        <v>6035</v>
      </c>
      <c r="I99" t="s">
        <v>90</v>
      </c>
      <c r="J99" t="s">
        <v>5742</v>
      </c>
    </row>
    <row r="100" spans="1:10" ht="15" customHeight="1" x14ac:dyDescent="0.25">
      <c r="A100" t="s">
        <v>6036</v>
      </c>
      <c r="B100" t="s">
        <v>3517</v>
      </c>
      <c r="C100" t="s">
        <v>5444</v>
      </c>
      <c r="D100">
        <v>1</v>
      </c>
      <c r="E100" t="s">
        <v>5874</v>
      </c>
      <c r="F100" t="s">
        <v>5875</v>
      </c>
      <c r="G100">
        <v>1</v>
      </c>
      <c r="H100" t="s">
        <v>6036</v>
      </c>
      <c r="I100" t="s">
        <v>2361</v>
      </c>
      <c r="J100" t="s">
        <v>6009</v>
      </c>
    </row>
    <row r="101" spans="1:10" ht="15" customHeight="1" x14ac:dyDescent="0.25">
      <c r="A101" t="s">
        <v>6037</v>
      </c>
      <c r="B101" t="s">
        <v>3505</v>
      </c>
      <c r="C101" t="s">
        <v>5725</v>
      </c>
      <c r="D101">
        <v>1</v>
      </c>
      <c r="E101" t="s">
        <v>6038</v>
      </c>
      <c r="F101" t="s">
        <v>6039</v>
      </c>
      <c r="G101">
        <v>1</v>
      </c>
      <c r="H101" t="s">
        <v>6040</v>
      </c>
      <c r="I101" t="s">
        <v>90</v>
      </c>
      <c r="J101" t="s">
        <v>5780</v>
      </c>
    </row>
    <row r="102" spans="1:10" ht="15" customHeight="1" x14ac:dyDescent="0.25">
      <c r="A102" t="s">
        <v>6041</v>
      </c>
      <c r="B102" t="s">
        <v>41</v>
      </c>
      <c r="C102" t="s">
        <v>5725</v>
      </c>
      <c r="D102">
        <v>0</v>
      </c>
      <c r="E102" t="s">
        <v>6042</v>
      </c>
      <c r="F102" t="s">
        <v>6043</v>
      </c>
      <c r="G102">
        <v>0</v>
      </c>
      <c r="H102" t="s">
        <v>6044</v>
      </c>
      <c r="I102" t="s">
        <v>90</v>
      </c>
      <c r="J102" t="s">
        <v>5771</v>
      </c>
    </row>
    <row r="103" spans="1:10" ht="15" customHeight="1" x14ac:dyDescent="0.25">
      <c r="A103" t="s">
        <v>6045</v>
      </c>
      <c r="B103" t="s">
        <v>3505</v>
      </c>
      <c r="C103" t="s">
        <v>5725</v>
      </c>
      <c r="D103">
        <v>0</v>
      </c>
      <c r="E103" t="s">
        <v>6046</v>
      </c>
      <c r="F103" t="s">
        <v>6047</v>
      </c>
      <c r="G103">
        <v>0</v>
      </c>
      <c r="H103" t="s">
        <v>6048</v>
      </c>
      <c r="I103" t="s">
        <v>90</v>
      </c>
      <c r="J103" t="s">
        <v>5780</v>
      </c>
    </row>
    <row r="104" spans="1:10" ht="15" customHeight="1" x14ac:dyDescent="0.25">
      <c r="A104" t="s">
        <v>5135</v>
      </c>
      <c r="B104" t="s">
        <v>4300</v>
      </c>
      <c r="C104" t="s">
        <v>4248</v>
      </c>
      <c r="D104" t="s">
        <v>4000</v>
      </c>
      <c r="E104" t="s">
        <v>6049</v>
      </c>
      <c r="F104" t="s">
        <v>3461</v>
      </c>
      <c r="G104" t="s">
        <v>3461</v>
      </c>
      <c r="H104" t="s">
        <v>5135</v>
      </c>
      <c r="I104" t="s">
        <v>38</v>
      </c>
      <c r="J104" t="s">
        <v>5873</v>
      </c>
    </row>
    <row r="105" spans="1:10" ht="15" customHeight="1" x14ac:dyDescent="0.25">
      <c r="A105" t="s">
        <v>6050</v>
      </c>
      <c r="B105" t="s">
        <v>41</v>
      </c>
      <c r="C105" t="s">
        <v>5363</v>
      </c>
      <c r="D105">
        <v>1</v>
      </c>
      <c r="E105" t="s">
        <v>6051</v>
      </c>
      <c r="F105" t="s">
        <v>6051</v>
      </c>
      <c r="G105">
        <v>0</v>
      </c>
      <c r="H105" t="s">
        <v>6050</v>
      </c>
      <c r="I105" t="s">
        <v>90</v>
      </c>
      <c r="J105" t="s">
        <v>6007</v>
      </c>
    </row>
    <row r="106" spans="1:10" ht="15" customHeight="1" x14ac:dyDescent="0.25">
      <c r="A106" t="s">
        <v>6052</v>
      </c>
      <c r="B106" t="s">
        <v>41</v>
      </c>
      <c r="C106" t="s">
        <v>5725</v>
      </c>
      <c r="D106">
        <v>1</v>
      </c>
      <c r="E106" t="s">
        <v>6053</v>
      </c>
      <c r="F106" t="s">
        <v>6054</v>
      </c>
      <c r="G106">
        <v>1</v>
      </c>
      <c r="H106" t="s">
        <v>6052</v>
      </c>
      <c r="I106" t="s">
        <v>90</v>
      </c>
      <c r="J106" t="s">
        <v>5738</v>
      </c>
    </row>
    <row r="107" spans="1:10" ht="15" customHeight="1" x14ac:dyDescent="0.25">
      <c r="A107" t="s">
        <v>6055</v>
      </c>
      <c r="B107" t="s">
        <v>41</v>
      </c>
      <c r="C107" t="s">
        <v>5444</v>
      </c>
      <c r="D107">
        <v>1</v>
      </c>
      <c r="E107" t="s">
        <v>6056</v>
      </c>
      <c r="F107" t="s">
        <v>6057</v>
      </c>
      <c r="G107">
        <v>1</v>
      </c>
      <c r="H107" t="s">
        <v>6055</v>
      </c>
      <c r="I107" t="s">
        <v>2361</v>
      </c>
      <c r="J107" t="s">
        <v>5965</v>
      </c>
    </row>
    <row r="108" spans="1:10" ht="15" customHeight="1" x14ac:dyDescent="0.25">
      <c r="A108" t="s">
        <v>6058</v>
      </c>
      <c r="B108" t="s">
        <v>41</v>
      </c>
      <c r="C108" t="s">
        <v>5725</v>
      </c>
      <c r="D108">
        <v>2</v>
      </c>
      <c r="E108" t="s">
        <v>6059</v>
      </c>
      <c r="F108" t="s">
        <v>6060</v>
      </c>
      <c r="G108">
        <v>2</v>
      </c>
      <c r="H108" t="s">
        <v>6061</v>
      </c>
      <c r="I108" t="s">
        <v>90</v>
      </c>
      <c r="J108" t="s">
        <v>6062</v>
      </c>
    </row>
    <row r="109" spans="1:10" ht="15" customHeight="1" x14ac:dyDescent="0.25">
      <c r="A109" t="s">
        <v>6063</v>
      </c>
      <c r="B109" t="s">
        <v>3517</v>
      </c>
      <c r="C109" t="s">
        <v>5725</v>
      </c>
      <c r="D109">
        <v>1</v>
      </c>
      <c r="E109" t="s">
        <v>6064</v>
      </c>
      <c r="F109" t="s">
        <v>6065</v>
      </c>
      <c r="G109">
        <v>1</v>
      </c>
      <c r="H109" t="s">
        <v>6066</v>
      </c>
      <c r="I109" t="s">
        <v>90</v>
      </c>
      <c r="J109" t="s">
        <v>5852</v>
      </c>
    </row>
    <row r="110" spans="1:10" ht="15" customHeight="1" x14ac:dyDescent="0.25">
      <c r="A110" t="s">
        <v>6067</v>
      </c>
      <c r="B110" t="s">
        <v>3517</v>
      </c>
      <c r="C110" t="s">
        <v>5725</v>
      </c>
      <c r="D110">
        <v>1</v>
      </c>
      <c r="E110" t="s">
        <v>6068</v>
      </c>
      <c r="F110" t="s">
        <v>6069</v>
      </c>
      <c r="G110">
        <v>1</v>
      </c>
      <c r="H110" t="s">
        <v>6067</v>
      </c>
      <c r="I110" t="s">
        <v>90</v>
      </c>
      <c r="J110" t="s">
        <v>5738</v>
      </c>
    </row>
    <row r="111" spans="1:10" ht="15" customHeight="1" x14ac:dyDescent="0.25">
      <c r="A111" t="s">
        <v>6070</v>
      </c>
      <c r="B111" t="s">
        <v>41</v>
      </c>
      <c r="C111" t="s">
        <v>5363</v>
      </c>
      <c r="D111">
        <v>1</v>
      </c>
      <c r="E111" t="s">
        <v>6071</v>
      </c>
      <c r="F111" t="s">
        <v>6072</v>
      </c>
      <c r="G111">
        <v>1</v>
      </c>
      <c r="H111" t="s">
        <v>6070</v>
      </c>
      <c r="I111" t="s">
        <v>90</v>
      </c>
      <c r="J111" t="s">
        <v>6073</v>
      </c>
    </row>
    <row r="112" spans="1:10" ht="15" customHeight="1" x14ac:dyDescent="0.25">
      <c r="A112" t="s">
        <v>6074</v>
      </c>
      <c r="B112" t="s">
        <v>3505</v>
      </c>
      <c r="C112" t="s">
        <v>5725</v>
      </c>
      <c r="D112">
        <v>2</v>
      </c>
      <c r="E112" t="s">
        <v>6075</v>
      </c>
      <c r="F112" t="s">
        <v>6076</v>
      </c>
      <c r="G112">
        <v>2</v>
      </c>
      <c r="H112" t="s">
        <v>6074</v>
      </c>
      <c r="I112" t="s">
        <v>90</v>
      </c>
      <c r="J112" t="s">
        <v>5738</v>
      </c>
    </row>
    <row r="113" spans="1:10" ht="15" customHeight="1" x14ac:dyDescent="0.25">
      <c r="A113" t="s">
        <v>6077</v>
      </c>
      <c r="B113" t="s">
        <v>3505</v>
      </c>
      <c r="C113" t="s">
        <v>5363</v>
      </c>
      <c r="D113">
        <v>2</v>
      </c>
      <c r="E113" t="s">
        <v>6078</v>
      </c>
      <c r="F113" t="s">
        <v>6079</v>
      </c>
      <c r="G113">
        <v>2</v>
      </c>
      <c r="H113" t="s">
        <v>6077</v>
      </c>
      <c r="I113" t="s">
        <v>90</v>
      </c>
      <c r="J113" t="s">
        <v>6002</v>
      </c>
    </row>
    <row r="114" spans="1:10" ht="15" customHeight="1" x14ac:dyDescent="0.25">
      <c r="A114" t="s">
        <v>6080</v>
      </c>
      <c r="B114" t="s">
        <v>3517</v>
      </c>
      <c r="C114" t="s">
        <v>5363</v>
      </c>
      <c r="D114">
        <v>1</v>
      </c>
      <c r="E114" t="s">
        <v>6081</v>
      </c>
      <c r="F114" t="s">
        <v>6081</v>
      </c>
      <c r="G114">
        <v>0</v>
      </c>
      <c r="H114" t="s">
        <v>6082</v>
      </c>
      <c r="I114" t="s">
        <v>90</v>
      </c>
      <c r="J114" t="s">
        <v>6083</v>
      </c>
    </row>
    <row r="115" spans="1:10" ht="15" customHeight="1" x14ac:dyDescent="0.25">
      <c r="A115" t="s">
        <v>6084</v>
      </c>
      <c r="B115" t="s">
        <v>3517</v>
      </c>
      <c r="C115" t="s">
        <v>4600</v>
      </c>
      <c r="D115">
        <v>1</v>
      </c>
      <c r="E115" t="s">
        <v>6085</v>
      </c>
      <c r="F115" t="s">
        <v>6086</v>
      </c>
      <c r="G115">
        <v>1</v>
      </c>
      <c r="H115" t="s">
        <v>6087</v>
      </c>
      <c r="I115" t="s">
        <v>90</v>
      </c>
      <c r="J115" t="s">
        <v>5780</v>
      </c>
    </row>
    <row r="116" spans="1:10" ht="15" customHeight="1" x14ac:dyDescent="0.25">
      <c r="A116" t="s">
        <v>6088</v>
      </c>
      <c r="B116" t="s">
        <v>3517</v>
      </c>
      <c r="C116" t="s">
        <v>4600</v>
      </c>
      <c r="D116">
        <v>1</v>
      </c>
      <c r="E116" t="s">
        <v>6089</v>
      </c>
      <c r="F116" t="s">
        <v>6090</v>
      </c>
      <c r="G116">
        <v>1</v>
      </c>
      <c r="H116" t="s">
        <v>6088</v>
      </c>
      <c r="I116" t="s">
        <v>90</v>
      </c>
      <c r="J116" t="s">
        <v>5930</v>
      </c>
    </row>
    <row r="117" spans="1:10" ht="15" customHeight="1" x14ac:dyDescent="0.25">
      <c r="A117" t="s">
        <v>4256</v>
      </c>
      <c r="B117" t="s">
        <v>4300</v>
      </c>
      <c r="C117" t="s">
        <v>4248</v>
      </c>
      <c r="D117" t="s">
        <v>4000</v>
      </c>
      <c r="E117" t="s">
        <v>6091</v>
      </c>
      <c r="F117" t="s">
        <v>3461</v>
      </c>
      <c r="G117" t="s">
        <v>3461</v>
      </c>
      <c r="H117" t="s">
        <v>4256</v>
      </c>
      <c r="I117" t="s">
        <v>90</v>
      </c>
      <c r="J117" t="s">
        <v>5873</v>
      </c>
    </row>
    <row r="118" spans="1:10" ht="15" customHeight="1" x14ac:dyDescent="0.25">
      <c r="A118" t="s">
        <v>6092</v>
      </c>
      <c r="B118" t="s">
        <v>3517</v>
      </c>
      <c r="C118" t="s">
        <v>5363</v>
      </c>
      <c r="D118">
        <v>0</v>
      </c>
      <c r="E118" t="s">
        <v>6093</v>
      </c>
      <c r="F118" t="s">
        <v>6094</v>
      </c>
      <c r="G118">
        <v>0</v>
      </c>
      <c r="H118" t="s">
        <v>6092</v>
      </c>
      <c r="I118" t="s">
        <v>90</v>
      </c>
      <c r="J118" t="s">
        <v>5940</v>
      </c>
    </row>
    <row r="119" spans="1:10" ht="15" customHeight="1" x14ac:dyDescent="0.25">
      <c r="A119" t="s">
        <v>6095</v>
      </c>
      <c r="B119" t="s">
        <v>41</v>
      </c>
      <c r="C119" t="s">
        <v>5725</v>
      </c>
      <c r="D119">
        <v>1</v>
      </c>
      <c r="E119" t="s">
        <v>6096</v>
      </c>
      <c r="F119" t="s">
        <v>6097</v>
      </c>
      <c r="G119">
        <v>1</v>
      </c>
      <c r="H119" t="s">
        <v>6098</v>
      </c>
      <c r="I119" t="s">
        <v>90</v>
      </c>
      <c r="J119" t="s">
        <v>6099</v>
      </c>
    </row>
    <row r="120" spans="1:10" ht="15" customHeight="1" x14ac:dyDescent="0.25">
      <c r="A120" t="s">
        <v>5690</v>
      </c>
      <c r="B120" t="s">
        <v>3549</v>
      </c>
      <c r="C120" t="s">
        <v>5444</v>
      </c>
      <c r="D120">
        <v>1</v>
      </c>
      <c r="E120" s="3" t="s">
        <v>6100</v>
      </c>
      <c r="F120" s="3" t="s">
        <v>6100</v>
      </c>
      <c r="G120" s="3">
        <v>0</v>
      </c>
      <c r="H120" t="s">
        <v>3461</v>
      </c>
      <c r="I120" t="s">
        <v>160</v>
      </c>
    </row>
    <row r="121" spans="1:10" ht="15" customHeight="1" x14ac:dyDescent="0.25">
      <c r="A121" t="s">
        <v>6101</v>
      </c>
      <c r="B121" t="s">
        <v>3517</v>
      </c>
      <c r="C121" t="s">
        <v>5444</v>
      </c>
      <c r="D121">
        <v>1</v>
      </c>
      <c r="E121" t="s">
        <v>6102</v>
      </c>
      <c r="F121" t="s">
        <v>6103</v>
      </c>
      <c r="G121">
        <v>1</v>
      </c>
      <c r="H121" t="s">
        <v>6101</v>
      </c>
      <c r="I121" t="s">
        <v>2361</v>
      </c>
      <c r="J121" t="s">
        <v>6104</v>
      </c>
    </row>
    <row r="122" spans="1:10" ht="15" customHeight="1" x14ac:dyDescent="0.25">
      <c r="A122" t="s">
        <v>6105</v>
      </c>
      <c r="B122" t="s">
        <v>3505</v>
      </c>
      <c r="C122" t="s">
        <v>4600</v>
      </c>
      <c r="D122">
        <v>2</v>
      </c>
      <c r="E122" t="s">
        <v>6106</v>
      </c>
      <c r="F122" t="s">
        <v>6107</v>
      </c>
      <c r="G122">
        <v>2</v>
      </c>
      <c r="H122" t="s">
        <v>6105</v>
      </c>
      <c r="I122" t="s">
        <v>90</v>
      </c>
      <c r="J122" t="s">
        <v>6099</v>
      </c>
    </row>
    <row r="123" spans="1:10" ht="15" customHeight="1" x14ac:dyDescent="0.25">
      <c r="A123" t="s">
        <v>6108</v>
      </c>
      <c r="B123" t="s">
        <v>3517</v>
      </c>
      <c r="C123" t="s">
        <v>5444</v>
      </c>
      <c r="D123">
        <v>1</v>
      </c>
      <c r="E123" t="s">
        <v>5874</v>
      </c>
      <c r="F123" t="s">
        <v>5875</v>
      </c>
      <c r="G123">
        <v>1</v>
      </c>
      <c r="H123" t="s">
        <v>6108</v>
      </c>
      <c r="I123" t="s">
        <v>2361</v>
      </c>
      <c r="J123" t="s">
        <v>5877</v>
      </c>
    </row>
    <row r="124" spans="1:10" ht="15" customHeight="1" x14ac:dyDescent="0.25">
      <c r="A124" t="s">
        <v>6109</v>
      </c>
      <c r="B124" t="s">
        <v>41</v>
      </c>
      <c r="C124" t="s">
        <v>5444</v>
      </c>
      <c r="D124">
        <v>1</v>
      </c>
      <c r="E124" t="s">
        <v>5874</v>
      </c>
      <c r="F124" t="s">
        <v>5875</v>
      </c>
      <c r="G124">
        <v>1</v>
      </c>
      <c r="H124" t="s">
        <v>6109</v>
      </c>
      <c r="I124" t="s">
        <v>2361</v>
      </c>
      <c r="J124" t="s">
        <v>6009</v>
      </c>
    </row>
    <row r="125" spans="1:10" ht="15" customHeight="1" x14ac:dyDescent="0.25">
      <c r="A125" t="s">
        <v>6110</v>
      </c>
      <c r="B125" t="s">
        <v>41</v>
      </c>
      <c r="C125" t="s">
        <v>5363</v>
      </c>
      <c r="D125">
        <v>1</v>
      </c>
      <c r="E125" t="s">
        <v>6111</v>
      </c>
      <c r="F125" t="s">
        <v>6112</v>
      </c>
      <c r="G125">
        <v>1</v>
      </c>
      <c r="H125" t="s">
        <v>6110</v>
      </c>
      <c r="I125" t="s">
        <v>90</v>
      </c>
      <c r="J125" t="s">
        <v>5822</v>
      </c>
    </row>
    <row r="126" spans="1:10" ht="15" customHeight="1" x14ac:dyDescent="0.25">
      <c r="A126" t="s">
        <v>6113</v>
      </c>
      <c r="B126" t="s">
        <v>3517</v>
      </c>
      <c r="C126" t="s">
        <v>5363</v>
      </c>
      <c r="D126">
        <v>2</v>
      </c>
      <c r="E126" t="s">
        <v>6114</v>
      </c>
      <c r="F126" t="s">
        <v>6115</v>
      </c>
      <c r="G126">
        <v>2</v>
      </c>
      <c r="H126" t="s">
        <v>6116</v>
      </c>
      <c r="I126" t="s">
        <v>90</v>
      </c>
      <c r="J126" t="s">
        <v>6117</v>
      </c>
    </row>
    <row r="127" spans="1:10" ht="15" customHeight="1" x14ac:dyDescent="0.25">
      <c r="A127" t="s">
        <v>4696</v>
      </c>
      <c r="B127" t="s">
        <v>41</v>
      </c>
      <c r="C127" t="s">
        <v>5725</v>
      </c>
      <c r="D127">
        <v>1</v>
      </c>
      <c r="E127" t="s">
        <v>6118</v>
      </c>
      <c r="F127" t="s">
        <v>6118</v>
      </c>
      <c r="G127">
        <v>1</v>
      </c>
      <c r="H127" t="s">
        <v>4699</v>
      </c>
      <c r="I127" t="s">
        <v>1046</v>
      </c>
      <c r="J127" t="s">
        <v>5758</v>
      </c>
    </row>
    <row r="128" spans="1:10" ht="15" customHeight="1" x14ac:dyDescent="0.25">
      <c r="A128" t="s">
        <v>6119</v>
      </c>
      <c r="B128" t="s">
        <v>3505</v>
      </c>
      <c r="C128" t="s">
        <v>5363</v>
      </c>
      <c r="D128">
        <v>1</v>
      </c>
      <c r="E128" t="s">
        <v>6120</v>
      </c>
      <c r="F128" t="s">
        <v>6121</v>
      </c>
      <c r="G128">
        <v>1</v>
      </c>
      <c r="H128" t="s">
        <v>6122</v>
      </c>
      <c r="I128" t="s">
        <v>90</v>
      </c>
      <c r="J128" t="s">
        <v>5930</v>
      </c>
    </row>
    <row r="129" spans="1:10" ht="15" customHeight="1" x14ac:dyDescent="0.25">
      <c r="A129" t="s">
        <v>6123</v>
      </c>
      <c r="B129" t="s">
        <v>3505</v>
      </c>
      <c r="C129" t="s">
        <v>4600</v>
      </c>
      <c r="D129">
        <v>1</v>
      </c>
      <c r="E129" t="s">
        <v>6124</v>
      </c>
      <c r="F129" t="s">
        <v>6125</v>
      </c>
      <c r="G129">
        <v>1</v>
      </c>
      <c r="H129" t="s">
        <v>6126</v>
      </c>
      <c r="I129" t="s">
        <v>90</v>
      </c>
      <c r="J129" t="s">
        <v>6127</v>
      </c>
    </row>
    <row r="130" spans="1:10" ht="15" customHeight="1" x14ac:dyDescent="0.25">
      <c r="A130" t="s">
        <v>6128</v>
      </c>
      <c r="B130" t="s">
        <v>41</v>
      </c>
      <c r="C130" t="s">
        <v>5444</v>
      </c>
      <c r="D130">
        <v>1</v>
      </c>
      <c r="E130" t="s">
        <v>6129</v>
      </c>
      <c r="F130" t="s">
        <v>6130</v>
      </c>
      <c r="G130">
        <v>1</v>
      </c>
      <c r="H130" t="s">
        <v>6128</v>
      </c>
      <c r="I130" t="s">
        <v>2361</v>
      </c>
      <c r="J130" t="s">
        <v>6104</v>
      </c>
    </row>
    <row r="131" spans="1:10" ht="15" customHeight="1" x14ac:dyDescent="0.25">
      <c r="A131" t="s">
        <v>6131</v>
      </c>
      <c r="B131" t="s">
        <v>3505</v>
      </c>
      <c r="C131" t="s">
        <v>5363</v>
      </c>
      <c r="D131" t="s">
        <v>5949</v>
      </c>
      <c r="E131" t="s">
        <v>6132</v>
      </c>
      <c r="F131" t="s">
        <v>6133</v>
      </c>
      <c r="G131" t="s">
        <v>5949</v>
      </c>
      <c r="H131" t="s">
        <v>6131</v>
      </c>
      <c r="I131" t="s">
        <v>90</v>
      </c>
      <c r="J131" t="s">
        <v>6134</v>
      </c>
    </row>
    <row r="132" spans="1:10" ht="15" customHeight="1" x14ac:dyDescent="0.25">
      <c r="A132" t="s">
        <v>6135</v>
      </c>
      <c r="B132" t="s">
        <v>3517</v>
      </c>
      <c r="C132" t="s">
        <v>5725</v>
      </c>
      <c r="D132">
        <v>0</v>
      </c>
      <c r="E132" t="s">
        <v>6136</v>
      </c>
      <c r="F132" t="s">
        <v>6137</v>
      </c>
      <c r="G132">
        <v>0</v>
      </c>
      <c r="H132" t="s">
        <v>6138</v>
      </c>
      <c r="I132" t="s">
        <v>90</v>
      </c>
      <c r="J132" t="s">
        <v>5780</v>
      </c>
    </row>
    <row r="133" spans="1:10" ht="15" customHeight="1" x14ac:dyDescent="0.25">
      <c r="A133" t="s">
        <v>6139</v>
      </c>
      <c r="B133" t="s">
        <v>3517</v>
      </c>
      <c r="C133" t="s">
        <v>4600</v>
      </c>
      <c r="D133">
        <v>1</v>
      </c>
      <c r="E133" t="s">
        <v>6140</v>
      </c>
      <c r="F133" t="s">
        <v>6141</v>
      </c>
      <c r="G133">
        <v>1</v>
      </c>
      <c r="H133" t="s">
        <v>6139</v>
      </c>
      <c r="I133" t="s">
        <v>90</v>
      </c>
      <c r="J133" t="s">
        <v>5742</v>
      </c>
    </row>
    <row r="134" spans="1:10" ht="15" customHeight="1" x14ac:dyDescent="0.25">
      <c r="A134" t="s">
        <v>6142</v>
      </c>
      <c r="B134" t="s">
        <v>3505</v>
      </c>
      <c r="C134" t="s">
        <v>5808</v>
      </c>
      <c r="D134">
        <v>5</v>
      </c>
      <c r="E134" t="s">
        <v>6143</v>
      </c>
      <c r="F134" t="s">
        <v>6143</v>
      </c>
      <c r="G134">
        <v>4</v>
      </c>
      <c r="H134" t="s">
        <v>6144</v>
      </c>
      <c r="I134" t="s">
        <v>1672</v>
      </c>
    </row>
    <row r="135" spans="1:10" ht="15" customHeight="1" x14ac:dyDescent="0.25">
      <c r="A135" t="s">
        <v>6145</v>
      </c>
      <c r="B135" t="s">
        <v>41</v>
      </c>
      <c r="C135" t="s">
        <v>5444</v>
      </c>
      <c r="D135">
        <v>1</v>
      </c>
      <c r="E135" t="s">
        <v>6146</v>
      </c>
      <c r="F135" t="s">
        <v>6147</v>
      </c>
      <c r="G135">
        <v>1</v>
      </c>
      <c r="H135" t="s">
        <v>6145</v>
      </c>
      <c r="I135" t="s">
        <v>2361</v>
      </c>
      <c r="J135" t="s">
        <v>5965</v>
      </c>
    </row>
    <row r="136" spans="1:10" ht="15" customHeight="1" x14ac:dyDescent="0.25">
      <c r="A136" t="s">
        <v>5700</v>
      </c>
      <c r="B136" t="s">
        <v>3549</v>
      </c>
      <c r="C136" t="s">
        <v>5725</v>
      </c>
      <c r="D136">
        <v>0</v>
      </c>
      <c r="E136" t="s">
        <v>6148</v>
      </c>
      <c r="F136" t="s">
        <v>6149</v>
      </c>
      <c r="G136">
        <v>0</v>
      </c>
      <c r="H136" t="s">
        <v>5700</v>
      </c>
      <c r="I136" t="s">
        <v>90</v>
      </c>
      <c r="J136" t="s">
        <v>5756</v>
      </c>
    </row>
    <row r="137" spans="1:10" ht="15" customHeight="1" x14ac:dyDescent="0.25">
      <c r="A137" t="s">
        <v>6150</v>
      </c>
      <c r="B137" t="s">
        <v>3505</v>
      </c>
      <c r="C137" t="s">
        <v>5363</v>
      </c>
      <c r="D137">
        <v>3</v>
      </c>
      <c r="E137" t="s">
        <v>6151</v>
      </c>
      <c r="F137" t="s">
        <v>6151</v>
      </c>
      <c r="G137">
        <v>2</v>
      </c>
      <c r="H137" t="s">
        <v>6150</v>
      </c>
      <c r="I137" t="s">
        <v>90</v>
      </c>
      <c r="J137" t="s">
        <v>5995</v>
      </c>
    </row>
    <row r="138" spans="1:10" ht="15" customHeight="1" x14ac:dyDescent="0.25">
      <c r="A138" t="s">
        <v>6152</v>
      </c>
      <c r="B138" t="s">
        <v>3517</v>
      </c>
      <c r="C138" t="s">
        <v>4600</v>
      </c>
      <c r="D138">
        <v>1</v>
      </c>
      <c r="E138" t="s">
        <v>6153</v>
      </c>
      <c r="F138" t="s">
        <v>6154</v>
      </c>
      <c r="G138">
        <v>1</v>
      </c>
      <c r="H138" t="s">
        <v>6155</v>
      </c>
      <c r="I138" t="s">
        <v>90</v>
      </c>
      <c r="J138" t="s">
        <v>5887</v>
      </c>
    </row>
    <row r="139" spans="1:10" ht="15" customHeight="1" x14ac:dyDescent="0.25">
      <c r="A139" t="s">
        <v>6156</v>
      </c>
      <c r="B139" t="s">
        <v>3505</v>
      </c>
      <c r="C139" t="s">
        <v>5363</v>
      </c>
      <c r="D139">
        <v>0</v>
      </c>
      <c r="E139" t="s">
        <v>6157</v>
      </c>
      <c r="F139" t="s">
        <v>6158</v>
      </c>
      <c r="G139">
        <v>0</v>
      </c>
      <c r="H139" t="s">
        <v>6156</v>
      </c>
      <c r="I139" t="s">
        <v>90</v>
      </c>
      <c r="J139" t="s">
        <v>6159</v>
      </c>
    </row>
    <row r="140" spans="1:10" ht="15" customHeight="1" x14ac:dyDescent="0.25">
      <c r="A140" t="s">
        <v>6160</v>
      </c>
      <c r="B140" t="s">
        <v>41</v>
      </c>
      <c r="C140" t="s">
        <v>5363</v>
      </c>
      <c r="D140">
        <v>1</v>
      </c>
      <c r="E140" t="s">
        <v>6161</v>
      </c>
      <c r="F140" t="s">
        <v>6162</v>
      </c>
      <c r="G140">
        <v>1</v>
      </c>
      <c r="H140" t="s">
        <v>6160</v>
      </c>
      <c r="I140" t="s">
        <v>90</v>
      </c>
      <c r="J140" t="s">
        <v>5826</v>
      </c>
    </row>
    <row r="141" spans="1:10" ht="15" customHeight="1" x14ac:dyDescent="0.25">
      <c r="A141" t="s">
        <v>6163</v>
      </c>
      <c r="B141" t="s">
        <v>4300</v>
      </c>
      <c r="C141" t="s">
        <v>4248</v>
      </c>
      <c r="D141" t="s">
        <v>4000</v>
      </c>
      <c r="E141" t="s">
        <v>6164</v>
      </c>
      <c r="F141" t="s">
        <v>3461</v>
      </c>
      <c r="G141" t="s">
        <v>3461</v>
      </c>
      <c r="H141" t="s">
        <v>6163</v>
      </c>
      <c r="I141" t="s">
        <v>90</v>
      </c>
      <c r="J141" t="s">
        <v>5873</v>
      </c>
    </row>
    <row r="142" spans="1:10" ht="15" customHeight="1" x14ac:dyDescent="0.25">
      <c r="A142" t="s">
        <v>6165</v>
      </c>
      <c r="B142" t="s">
        <v>41</v>
      </c>
      <c r="C142" t="s">
        <v>5725</v>
      </c>
      <c r="D142">
        <v>2</v>
      </c>
      <c r="E142" t="s">
        <v>6166</v>
      </c>
      <c r="F142" t="s">
        <v>6167</v>
      </c>
      <c r="G142">
        <v>2</v>
      </c>
      <c r="H142" t="s">
        <v>6168</v>
      </c>
      <c r="I142" t="s">
        <v>90</v>
      </c>
      <c r="J142" t="s">
        <v>5738</v>
      </c>
    </row>
    <row r="143" spans="1:10" ht="15" customHeight="1" x14ac:dyDescent="0.25">
      <c r="A143" t="s">
        <v>6169</v>
      </c>
      <c r="B143" t="s">
        <v>3505</v>
      </c>
      <c r="C143" t="s">
        <v>5363</v>
      </c>
      <c r="D143">
        <v>1</v>
      </c>
      <c r="E143" t="s">
        <v>6170</v>
      </c>
      <c r="F143" t="s">
        <v>6170</v>
      </c>
      <c r="G143">
        <v>0</v>
      </c>
      <c r="H143" t="s">
        <v>6171</v>
      </c>
      <c r="I143" t="s">
        <v>90</v>
      </c>
      <c r="J143" t="s">
        <v>5780</v>
      </c>
    </row>
    <row r="144" spans="1:10" ht="15" customHeight="1" x14ac:dyDescent="0.25">
      <c r="A144" t="s">
        <v>6172</v>
      </c>
      <c r="B144" t="s">
        <v>41</v>
      </c>
      <c r="C144" t="s">
        <v>5363</v>
      </c>
      <c r="D144">
        <v>1</v>
      </c>
      <c r="E144" t="s">
        <v>6173</v>
      </c>
      <c r="F144" t="s">
        <v>6174</v>
      </c>
      <c r="G144">
        <v>1</v>
      </c>
      <c r="H144" t="s">
        <v>6175</v>
      </c>
      <c r="I144" t="s">
        <v>90</v>
      </c>
      <c r="J144" t="s">
        <v>6134</v>
      </c>
    </row>
    <row r="145" spans="1:10" ht="15" customHeight="1" x14ac:dyDescent="0.25">
      <c r="A145" t="s">
        <v>6176</v>
      </c>
      <c r="B145" t="s">
        <v>41</v>
      </c>
      <c r="C145" t="s">
        <v>5725</v>
      </c>
      <c r="D145">
        <v>1</v>
      </c>
      <c r="E145" t="s">
        <v>6177</v>
      </c>
      <c r="F145" t="s">
        <v>6178</v>
      </c>
      <c r="G145">
        <v>1</v>
      </c>
      <c r="H145" t="s">
        <v>6179</v>
      </c>
      <c r="I145" t="s">
        <v>90</v>
      </c>
      <c r="J145" t="s">
        <v>5756</v>
      </c>
    </row>
    <row r="146" spans="1:10" ht="15" customHeight="1" x14ac:dyDescent="0.25">
      <c r="A146" t="s">
        <v>6180</v>
      </c>
      <c r="B146" t="s">
        <v>41</v>
      </c>
      <c r="C146" t="s">
        <v>5725</v>
      </c>
      <c r="D146">
        <v>1</v>
      </c>
      <c r="E146" t="s">
        <v>6181</v>
      </c>
      <c r="F146" t="s">
        <v>6182</v>
      </c>
      <c r="G146">
        <v>1</v>
      </c>
      <c r="H146" t="s">
        <v>6183</v>
      </c>
      <c r="I146" t="s">
        <v>90</v>
      </c>
      <c r="J146" t="s">
        <v>6184</v>
      </c>
    </row>
    <row r="147" spans="1:10" ht="15" customHeight="1" x14ac:dyDescent="0.25">
      <c r="A147" t="s">
        <v>6185</v>
      </c>
      <c r="B147" t="s">
        <v>3517</v>
      </c>
      <c r="C147" t="s">
        <v>5363</v>
      </c>
      <c r="D147">
        <v>1</v>
      </c>
      <c r="E147" t="s">
        <v>6186</v>
      </c>
      <c r="F147" t="s">
        <v>6187</v>
      </c>
      <c r="G147">
        <v>1</v>
      </c>
      <c r="H147" t="s">
        <v>6188</v>
      </c>
      <c r="I147" t="s">
        <v>90</v>
      </c>
      <c r="J147" t="s">
        <v>6189</v>
      </c>
    </row>
    <row r="148" spans="1:10" ht="15" customHeight="1" x14ac:dyDescent="0.25">
      <c r="A148" t="s">
        <v>6190</v>
      </c>
      <c r="B148" t="s">
        <v>3517</v>
      </c>
      <c r="C148" t="s">
        <v>5725</v>
      </c>
      <c r="D148">
        <v>2</v>
      </c>
      <c r="E148" t="s">
        <v>6191</v>
      </c>
      <c r="F148" t="s">
        <v>6192</v>
      </c>
      <c r="G148">
        <v>2</v>
      </c>
      <c r="H148" t="s">
        <v>6190</v>
      </c>
      <c r="I148" t="s">
        <v>90</v>
      </c>
      <c r="J148" t="s">
        <v>6028</v>
      </c>
    </row>
    <row r="149" spans="1:10" ht="15" customHeight="1" x14ac:dyDescent="0.25">
      <c r="A149" t="s">
        <v>6193</v>
      </c>
      <c r="B149" t="s">
        <v>41</v>
      </c>
      <c r="C149" t="s">
        <v>5363</v>
      </c>
      <c r="D149">
        <v>0</v>
      </c>
      <c r="E149" t="s">
        <v>6194</v>
      </c>
      <c r="F149" t="s">
        <v>6195</v>
      </c>
      <c r="G149">
        <v>0</v>
      </c>
      <c r="H149" t="s">
        <v>6193</v>
      </c>
      <c r="I149" t="s">
        <v>90</v>
      </c>
      <c r="J149" t="s">
        <v>5711</v>
      </c>
    </row>
    <row r="150" spans="1:10" ht="15" customHeight="1" x14ac:dyDescent="0.25">
      <c r="A150" t="s">
        <v>6196</v>
      </c>
      <c r="B150" t="s">
        <v>3517</v>
      </c>
      <c r="C150" t="s">
        <v>5725</v>
      </c>
      <c r="D150">
        <v>1</v>
      </c>
      <c r="E150" t="s">
        <v>6197</v>
      </c>
      <c r="F150" t="s">
        <v>6198</v>
      </c>
      <c r="G150">
        <v>1</v>
      </c>
      <c r="H150" t="s">
        <v>6196</v>
      </c>
      <c r="I150" t="s">
        <v>90</v>
      </c>
      <c r="J150" t="s">
        <v>6007</v>
      </c>
    </row>
    <row r="151" spans="1:10" ht="15" customHeight="1" x14ac:dyDescent="0.25">
      <c r="A151" t="s">
        <v>5147</v>
      </c>
      <c r="B151" t="s">
        <v>4300</v>
      </c>
      <c r="C151" t="s">
        <v>4248</v>
      </c>
      <c r="D151" t="s">
        <v>4000</v>
      </c>
      <c r="E151" t="s">
        <v>6199</v>
      </c>
      <c r="F151" t="s">
        <v>3461</v>
      </c>
      <c r="G151" t="s">
        <v>4000</v>
      </c>
      <c r="H151" t="s">
        <v>6200</v>
      </c>
      <c r="I151" t="s">
        <v>1649</v>
      </c>
    </row>
    <row r="152" spans="1:10" ht="15" customHeight="1" x14ac:dyDescent="0.25">
      <c r="A152" t="s">
        <v>6201</v>
      </c>
      <c r="B152" t="s">
        <v>4300</v>
      </c>
      <c r="C152" t="s">
        <v>3659</v>
      </c>
      <c r="D152">
        <v>1</v>
      </c>
      <c r="E152" t="s">
        <v>6202</v>
      </c>
      <c r="F152" t="s">
        <v>3461</v>
      </c>
      <c r="G152" t="s">
        <v>3461</v>
      </c>
      <c r="H152" t="s">
        <v>6203</v>
      </c>
      <c r="I152" t="s">
        <v>501</v>
      </c>
      <c r="J152" t="s">
        <v>5796</v>
      </c>
    </row>
    <row r="153" spans="1:10" ht="15" customHeight="1" x14ac:dyDescent="0.25">
      <c r="A153" t="s">
        <v>6204</v>
      </c>
      <c r="B153" t="s">
        <v>41</v>
      </c>
      <c r="C153" t="s">
        <v>5725</v>
      </c>
      <c r="D153">
        <v>1</v>
      </c>
      <c r="E153" t="s">
        <v>6205</v>
      </c>
      <c r="F153" t="s">
        <v>6206</v>
      </c>
      <c r="G153">
        <v>1</v>
      </c>
      <c r="H153" t="s">
        <v>6207</v>
      </c>
      <c r="I153" t="s">
        <v>90</v>
      </c>
      <c r="J153" t="s">
        <v>6208</v>
      </c>
    </row>
    <row r="154" spans="1:10" ht="15" customHeight="1" x14ac:dyDescent="0.25">
      <c r="A154" t="s">
        <v>5365</v>
      </c>
      <c r="B154" t="s">
        <v>3517</v>
      </c>
      <c r="C154" t="s">
        <v>5363</v>
      </c>
      <c r="D154">
        <v>0</v>
      </c>
      <c r="E154" t="s">
        <v>6209</v>
      </c>
      <c r="F154" t="s">
        <v>6210</v>
      </c>
      <c r="G154">
        <v>0</v>
      </c>
      <c r="H154" t="s">
        <v>5365</v>
      </c>
      <c r="I154" t="s">
        <v>90</v>
      </c>
      <c r="J154" t="s">
        <v>5742</v>
      </c>
    </row>
    <row r="155" spans="1:10" ht="15" customHeight="1" x14ac:dyDescent="0.25">
      <c r="A155" t="s">
        <v>6211</v>
      </c>
      <c r="B155" t="s">
        <v>3517</v>
      </c>
      <c r="C155" t="s">
        <v>5725</v>
      </c>
      <c r="D155">
        <v>1</v>
      </c>
      <c r="E155" t="s">
        <v>6212</v>
      </c>
      <c r="F155" t="s">
        <v>6213</v>
      </c>
      <c r="G155">
        <v>1</v>
      </c>
      <c r="H155" t="s">
        <v>6211</v>
      </c>
      <c r="I155" t="s">
        <v>90</v>
      </c>
      <c r="J155" t="s">
        <v>6062</v>
      </c>
    </row>
    <row r="156" spans="1:10" ht="15" customHeight="1" x14ac:dyDescent="0.25">
      <c r="A156" t="s">
        <v>6214</v>
      </c>
      <c r="B156" t="s">
        <v>3517</v>
      </c>
      <c r="C156" t="s">
        <v>5444</v>
      </c>
      <c r="D156">
        <v>1</v>
      </c>
      <c r="E156" t="s">
        <v>5874</v>
      </c>
      <c r="F156" t="s">
        <v>5875</v>
      </c>
      <c r="G156">
        <v>1</v>
      </c>
      <c r="H156" t="s">
        <v>6214</v>
      </c>
      <c r="I156" t="s">
        <v>2361</v>
      </c>
      <c r="J156" t="s">
        <v>5877</v>
      </c>
    </row>
    <row r="157" spans="1:10" ht="15" customHeight="1" x14ac:dyDescent="0.25">
      <c r="A157" t="s">
        <v>6215</v>
      </c>
      <c r="B157" t="s">
        <v>3505</v>
      </c>
      <c r="C157" t="s">
        <v>5725</v>
      </c>
      <c r="D157">
        <v>2</v>
      </c>
      <c r="E157" t="s">
        <v>6216</v>
      </c>
      <c r="F157" t="s">
        <v>6217</v>
      </c>
      <c r="G157">
        <v>2</v>
      </c>
      <c r="H157" t="s">
        <v>6215</v>
      </c>
      <c r="I157" t="s">
        <v>90</v>
      </c>
      <c r="J157" t="s">
        <v>5999</v>
      </c>
    </row>
    <row r="158" spans="1:10" ht="15" customHeight="1" x14ac:dyDescent="0.25">
      <c r="A158" t="s">
        <v>6218</v>
      </c>
      <c r="B158" t="s">
        <v>3517</v>
      </c>
      <c r="C158" t="s">
        <v>5725</v>
      </c>
      <c r="D158">
        <v>0</v>
      </c>
      <c r="E158" t="s">
        <v>6219</v>
      </c>
      <c r="F158" t="s">
        <v>6220</v>
      </c>
      <c r="G158">
        <v>0</v>
      </c>
      <c r="H158" t="s">
        <v>6221</v>
      </c>
      <c r="I158" t="s">
        <v>90</v>
      </c>
      <c r="J158" t="s">
        <v>6222</v>
      </c>
    </row>
    <row r="159" spans="1:10" ht="15" customHeight="1" x14ac:dyDescent="0.25">
      <c r="A159" t="s">
        <v>6223</v>
      </c>
      <c r="B159" t="s">
        <v>4300</v>
      </c>
      <c r="C159" t="s">
        <v>3659</v>
      </c>
      <c r="D159">
        <v>1</v>
      </c>
      <c r="E159" t="s">
        <v>6224</v>
      </c>
      <c r="F159" t="s">
        <v>3461</v>
      </c>
      <c r="G159" t="s">
        <v>3461</v>
      </c>
      <c r="H159" t="s">
        <v>6225</v>
      </c>
      <c r="I159" t="s">
        <v>501</v>
      </c>
      <c r="J159" t="s">
        <v>5796</v>
      </c>
    </row>
    <row r="160" spans="1:10" ht="15" customHeight="1" x14ac:dyDescent="0.25">
      <c r="A160" t="s">
        <v>6226</v>
      </c>
      <c r="B160" t="s">
        <v>3517</v>
      </c>
      <c r="C160" t="s">
        <v>5363</v>
      </c>
      <c r="D160" t="s">
        <v>4000</v>
      </c>
      <c r="E160" t="s">
        <v>6227</v>
      </c>
      <c r="F160" t="s">
        <v>6228</v>
      </c>
      <c r="G160" t="s">
        <v>4000</v>
      </c>
      <c r="H160" t="s">
        <v>6226</v>
      </c>
      <c r="I160" t="s">
        <v>90</v>
      </c>
      <c r="J160" t="s">
        <v>5840</v>
      </c>
    </row>
    <row r="161" spans="1:10" ht="15" customHeight="1" x14ac:dyDescent="0.25">
      <c r="A161" t="s">
        <v>5112</v>
      </c>
      <c r="B161" t="s">
        <v>4300</v>
      </c>
      <c r="C161" t="s">
        <v>4248</v>
      </c>
      <c r="D161" t="s">
        <v>4000</v>
      </c>
      <c r="E161" t="s">
        <v>6229</v>
      </c>
      <c r="F161" t="s">
        <v>3461</v>
      </c>
      <c r="G161" t="s">
        <v>3461</v>
      </c>
      <c r="H161" t="s">
        <v>5112</v>
      </c>
      <c r="I161" t="s">
        <v>90</v>
      </c>
      <c r="J161" t="s">
        <v>5873</v>
      </c>
    </row>
    <row r="162" spans="1:10" ht="15" customHeight="1" x14ac:dyDescent="0.25">
      <c r="A162" t="s">
        <v>6230</v>
      </c>
      <c r="B162" t="s">
        <v>3517</v>
      </c>
      <c r="C162" t="s">
        <v>5725</v>
      </c>
      <c r="D162">
        <v>2</v>
      </c>
      <c r="E162" t="s">
        <v>6231</v>
      </c>
      <c r="F162" t="s">
        <v>6232</v>
      </c>
      <c r="G162">
        <v>2</v>
      </c>
      <c r="H162" t="s">
        <v>6233</v>
      </c>
      <c r="I162" t="s">
        <v>90</v>
      </c>
      <c r="J162" t="s">
        <v>5780</v>
      </c>
    </row>
    <row r="163" spans="1:10" ht="15" customHeight="1" x14ac:dyDescent="0.25">
      <c r="A163" t="s">
        <v>6234</v>
      </c>
      <c r="B163" t="s">
        <v>3517</v>
      </c>
      <c r="C163" t="s">
        <v>5808</v>
      </c>
      <c r="D163">
        <v>2</v>
      </c>
      <c r="E163" t="s">
        <v>6235</v>
      </c>
      <c r="F163" t="s">
        <v>6236</v>
      </c>
      <c r="G163">
        <v>2</v>
      </c>
      <c r="H163" t="s">
        <v>6237</v>
      </c>
      <c r="I163" t="s">
        <v>1672</v>
      </c>
    </row>
    <row r="164" spans="1:10" ht="15" customHeight="1" x14ac:dyDescent="0.25">
      <c r="A164" t="s">
        <v>6238</v>
      </c>
      <c r="B164" t="s">
        <v>3517</v>
      </c>
      <c r="C164" t="s">
        <v>4600</v>
      </c>
      <c r="D164">
        <v>1</v>
      </c>
      <c r="E164" t="s">
        <v>6239</v>
      </c>
      <c r="F164" t="s">
        <v>6240</v>
      </c>
      <c r="G164">
        <v>1</v>
      </c>
      <c r="H164" t="s">
        <v>6238</v>
      </c>
      <c r="I164" t="s">
        <v>90</v>
      </c>
      <c r="J164" t="s">
        <v>5930</v>
      </c>
    </row>
    <row r="165" spans="1:10" ht="15" customHeight="1" x14ac:dyDescent="0.25">
      <c r="A165" t="s">
        <v>4819</v>
      </c>
      <c r="B165" t="s">
        <v>3517</v>
      </c>
      <c r="C165" t="s">
        <v>5363</v>
      </c>
      <c r="D165">
        <v>1</v>
      </c>
      <c r="E165" t="s">
        <v>6241</v>
      </c>
      <c r="F165" t="s">
        <v>6241</v>
      </c>
      <c r="G165">
        <v>1</v>
      </c>
      <c r="H165" t="s">
        <v>4822</v>
      </c>
      <c r="I165" t="s">
        <v>1649</v>
      </c>
      <c r="J165" t="s">
        <v>5758</v>
      </c>
    </row>
    <row r="166" spans="1:10" ht="15" customHeight="1" x14ac:dyDescent="0.25">
      <c r="A166" t="s">
        <v>6242</v>
      </c>
      <c r="B166" t="s">
        <v>3517</v>
      </c>
      <c r="C166" t="s">
        <v>5725</v>
      </c>
      <c r="D166">
        <v>2</v>
      </c>
      <c r="E166" t="s">
        <v>6243</v>
      </c>
      <c r="F166" t="s">
        <v>3461</v>
      </c>
      <c r="G166">
        <v>2</v>
      </c>
      <c r="H166" t="s">
        <v>6244</v>
      </c>
      <c r="I166" t="s">
        <v>90</v>
      </c>
      <c r="J166" t="s">
        <v>6062</v>
      </c>
    </row>
    <row r="167" spans="1:10" ht="15" customHeight="1" x14ac:dyDescent="0.25">
      <c r="A167" t="s">
        <v>6245</v>
      </c>
      <c r="B167" t="s">
        <v>3517</v>
      </c>
      <c r="C167" t="s">
        <v>5363</v>
      </c>
      <c r="D167">
        <v>1</v>
      </c>
      <c r="E167" t="s">
        <v>6246</v>
      </c>
      <c r="F167" t="s">
        <v>6247</v>
      </c>
      <c r="G167">
        <v>1</v>
      </c>
      <c r="H167" t="s">
        <v>6248</v>
      </c>
      <c r="I167" t="s">
        <v>90</v>
      </c>
      <c r="J167" t="s">
        <v>6002</v>
      </c>
    </row>
    <row r="168" spans="1:10" ht="15" customHeight="1" x14ac:dyDescent="0.25">
      <c r="A168" t="s">
        <v>6249</v>
      </c>
      <c r="B168" t="s">
        <v>3517</v>
      </c>
      <c r="C168" t="s">
        <v>5363</v>
      </c>
      <c r="D168">
        <v>1</v>
      </c>
      <c r="E168" t="s">
        <v>6250</v>
      </c>
      <c r="F168" t="s">
        <v>6250</v>
      </c>
      <c r="G168">
        <v>0</v>
      </c>
      <c r="H168" t="s">
        <v>6251</v>
      </c>
      <c r="I168" t="s">
        <v>90</v>
      </c>
      <c r="J168" t="s">
        <v>6252</v>
      </c>
    </row>
    <row r="169" spans="1:10" ht="15" customHeight="1" x14ac:dyDescent="0.25">
      <c r="A169" t="s">
        <v>6253</v>
      </c>
      <c r="B169" t="s">
        <v>3505</v>
      </c>
      <c r="C169" t="s">
        <v>5363</v>
      </c>
      <c r="D169">
        <v>0</v>
      </c>
      <c r="E169" t="s">
        <v>6254</v>
      </c>
      <c r="F169" t="s">
        <v>6255</v>
      </c>
      <c r="G169">
        <v>0</v>
      </c>
      <c r="H169" t="s">
        <v>6253</v>
      </c>
      <c r="I169" t="s">
        <v>90</v>
      </c>
      <c r="J169" t="s">
        <v>6256</v>
      </c>
    </row>
    <row r="170" spans="1:10" ht="15" customHeight="1" x14ac:dyDescent="0.25">
      <c r="A170" t="s">
        <v>6257</v>
      </c>
      <c r="B170" t="s">
        <v>3517</v>
      </c>
      <c r="C170" t="s">
        <v>5363</v>
      </c>
      <c r="D170">
        <v>1</v>
      </c>
      <c r="E170" t="s">
        <v>6258</v>
      </c>
      <c r="F170" t="s">
        <v>6259</v>
      </c>
      <c r="G170">
        <v>1</v>
      </c>
      <c r="H170" t="s">
        <v>6257</v>
      </c>
      <c r="I170" t="s">
        <v>90</v>
      </c>
      <c r="J170" t="s">
        <v>6002</v>
      </c>
    </row>
    <row r="171" spans="1:10" ht="15" customHeight="1" x14ac:dyDescent="0.25">
      <c r="A171" t="s">
        <v>6260</v>
      </c>
      <c r="B171" t="s">
        <v>3517</v>
      </c>
      <c r="C171" t="s">
        <v>5363</v>
      </c>
      <c r="D171">
        <v>1</v>
      </c>
      <c r="E171" t="s">
        <v>6261</v>
      </c>
      <c r="F171" t="s">
        <v>6261</v>
      </c>
      <c r="G171">
        <v>0</v>
      </c>
      <c r="H171" t="s">
        <v>6260</v>
      </c>
      <c r="I171" t="s">
        <v>90</v>
      </c>
      <c r="J171" t="s">
        <v>5826</v>
      </c>
    </row>
    <row r="172" spans="1:10" ht="15" customHeight="1" x14ac:dyDescent="0.25">
      <c r="A172" t="s">
        <v>6262</v>
      </c>
      <c r="B172" t="s">
        <v>3517</v>
      </c>
      <c r="C172" t="s">
        <v>5725</v>
      </c>
      <c r="D172">
        <v>2</v>
      </c>
      <c r="E172" t="s">
        <v>6263</v>
      </c>
      <c r="F172" t="s">
        <v>6264</v>
      </c>
      <c r="G172">
        <v>2</v>
      </c>
      <c r="H172" t="s">
        <v>6265</v>
      </c>
      <c r="I172" t="s">
        <v>90</v>
      </c>
      <c r="J172" t="s">
        <v>6007</v>
      </c>
    </row>
    <row r="173" spans="1:10" ht="15" customHeight="1" x14ac:dyDescent="0.25">
      <c r="A173" t="s">
        <v>6266</v>
      </c>
      <c r="B173" t="s">
        <v>4300</v>
      </c>
      <c r="C173" t="s">
        <v>4248</v>
      </c>
      <c r="D173" t="s">
        <v>4000</v>
      </c>
      <c r="E173" t="s">
        <v>6267</v>
      </c>
      <c r="F173" t="s">
        <v>3461</v>
      </c>
      <c r="G173" t="s">
        <v>3461</v>
      </c>
      <c r="H173" t="s">
        <v>6266</v>
      </c>
      <c r="I173" t="s">
        <v>90</v>
      </c>
      <c r="J173" t="s">
        <v>5873</v>
      </c>
    </row>
    <row r="174" spans="1:10" ht="15" customHeight="1" x14ac:dyDescent="0.25">
      <c r="A174" t="s">
        <v>6268</v>
      </c>
      <c r="B174" t="s">
        <v>4300</v>
      </c>
      <c r="C174" t="s">
        <v>5725</v>
      </c>
      <c r="D174">
        <v>0</v>
      </c>
      <c r="E174" t="s">
        <v>6269</v>
      </c>
      <c r="F174" t="s">
        <v>6270</v>
      </c>
      <c r="G174">
        <v>0</v>
      </c>
      <c r="H174" t="s">
        <v>6268</v>
      </c>
      <c r="I174" t="s">
        <v>90</v>
      </c>
    </row>
    <row r="175" spans="1:10" ht="15" customHeight="1" x14ac:dyDescent="0.25">
      <c r="A175" t="s">
        <v>6271</v>
      </c>
      <c r="B175" t="s">
        <v>3517</v>
      </c>
      <c r="C175" t="s">
        <v>5363</v>
      </c>
      <c r="D175">
        <v>2</v>
      </c>
      <c r="E175" t="s">
        <v>6272</v>
      </c>
      <c r="F175" t="s">
        <v>6273</v>
      </c>
      <c r="G175">
        <v>2</v>
      </c>
      <c r="H175" t="s">
        <v>6271</v>
      </c>
      <c r="I175" t="s">
        <v>90</v>
      </c>
      <c r="J175" t="s">
        <v>5940</v>
      </c>
    </row>
    <row r="176" spans="1:10" ht="15" customHeight="1" x14ac:dyDescent="0.25">
      <c r="A176" t="s">
        <v>6274</v>
      </c>
      <c r="B176" t="s">
        <v>41</v>
      </c>
      <c r="C176" t="s">
        <v>5363</v>
      </c>
      <c r="D176">
        <v>1</v>
      </c>
      <c r="E176" t="s">
        <v>6275</v>
      </c>
      <c r="F176" t="s">
        <v>6276</v>
      </c>
      <c r="G176">
        <v>1</v>
      </c>
      <c r="H176" t="s">
        <v>6277</v>
      </c>
      <c r="I176" t="s">
        <v>90</v>
      </c>
      <c r="J176" t="s">
        <v>6278</v>
      </c>
    </row>
    <row r="177" spans="1:10" ht="15" customHeight="1" x14ac:dyDescent="0.25">
      <c r="A177" t="s">
        <v>6279</v>
      </c>
      <c r="B177" t="s">
        <v>3517</v>
      </c>
      <c r="C177" t="s">
        <v>5725</v>
      </c>
      <c r="D177" t="s">
        <v>5949</v>
      </c>
      <c r="E177" t="s">
        <v>6280</v>
      </c>
      <c r="F177" t="s">
        <v>6281</v>
      </c>
      <c r="G177" t="s">
        <v>5949</v>
      </c>
      <c r="H177" t="s">
        <v>6279</v>
      </c>
      <c r="I177" t="s">
        <v>90</v>
      </c>
      <c r="J177" t="s">
        <v>5780</v>
      </c>
    </row>
    <row r="178" spans="1:10" ht="15" customHeight="1" x14ac:dyDescent="0.25">
      <c r="A178" t="s">
        <v>6282</v>
      </c>
      <c r="B178" t="s">
        <v>41</v>
      </c>
      <c r="C178" t="s">
        <v>5725</v>
      </c>
      <c r="D178">
        <v>0</v>
      </c>
      <c r="E178" t="s">
        <v>6283</v>
      </c>
      <c r="F178" t="s">
        <v>6284</v>
      </c>
      <c r="G178">
        <v>0</v>
      </c>
      <c r="H178" t="s">
        <v>6282</v>
      </c>
      <c r="I178" t="s">
        <v>90</v>
      </c>
      <c r="J178" t="s">
        <v>5780</v>
      </c>
    </row>
    <row r="179" spans="1:10" ht="15" customHeight="1" x14ac:dyDescent="0.25">
      <c r="A179" t="s">
        <v>6285</v>
      </c>
      <c r="B179" t="s">
        <v>4300</v>
      </c>
      <c r="C179" t="s">
        <v>3659</v>
      </c>
      <c r="D179">
        <v>1</v>
      </c>
      <c r="E179" t="s">
        <v>6286</v>
      </c>
      <c r="F179" t="s">
        <v>3461</v>
      </c>
      <c r="G179" t="s">
        <v>3461</v>
      </c>
      <c r="H179" t="s">
        <v>6285</v>
      </c>
      <c r="I179" t="s">
        <v>90</v>
      </c>
    </row>
    <row r="180" spans="1:10" ht="15" customHeight="1" x14ac:dyDescent="0.25">
      <c r="A180" t="s">
        <v>6287</v>
      </c>
      <c r="B180" t="s">
        <v>41</v>
      </c>
      <c r="C180" t="s">
        <v>5725</v>
      </c>
      <c r="D180">
        <v>2</v>
      </c>
      <c r="E180" t="s">
        <v>6288</v>
      </c>
      <c r="F180" t="s">
        <v>6289</v>
      </c>
      <c r="G180">
        <v>2</v>
      </c>
      <c r="H180" t="s">
        <v>6290</v>
      </c>
      <c r="I180" t="s">
        <v>90</v>
      </c>
      <c r="J180" t="s">
        <v>6028</v>
      </c>
    </row>
    <row r="181" spans="1:10" ht="15" customHeight="1" x14ac:dyDescent="0.25">
      <c r="A181" t="s">
        <v>6291</v>
      </c>
      <c r="B181" t="s">
        <v>3517</v>
      </c>
      <c r="C181" t="s">
        <v>5444</v>
      </c>
      <c r="D181">
        <v>1</v>
      </c>
      <c r="E181" t="s">
        <v>5874</v>
      </c>
      <c r="F181" t="s">
        <v>5875</v>
      </c>
      <c r="G181">
        <v>1</v>
      </c>
      <c r="H181" t="s">
        <v>6291</v>
      </c>
      <c r="I181" t="s">
        <v>2361</v>
      </c>
      <c r="J181" t="s">
        <v>6009</v>
      </c>
    </row>
    <row r="182" spans="1:10" ht="15" customHeight="1" x14ac:dyDescent="0.25">
      <c r="A182" t="s">
        <v>6292</v>
      </c>
      <c r="B182" t="s">
        <v>3517</v>
      </c>
      <c r="C182" t="s">
        <v>5363</v>
      </c>
      <c r="D182">
        <v>1</v>
      </c>
      <c r="E182" t="s">
        <v>6293</v>
      </c>
      <c r="F182" t="s">
        <v>6294</v>
      </c>
      <c r="G182">
        <v>1</v>
      </c>
      <c r="H182" t="s">
        <v>6295</v>
      </c>
      <c r="I182" t="s">
        <v>90</v>
      </c>
      <c r="J182" t="s">
        <v>5930</v>
      </c>
    </row>
    <row r="183" spans="1:10" ht="15" customHeight="1" x14ac:dyDescent="0.25">
      <c r="A183" t="s">
        <v>6296</v>
      </c>
      <c r="B183" t="s">
        <v>3505</v>
      </c>
      <c r="C183" t="s">
        <v>5363</v>
      </c>
      <c r="D183">
        <v>1</v>
      </c>
      <c r="E183" t="s">
        <v>6297</v>
      </c>
      <c r="F183" t="s">
        <v>6298</v>
      </c>
      <c r="G183">
        <v>1</v>
      </c>
      <c r="H183" t="s">
        <v>6299</v>
      </c>
      <c r="I183" t="s">
        <v>90</v>
      </c>
      <c r="J183" t="s">
        <v>6300</v>
      </c>
    </row>
    <row r="184" spans="1:10" ht="15" customHeight="1" x14ac:dyDescent="0.25">
      <c r="A184" t="s">
        <v>6301</v>
      </c>
      <c r="B184" t="s">
        <v>3549</v>
      </c>
      <c r="C184" t="s">
        <v>5725</v>
      </c>
      <c r="D184">
        <v>1</v>
      </c>
      <c r="E184" t="s">
        <v>6283</v>
      </c>
      <c r="F184" t="s">
        <v>6284</v>
      </c>
      <c r="G184">
        <v>1</v>
      </c>
      <c r="H184" t="s">
        <v>3461</v>
      </c>
      <c r="I184" t="s">
        <v>3461</v>
      </c>
    </row>
    <row r="185" spans="1:10" ht="15" customHeight="1" x14ac:dyDescent="0.25">
      <c r="A185" t="s">
        <v>6302</v>
      </c>
      <c r="B185" t="s">
        <v>41</v>
      </c>
      <c r="C185" t="s">
        <v>5725</v>
      </c>
      <c r="D185">
        <v>1</v>
      </c>
      <c r="E185" t="s">
        <v>6303</v>
      </c>
      <c r="F185" t="s">
        <v>6304</v>
      </c>
      <c r="G185">
        <v>1</v>
      </c>
      <c r="H185" t="s">
        <v>6305</v>
      </c>
      <c r="I185" t="s">
        <v>90</v>
      </c>
      <c r="J185" t="s">
        <v>5756</v>
      </c>
    </row>
    <row r="186" spans="1:10" ht="15" customHeight="1" x14ac:dyDescent="0.25">
      <c r="A186" t="s">
        <v>5699</v>
      </c>
      <c r="B186" t="s">
        <v>3549</v>
      </c>
      <c r="C186" t="s">
        <v>5363</v>
      </c>
      <c r="D186">
        <v>1</v>
      </c>
      <c r="E186" t="s">
        <v>6306</v>
      </c>
      <c r="F186" t="s">
        <v>6307</v>
      </c>
      <c r="G186">
        <v>1</v>
      </c>
      <c r="H186" t="s">
        <v>5699</v>
      </c>
      <c r="I186" t="s">
        <v>90</v>
      </c>
      <c r="J186" t="s">
        <v>6308</v>
      </c>
    </row>
    <row r="187" spans="1:10" ht="15" customHeight="1" x14ac:dyDescent="0.25">
      <c r="A187" t="s">
        <v>6309</v>
      </c>
      <c r="B187" t="s">
        <v>41</v>
      </c>
      <c r="C187" t="s">
        <v>5725</v>
      </c>
      <c r="D187">
        <v>1</v>
      </c>
      <c r="E187" t="s">
        <v>6310</v>
      </c>
      <c r="F187" t="s">
        <v>6311</v>
      </c>
      <c r="G187">
        <v>1</v>
      </c>
      <c r="H187" t="s">
        <v>6312</v>
      </c>
      <c r="I187" t="s">
        <v>90</v>
      </c>
      <c r="J187" t="s">
        <v>6313</v>
      </c>
    </row>
    <row r="188" spans="1:10" ht="15" customHeight="1" x14ac:dyDescent="0.25">
      <c r="A188" t="s">
        <v>6314</v>
      </c>
      <c r="B188" t="s">
        <v>41</v>
      </c>
      <c r="C188" t="s">
        <v>5725</v>
      </c>
      <c r="D188">
        <v>1</v>
      </c>
      <c r="E188" t="s">
        <v>6315</v>
      </c>
      <c r="F188" t="s">
        <v>6316</v>
      </c>
      <c r="G188">
        <v>1</v>
      </c>
      <c r="H188" t="s">
        <v>6317</v>
      </c>
      <c r="I188" t="s">
        <v>90</v>
      </c>
      <c r="J188" t="s">
        <v>5738</v>
      </c>
    </row>
    <row r="189" spans="1:10" ht="15" customHeight="1" x14ac:dyDescent="0.25">
      <c r="A189" t="s">
        <v>6318</v>
      </c>
      <c r="B189" t="s">
        <v>3517</v>
      </c>
      <c r="C189" t="s">
        <v>5363</v>
      </c>
      <c r="D189" t="s">
        <v>4000</v>
      </c>
      <c r="E189" t="s">
        <v>6319</v>
      </c>
      <c r="F189" t="s">
        <v>6320</v>
      </c>
      <c r="G189" t="s">
        <v>4000</v>
      </c>
      <c r="H189" t="s">
        <v>6318</v>
      </c>
      <c r="I189" t="s">
        <v>90</v>
      </c>
      <c r="J189" t="s">
        <v>6321</v>
      </c>
    </row>
    <row r="190" spans="1:10" ht="15" customHeight="1" x14ac:dyDescent="0.25">
      <c r="A190" t="s">
        <v>6322</v>
      </c>
      <c r="B190" t="s">
        <v>3517</v>
      </c>
      <c r="C190" t="s">
        <v>5808</v>
      </c>
      <c r="D190">
        <v>3</v>
      </c>
      <c r="E190" t="s">
        <v>6323</v>
      </c>
      <c r="F190" t="s">
        <v>6324</v>
      </c>
      <c r="G190">
        <v>3</v>
      </c>
      <c r="H190" t="s">
        <v>6325</v>
      </c>
      <c r="I190" t="s">
        <v>1672</v>
      </c>
    </row>
    <row r="191" spans="1:10" ht="15" customHeight="1" x14ac:dyDescent="0.25">
      <c r="A191" t="s">
        <v>6326</v>
      </c>
      <c r="B191" t="s">
        <v>3517</v>
      </c>
      <c r="C191" t="s">
        <v>5363</v>
      </c>
      <c r="D191">
        <v>1</v>
      </c>
      <c r="E191" t="s">
        <v>6327</v>
      </c>
      <c r="F191" t="s">
        <v>6327</v>
      </c>
      <c r="G191">
        <v>0</v>
      </c>
      <c r="H191" t="s">
        <v>6326</v>
      </c>
      <c r="I191" t="s">
        <v>90</v>
      </c>
      <c r="J191" t="s">
        <v>6134</v>
      </c>
    </row>
    <row r="192" spans="1:10" ht="15" customHeight="1" x14ac:dyDescent="0.25">
      <c r="A192" t="s">
        <v>6328</v>
      </c>
      <c r="B192" t="s">
        <v>41</v>
      </c>
      <c r="C192" t="s">
        <v>5725</v>
      </c>
      <c r="D192">
        <v>1</v>
      </c>
      <c r="E192" t="s">
        <v>6329</v>
      </c>
      <c r="F192" t="s">
        <v>6330</v>
      </c>
      <c r="G192">
        <v>1</v>
      </c>
      <c r="H192" t="s">
        <v>6328</v>
      </c>
      <c r="I192" t="s">
        <v>90</v>
      </c>
      <c r="J192" t="s">
        <v>5870</v>
      </c>
    </row>
    <row r="193" spans="1:10" ht="15" customHeight="1" x14ac:dyDescent="0.25">
      <c r="A193" t="s">
        <v>6331</v>
      </c>
      <c r="B193" t="s">
        <v>3505</v>
      </c>
      <c r="C193" t="s">
        <v>4600</v>
      </c>
      <c r="D193">
        <v>1</v>
      </c>
      <c r="E193" t="s">
        <v>6332</v>
      </c>
      <c r="F193" t="s">
        <v>6332</v>
      </c>
      <c r="G193">
        <v>0</v>
      </c>
      <c r="H193" t="s">
        <v>6333</v>
      </c>
      <c r="I193" t="s">
        <v>90</v>
      </c>
      <c r="J193" t="s">
        <v>5711</v>
      </c>
    </row>
    <row r="194" spans="1:10" ht="15" customHeight="1" x14ac:dyDescent="0.25">
      <c r="A194" t="s">
        <v>6334</v>
      </c>
      <c r="B194" t="s">
        <v>41</v>
      </c>
      <c r="C194" t="s">
        <v>5363</v>
      </c>
      <c r="D194">
        <v>1</v>
      </c>
      <c r="E194" t="s">
        <v>6335</v>
      </c>
      <c r="F194" t="s">
        <v>6336</v>
      </c>
      <c r="G194">
        <v>1</v>
      </c>
      <c r="H194" t="s">
        <v>6337</v>
      </c>
      <c r="I194" t="s">
        <v>90</v>
      </c>
      <c r="J194" t="s">
        <v>6002</v>
      </c>
    </row>
    <row r="195" spans="1:10" ht="15" customHeight="1" x14ac:dyDescent="0.25">
      <c r="A195" t="s">
        <v>6338</v>
      </c>
      <c r="B195" t="s">
        <v>41</v>
      </c>
      <c r="C195" t="s">
        <v>5725</v>
      </c>
      <c r="D195">
        <v>1</v>
      </c>
      <c r="E195" t="s">
        <v>6339</v>
      </c>
      <c r="F195" t="s">
        <v>6340</v>
      </c>
      <c r="G195">
        <v>1</v>
      </c>
      <c r="H195" t="s">
        <v>6341</v>
      </c>
      <c r="I195" t="s">
        <v>90</v>
      </c>
      <c r="J195" t="s">
        <v>5738</v>
      </c>
    </row>
    <row r="196" spans="1:10" ht="15" customHeight="1" x14ac:dyDescent="0.25">
      <c r="A196" t="s">
        <v>6342</v>
      </c>
      <c r="B196" t="s">
        <v>3505</v>
      </c>
      <c r="C196" t="s">
        <v>5725</v>
      </c>
      <c r="D196">
        <v>1</v>
      </c>
      <c r="E196" t="s">
        <v>6343</v>
      </c>
      <c r="F196" t="s">
        <v>6344</v>
      </c>
      <c r="G196">
        <v>1</v>
      </c>
      <c r="H196" t="s">
        <v>6342</v>
      </c>
      <c r="I196" t="s">
        <v>90</v>
      </c>
      <c r="J196" t="s">
        <v>5985</v>
      </c>
    </row>
    <row r="197" spans="1:10" ht="15" customHeight="1" x14ac:dyDescent="0.25">
      <c r="A197" t="s">
        <v>6345</v>
      </c>
      <c r="B197" t="s">
        <v>3517</v>
      </c>
      <c r="C197" t="s">
        <v>5725</v>
      </c>
      <c r="D197">
        <v>2</v>
      </c>
      <c r="E197" t="s">
        <v>6346</v>
      </c>
      <c r="F197" t="s">
        <v>6347</v>
      </c>
      <c r="G197">
        <v>2</v>
      </c>
      <c r="H197" t="s">
        <v>6345</v>
      </c>
      <c r="I197" t="s">
        <v>90</v>
      </c>
      <c r="J197" t="s">
        <v>5870</v>
      </c>
    </row>
    <row r="198" spans="1:10" ht="15" customHeight="1" x14ac:dyDescent="0.25">
      <c r="A198" t="s">
        <v>6348</v>
      </c>
      <c r="B198" t="s">
        <v>3505</v>
      </c>
      <c r="C198" t="s">
        <v>5444</v>
      </c>
      <c r="D198">
        <v>1</v>
      </c>
      <c r="E198" t="s">
        <v>5874</v>
      </c>
      <c r="F198" t="s">
        <v>5875</v>
      </c>
      <c r="G198">
        <v>1</v>
      </c>
      <c r="H198" t="s">
        <v>6348</v>
      </c>
      <c r="I198" t="s">
        <v>2361</v>
      </c>
      <c r="J198" t="s">
        <v>6009</v>
      </c>
    </row>
    <row r="199" spans="1:10" ht="15" customHeight="1" x14ac:dyDescent="0.25">
      <c r="A199" t="s">
        <v>6349</v>
      </c>
      <c r="B199" t="s">
        <v>41</v>
      </c>
      <c r="C199" t="s">
        <v>5363</v>
      </c>
      <c r="D199">
        <v>0</v>
      </c>
      <c r="E199" t="s">
        <v>6350</v>
      </c>
      <c r="F199" t="s">
        <v>6351</v>
      </c>
      <c r="G199">
        <v>0</v>
      </c>
      <c r="H199" t="s">
        <v>6349</v>
      </c>
      <c r="I199" t="s">
        <v>90</v>
      </c>
      <c r="J199" t="s">
        <v>5766</v>
      </c>
    </row>
    <row r="200" spans="1:10" ht="15" customHeight="1" x14ac:dyDescent="0.25">
      <c r="A200" t="s">
        <v>6352</v>
      </c>
      <c r="B200" t="s">
        <v>3517</v>
      </c>
      <c r="C200" t="s">
        <v>5444</v>
      </c>
      <c r="D200">
        <v>1</v>
      </c>
      <c r="E200" t="s">
        <v>5874</v>
      </c>
      <c r="F200" t="s">
        <v>5875</v>
      </c>
      <c r="G200">
        <v>1</v>
      </c>
      <c r="H200" t="s">
        <v>6352</v>
      </c>
      <c r="I200" t="s">
        <v>2361</v>
      </c>
      <c r="J200" t="s">
        <v>5922</v>
      </c>
    </row>
    <row r="201" spans="1:10" ht="15" customHeight="1" x14ac:dyDescent="0.25">
      <c r="A201" t="s">
        <v>5294</v>
      </c>
      <c r="B201" t="s">
        <v>3517</v>
      </c>
      <c r="C201" t="s">
        <v>4600</v>
      </c>
      <c r="D201">
        <v>1</v>
      </c>
      <c r="E201" t="s">
        <v>6353</v>
      </c>
      <c r="F201" t="s">
        <v>6354</v>
      </c>
      <c r="G201">
        <v>1</v>
      </c>
      <c r="H201" t="s">
        <v>5296</v>
      </c>
      <c r="I201" t="s">
        <v>90</v>
      </c>
      <c r="J201" t="s">
        <v>5995</v>
      </c>
    </row>
    <row r="202" spans="1:10" ht="15" customHeight="1" x14ac:dyDescent="0.25">
      <c r="A202" t="s">
        <v>6355</v>
      </c>
      <c r="B202" t="s">
        <v>3517</v>
      </c>
      <c r="C202" t="s">
        <v>5725</v>
      </c>
      <c r="D202" t="s">
        <v>5949</v>
      </c>
      <c r="E202" t="s">
        <v>6356</v>
      </c>
      <c r="F202" t="s">
        <v>6357</v>
      </c>
      <c r="G202" t="s">
        <v>5949</v>
      </c>
      <c r="H202" t="s">
        <v>6355</v>
      </c>
      <c r="I202" t="s">
        <v>90</v>
      </c>
      <c r="J202" t="s">
        <v>5738</v>
      </c>
    </row>
    <row r="203" spans="1:10" ht="15" customHeight="1" x14ac:dyDescent="0.25">
      <c r="A203" t="s">
        <v>6358</v>
      </c>
      <c r="B203" t="s">
        <v>3517</v>
      </c>
      <c r="C203" t="s">
        <v>5363</v>
      </c>
      <c r="D203">
        <v>1</v>
      </c>
      <c r="E203" t="s">
        <v>6359</v>
      </c>
      <c r="F203" t="s">
        <v>6359</v>
      </c>
      <c r="G203">
        <v>0</v>
      </c>
      <c r="H203" t="s">
        <v>6360</v>
      </c>
      <c r="I203" t="s">
        <v>90</v>
      </c>
      <c r="J203" t="s">
        <v>6361</v>
      </c>
    </row>
    <row r="204" spans="1:10" ht="15" customHeight="1" x14ac:dyDescent="0.25">
      <c r="A204" t="s">
        <v>6362</v>
      </c>
      <c r="B204" t="s">
        <v>41</v>
      </c>
      <c r="C204" t="s">
        <v>5725</v>
      </c>
      <c r="D204">
        <v>1</v>
      </c>
      <c r="E204" t="s">
        <v>6363</v>
      </c>
      <c r="F204" t="s">
        <v>6364</v>
      </c>
      <c r="G204">
        <v>1</v>
      </c>
      <c r="H204" t="s">
        <v>6365</v>
      </c>
      <c r="I204" t="s">
        <v>90</v>
      </c>
      <c r="J204" t="s">
        <v>5988</v>
      </c>
    </row>
    <row r="205" spans="1:10" ht="15" customHeight="1" x14ac:dyDescent="0.25">
      <c r="A205" t="s">
        <v>6366</v>
      </c>
      <c r="B205" t="s">
        <v>4300</v>
      </c>
      <c r="C205" t="s">
        <v>3659</v>
      </c>
      <c r="D205" t="s">
        <v>4000</v>
      </c>
      <c r="E205" t="s">
        <v>6091</v>
      </c>
      <c r="F205" t="s">
        <v>3461</v>
      </c>
      <c r="G205" t="s">
        <v>4000</v>
      </c>
      <c r="H205" t="s">
        <v>6366</v>
      </c>
      <c r="I205" t="s">
        <v>90</v>
      </c>
    </row>
    <row r="206" spans="1:10" ht="15" customHeight="1" x14ac:dyDescent="0.25">
      <c r="A206" t="s">
        <v>6367</v>
      </c>
      <c r="B206" t="s">
        <v>3505</v>
      </c>
      <c r="C206" t="s">
        <v>4600</v>
      </c>
      <c r="D206">
        <v>3</v>
      </c>
      <c r="E206" t="s">
        <v>6368</v>
      </c>
      <c r="F206" t="s">
        <v>6369</v>
      </c>
      <c r="G206">
        <v>3</v>
      </c>
      <c r="H206" t="s">
        <v>6370</v>
      </c>
      <c r="I206" t="s">
        <v>90</v>
      </c>
      <c r="J206" t="s">
        <v>5720</v>
      </c>
    </row>
    <row r="207" spans="1:10" ht="15" customHeight="1" x14ac:dyDescent="0.25">
      <c r="A207" t="s">
        <v>6371</v>
      </c>
      <c r="B207" t="s">
        <v>4300</v>
      </c>
      <c r="C207" t="s">
        <v>4248</v>
      </c>
      <c r="D207" t="s">
        <v>4000</v>
      </c>
      <c r="E207" t="s">
        <v>6372</v>
      </c>
      <c r="F207" t="s">
        <v>3461</v>
      </c>
      <c r="G207" t="s">
        <v>3461</v>
      </c>
      <c r="H207" t="s">
        <v>6371</v>
      </c>
      <c r="I207" t="s">
        <v>90</v>
      </c>
      <c r="J207" t="s">
        <v>5873</v>
      </c>
    </row>
    <row r="208" spans="1:10" ht="15" customHeight="1" x14ac:dyDescent="0.25">
      <c r="A208" t="s">
        <v>6373</v>
      </c>
      <c r="B208" t="s">
        <v>4300</v>
      </c>
      <c r="C208" t="s">
        <v>3659</v>
      </c>
      <c r="D208">
        <v>1</v>
      </c>
      <c r="E208" t="s">
        <v>6374</v>
      </c>
      <c r="F208" t="s">
        <v>3461</v>
      </c>
      <c r="G208" t="s">
        <v>3461</v>
      </c>
      <c r="H208" t="s">
        <v>6375</v>
      </c>
      <c r="I208" t="s">
        <v>501</v>
      </c>
      <c r="J208" t="s">
        <v>5796</v>
      </c>
    </row>
    <row r="209" spans="1:10" ht="15" customHeight="1" x14ac:dyDescent="0.25">
      <c r="A209" t="s">
        <v>4705</v>
      </c>
      <c r="B209" t="s">
        <v>41</v>
      </c>
      <c r="C209" t="s">
        <v>5725</v>
      </c>
      <c r="D209">
        <v>1</v>
      </c>
      <c r="E209" t="s">
        <v>6118</v>
      </c>
      <c r="F209" t="s">
        <v>6118</v>
      </c>
      <c r="G209">
        <v>1</v>
      </c>
      <c r="H209" t="s">
        <v>4708</v>
      </c>
      <c r="I209" t="s">
        <v>1046</v>
      </c>
      <c r="J209" t="s">
        <v>5758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5701</v>
      </c>
      <c r="E1" t="s">
        <v>3456</v>
      </c>
      <c r="F1" t="s">
        <v>6376</v>
      </c>
      <c r="G1" t="s">
        <v>6377</v>
      </c>
      <c r="H1" t="s">
        <v>6378</v>
      </c>
      <c r="I1" t="s">
        <v>6379</v>
      </c>
      <c r="J1" t="s">
        <v>5725</v>
      </c>
      <c r="K1" t="s">
        <v>4263</v>
      </c>
      <c r="L1" t="s">
        <v>1</v>
      </c>
      <c r="M1" t="s">
        <v>6380</v>
      </c>
      <c r="N1" t="s">
        <v>6381</v>
      </c>
      <c r="O1" t="s">
        <v>170</v>
      </c>
    </row>
    <row r="2" spans="1:15" ht="15" customHeight="1" x14ac:dyDescent="0.25">
      <c r="A2" t="s">
        <v>5704</v>
      </c>
      <c r="B2" t="s">
        <v>3517</v>
      </c>
      <c r="C2" t="s">
        <v>4600</v>
      </c>
      <c r="D2">
        <v>1</v>
      </c>
      <c r="E2" t="s">
        <v>5705</v>
      </c>
      <c r="F2" t="s">
        <v>6382</v>
      </c>
      <c r="G2" t="s">
        <v>5706</v>
      </c>
      <c r="H2" t="s">
        <v>6383</v>
      </c>
      <c r="I2">
        <v>1</v>
      </c>
      <c r="J2" t="s">
        <v>3461</v>
      </c>
      <c r="K2" t="s">
        <v>5704</v>
      </c>
      <c r="L2" t="s">
        <v>90</v>
      </c>
      <c r="M2" t="s">
        <v>3461</v>
      </c>
      <c r="N2" t="s">
        <v>3461</v>
      </c>
      <c r="O2" t="s">
        <v>5707</v>
      </c>
    </row>
    <row r="3" spans="1:15" ht="15" customHeight="1" x14ac:dyDescent="0.25">
      <c r="A3" t="s">
        <v>5708</v>
      </c>
      <c r="B3" t="s">
        <v>41</v>
      </c>
      <c r="C3" t="s">
        <v>5363</v>
      </c>
      <c r="D3">
        <v>1</v>
      </c>
      <c r="E3" t="s">
        <v>5709</v>
      </c>
      <c r="F3" t="s">
        <v>6384</v>
      </c>
      <c r="G3" t="s">
        <v>5710</v>
      </c>
      <c r="H3" t="s">
        <v>6385</v>
      </c>
      <c r="I3">
        <v>1</v>
      </c>
      <c r="J3" t="s">
        <v>3461</v>
      </c>
      <c r="K3" t="s">
        <v>5708</v>
      </c>
      <c r="L3" t="s">
        <v>90</v>
      </c>
      <c r="M3" t="s">
        <v>3461</v>
      </c>
      <c r="N3" t="s">
        <v>3461</v>
      </c>
      <c r="O3" t="s">
        <v>5711</v>
      </c>
    </row>
    <row r="4" spans="1:15" ht="15" customHeight="1" x14ac:dyDescent="0.25">
      <c r="A4" t="s">
        <v>5712</v>
      </c>
      <c r="B4" t="s">
        <v>3505</v>
      </c>
      <c r="C4" t="s">
        <v>5363</v>
      </c>
      <c r="D4">
        <v>0</v>
      </c>
      <c r="E4" t="s">
        <v>5713</v>
      </c>
      <c r="F4" t="s">
        <v>6386</v>
      </c>
      <c r="G4" t="s">
        <v>5714</v>
      </c>
      <c r="H4" t="s">
        <v>6387</v>
      </c>
      <c r="I4">
        <v>0</v>
      </c>
      <c r="J4" t="s">
        <v>3461</v>
      </c>
      <c r="K4" t="s">
        <v>5712</v>
      </c>
      <c r="L4" t="s">
        <v>90</v>
      </c>
      <c r="M4" t="s">
        <v>5499</v>
      </c>
      <c r="N4" t="s">
        <v>3461</v>
      </c>
      <c r="O4" t="s">
        <v>5715</v>
      </c>
    </row>
    <row r="5" spans="1:15" ht="15" customHeight="1" x14ac:dyDescent="0.25">
      <c r="A5" t="s">
        <v>5716</v>
      </c>
      <c r="B5" t="s">
        <v>3505</v>
      </c>
      <c r="C5" t="s">
        <v>4600</v>
      </c>
      <c r="D5">
        <v>1</v>
      </c>
      <c r="E5" t="s">
        <v>5717</v>
      </c>
      <c r="F5" t="s">
        <v>6388</v>
      </c>
      <c r="G5" t="s">
        <v>5718</v>
      </c>
      <c r="H5" t="s">
        <v>6388</v>
      </c>
      <c r="I5">
        <v>1</v>
      </c>
      <c r="J5" t="s">
        <v>3461</v>
      </c>
      <c r="K5" t="s">
        <v>5719</v>
      </c>
      <c r="L5" t="s">
        <v>90</v>
      </c>
      <c r="M5" t="s">
        <v>5438</v>
      </c>
      <c r="N5" t="s">
        <v>3461</v>
      </c>
      <c r="O5" t="s">
        <v>5720</v>
      </c>
    </row>
    <row r="6" spans="1:15" ht="15" customHeight="1" x14ac:dyDescent="0.25">
      <c r="A6" t="s">
        <v>5721</v>
      </c>
      <c r="B6" t="s">
        <v>3505</v>
      </c>
      <c r="C6" t="s">
        <v>5363</v>
      </c>
      <c r="D6">
        <v>1</v>
      </c>
      <c r="E6" t="s">
        <v>5722</v>
      </c>
      <c r="F6" t="s">
        <v>6389</v>
      </c>
      <c r="G6" t="s">
        <v>5722</v>
      </c>
      <c r="H6" t="s">
        <v>6389</v>
      </c>
      <c r="I6">
        <v>0</v>
      </c>
      <c r="J6" t="s">
        <v>3461</v>
      </c>
      <c r="K6" t="s">
        <v>5721</v>
      </c>
      <c r="L6" t="s">
        <v>90</v>
      </c>
      <c r="M6" t="s">
        <v>5499</v>
      </c>
      <c r="N6" t="s">
        <v>3461</v>
      </c>
      <c r="O6" t="s">
        <v>6390</v>
      </c>
    </row>
    <row r="7" spans="1:15" ht="15" customHeight="1" x14ac:dyDescent="0.25">
      <c r="A7" t="s">
        <v>5724</v>
      </c>
      <c r="B7" t="s">
        <v>3505</v>
      </c>
      <c r="C7" t="s">
        <v>5725</v>
      </c>
      <c r="D7">
        <v>2</v>
      </c>
      <c r="E7" t="s">
        <v>6391</v>
      </c>
      <c r="F7" t="s">
        <v>6392</v>
      </c>
      <c r="G7" t="s">
        <v>6393</v>
      </c>
      <c r="H7" t="s">
        <v>6394</v>
      </c>
      <c r="I7">
        <v>2</v>
      </c>
      <c r="J7" t="s">
        <v>6395</v>
      </c>
      <c r="K7" t="s">
        <v>5728</v>
      </c>
      <c r="L7" t="s">
        <v>90</v>
      </c>
      <c r="M7" t="s">
        <v>3461</v>
      </c>
      <c r="N7" t="s">
        <v>3461</v>
      </c>
      <c r="O7" t="s">
        <v>5729</v>
      </c>
    </row>
    <row r="8" spans="1:15" ht="15" customHeight="1" x14ac:dyDescent="0.25">
      <c r="A8" t="s">
        <v>5730</v>
      </c>
      <c r="B8" t="s">
        <v>3517</v>
      </c>
      <c r="C8" t="s">
        <v>5725</v>
      </c>
      <c r="D8">
        <v>1</v>
      </c>
      <c r="E8" t="s">
        <v>6396</v>
      </c>
      <c r="F8" t="s">
        <v>6397</v>
      </c>
      <c r="G8" t="s">
        <v>6398</v>
      </c>
      <c r="H8" t="s">
        <v>6399</v>
      </c>
      <c r="I8">
        <v>1</v>
      </c>
      <c r="J8" t="s">
        <v>6400</v>
      </c>
      <c r="K8" t="s">
        <v>5733</v>
      </c>
      <c r="L8" t="s">
        <v>90</v>
      </c>
      <c r="M8" t="s">
        <v>3461</v>
      </c>
      <c r="N8" t="s">
        <v>3461</v>
      </c>
      <c r="O8" t="s">
        <v>5734</v>
      </c>
    </row>
    <row r="9" spans="1:15" ht="15" customHeight="1" x14ac:dyDescent="0.25">
      <c r="A9" t="s">
        <v>5735</v>
      </c>
      <c r="B9" t="s">
        <v>41</v>
      </c>
      <c r="C9" t="s">
        <v>5725</v>
      </c>
      <c r="D9">
        <v>0</v>
      </c>
      <c r="E9" t="s">
        <v>5736</v>
      </c>
      <c r="F9" t="s">
        <v>6401</v>
      </c>
      <c r="G9" t="s">
        <v>5737</v>
      </c>
      <c r="H9" t="s">
        <v>6402</v>
      </c>
      <c r="I9">
        <v>0</v>
      </c>
      <c r="J9" t="s">
        <v>6403</v>
      </c>
      <c r="K9" t="s">
        <v>5735</v>
      </c>
      <c r="L9" t="s">
        <v>90</v>
      </c>
      <c r="M9" t="s">
        <v>3461</v>
      </c>
      <c r="N9" t="s">
        <v>3461</v>
      </c>
      <c r="O9" t="s">
        <v>5738</v>
      </c>
    </row>
    <row r="10" spans="1:15" ht="15" customHeight="1" x14ac:dyDescent="0.25">
      <c r="A10" t="s">
        <v>5739</v>
      </c>
      <c r="B10" t="s">
        <v>41</v>
      </c>
      <c r="C10" t="s">
        <v>5363</v>
      </c>
      <c r="D10">
        <v>1</v>
      </c>
      <c r="E10" t="s">
        <v>5740</v>
      </c>
      <c r="F10" t="s">
        <v>6404</v>
      </c>
      <c r="G10" t="s">
        <v>5741</v>
      </c>
      <c r="H10" t="s">
        <v>6405</v>
      </c>
      <c r="I10">
        <v>1</v>
      </c>
      <c r="J10" t="s">
        <v>3461</v>
      </c>
      <c r="K10" t="s">
        <v>5739</v>
      </c>
      <c r="L10" t="s">
        <v>90</v>
      </c>
      <c r="M10" t="s">
        <v>3461</v>
      </c>
      <c r="N10" t="s">
        <v>3461</v>
      </c>
      <c r="O10" t="s">
        <v>5742</v>
      </c>
    </row>
    <row r="11" spans="1:15" ht="15" customHeight="1" x14ac:dyDescent="0.25">
      <c r="A11" t="s">
        <v>5743</v>
      </c>
      <c r="B11" t="s">
        <v>41</v>
      </c>
      <c r="C11" t="s">
        <v>5363</v>
      </c>
      <c r="D11">
        <v>1</v>
      </c>
      <c r="E11" t="s">
        <v>5744</v>
      </c>
      <c r="F11" t="s">
        <v>6406</v>
      </c>
      <c r="G11" t="s">
        <v>5745</v>
      </c>
      <c r="H11" t="s">
        <v>6407</v>
      </c>
      <c r="I11">
        <v>1</v>
      </c>
      <c r="J11" t="s">
        <v>3461</v>
      </c>
      <c r="K11" t="s">
        <v>5743</v>
      </c>
      <c r="L11" t="s">
        <v>90</v>
      </c>
      <c r="M11" t="s">
        <v>3461</v>
      </c>
      <c r="N11" t="s">
        <v>3461</v>
      </c>
      <c r="O11" t="s">
        <v>5746</v>
      </c>
    </row>
    <row r="12" spans="1:15" ht="15" customHeight="1" x14ac:dyDescent="0.25">
      <c r="A12" t="s">
        <v>5747</v>
      </c>
      <c r="B12" t="s">
        <v>3517</v>
      </c>
      <c r="C12" t="s">
        <v>5725</v>
      </c>
      <c r="D12">
        <v>0</v>
      </c>
      <c r="E12" t="s">
        <v>5748</v>
      </c>
      <c r="F12" t="s">
        <v>6408</v>
      </c>
      <c r="G12" t="s">
        <v>5749</v>
      </c>
      <c r="H12" t="s">
        <v>6409</v>
      </c>
      <c r="I12">
        <v>0</v>
      </c>
      <c r="J12" t="s">
        <v>6395</v>
      </c>
      <c r="K12" t="s">
        <v>5747</v>
      </c>
      <c r="L12" t="s">
        <v>90</v>
      </c>
      <c r="M12" t="s">
        <v>6410</v>
      </c>
      <c r="N12" t="s">
        <v>3461</v>
      </c>
      <c r="O12" t="s">
        <v>5750</v>
      </c>
    </row>
    <row r="13" spans="1:15" ht="15" customHeight="1" x14ac:dyDescent="0.25">
      <c r="A13" t="s">
        <v>4430</v>
      </c>
      <c r="B13" t="s">
        <v>3517</v>
      </c>
      <c r="C13" t="s">
        <v>5363</v>
      </c>
      <c r="D13">
        <v>1</v>
      </c>
      <c r="E13" t="s">
        <v>5751</v>
      </c>
      <c r="F13" t="s">
        <v>6411</v>
      </c>
      <c r="G13" t="s">
        <v>5751</v>
      </c>
      <c r="H13" t="s">
        <v>6411</v>
      </c>
      <c r="I13">
        <v>1</v>
      </c>
      <c r="J13" t="s">
        <v>6412</v>
      </c>
      <c r="K13" t="s">
        <v>4435</v>
      </c>
      <c r="L13" t="s">
        <v>1649</v>
      </c>
      <c r="M13" t="s">
        <v>3461</v>
      </c>
      <c r="N13" t="s">
        <v>3461</v>
      </c>
      <c r="O13" t="s">
        <v>6413</v>
      </c>
    </row>
    <row r="14" spans="1:15" ht="15" customHeight="1" x14ac:dyDescent="0.25">
      <c r="A14" t="s">
        <v>5753</v>
      </c>
      <c r="B14" t="s">
        <v>41</v>
      </c>
      <c r="C14" t="s">
        <v>5725</v>
      </c>
      <c r="D14">
        <v>1</v>
      </c>
      <c r="E14" t="s">
        <v>6414</v>
      </c>
      <c r="F14" t="s">
        <v>6415</v>
      </c>
      <c r="G14" t="s">
        <v>6416</v>
      </c>
      <c r="H14" t="s">
        <v>6417</v>
      </c>
      <c r="I14">
        <v>1</v>
      </c>
      <c r="J14" t="s">
        <v>6412</v>
      </c>
      <c r="K14" t="s">
        <v>5753</v>
      </c>
      <c r="L14" t="s">
        <v>90</v>
      </c>
      <c r="M14" t="s">
        <v>3461</v>
      </c>
      <c r="N14" t="s">
        <v>3461</v>
      </c>
      <c r="O14" t="s">
        <v>6418</v>
      </c>
    </row>
    <row r="15" spans="1:15" ht="15" customHeight="1" x14ac:dyDescent="0.25">
      <c r="A15" t="s">
        <v>4441</v>
      </c>
      <c r="B15" t="s">
        <v>3517</v>
      </c>
      <c r="C15" t="s">
        <v>5725</v>
      </c>
      <c r="D15">
        <v>1</v>
      </c>
      <c r="E15" t="s">
        <v>5757</v>
      </c>
      <c r="F15" t="s">
        <v>6419</v>
      </c>
      <c r="G15" t="s">
        <v>5757</v>
      </c>
      <c r="H15" t="s">
        <v>6419</v>
      </c>
      <c r="I15">
        <v>1</v>
      </c>
      <c r="J15" t="s">
        <v>6420</v>
      </c>
      <c r="K15" t="s">
        <v>4441</v>
      </c>
      <c r="L15" t="s">
        <v>1046</v>
      </c>
      <c r="M15" t="s">
        <v>5430</v>
      </c>
      <c r="N15" t="s">
        <v>3461</v>
      </c>
      <c r="O15" t="s">
        <v>5758</v>
      </c>
    </row>
    <row r="16" spans="1:15" ht="15" customHeight="1" x14ac:dyDescent="0.25">
      <c r="A16" t="s">
        <v>3524</v>
      </c>
      <c r="B16" t="s">
        <v>3505</v>
      </c>
      <c r="C16" t="s">
        <v>4600</v>
      </c>
      <c r="D16">
        <v>3</v>
      </c>
      <c r="E16" s="8" t="s">
        <v>6421</v>
      </c>
      <c r="F16" t="s">
        <v>6422</v>
      </c>
      <c r="G16" s="8" t="s">
        <v>6421</v>
      </c>
      <c r="H16" t="s">
        <v>6422</v>
      </c>
      <c r="I16">
        <v>2</v>
      </c>
      <c r="J16" t="s">
        <v>3461</v>
      </c>
      <c r="K16" t="s">
        <v>3524</v>
      </c>
      <c r="L16" t="s">
        <v>90</v>
      </c>
      <c r="M16" t="s">
        <v>3461</v>
      </c>
      <c r="N16" t="s">
        <v>3461</v>
      </c>
      <c r="O16" t="s">
        <v>6423</v>
      </c>
    </row>
    <row r="17" spans="1:15" ht="15" customHeight="1" x14ac:dyDescent="0.25">
      <c r="A17" t="s">
        <v>3446</v>
      </c>
      <c r="B17" t="s">
        <v>3549</v>
      </c>
      <c r="C17" t="s">
        <v>5725</v>
      </c>
      <c r="D17">
        <v>2</v>
      </c>
      <c r="E17" t="s">
        <v>5760</v>
      </c>
      <c r="F17" t="s">
        <v>6424</v>
      </c>
      <c r="G17" t="s">
        <v>5761</v>
      </c>
      <c r="H17" t="s">
        <v>6425</v>
      </c>
      <c r="I17">
        <v>2</v>
      </c>
      <c r="J17" t="s">
        <v>6426</v>
      </c>
      <c r="K17" t="s">
        <v>3446</v>
      </c>
      <c r="L17" t="s">
        <v>90</v>
      </c>
      <c r="M17" t="s">
        <v>3461</v>
      </c>
      <c r="N17" t="s">
        <v>3461</v>
      </c>
      <c r="O17" t="s">
        <v>5738</v>
      </c>
    </row>
    <row r="18" spans="1:15" ht="15" customHeight="1" x14ac:dyDescent="0.25">
      <c r="A18" t="s">
        <v>5762</v>
      </c>
      <c r="B18" t="s">
        <v>3517</v>
      </c>
      <c r="C18" t="s">
        <v>5363</v>
      </c>
      <c r="D18">
        <v>0</v>
      </c>
      <c r="E18" s="8" t="s">
        <v>6427</v>
      </c>
      <c r="F18" t="s">
        <v>6428</v>
      </c>
      <c r="G18" s="8" t="s">
        <v>6429</v>
      </c>
      <c r="H18" t="s">
        <v>6430</v>
      </c>
      <c r="I18" t="s">
        <v>3461</v>
      </c>
      <c r="J18" t="s">
        <v>3461</v>
      </c>
      <c r="K18" t="s">
        <v>5765</v>
      </c>
      <c r="L18" t="s">
        <v>90</v>
      </c>
      <c r="M18" t="s">
        <v>3461</v>
      </c>
      <c r="N18" t="s">
        <v>3461</v>
      </c>
      <c r="O18" t="s">
        <v>5766</v>
      </c>
    </row>
    <row r="19" spans="1:15" ht="15" customHeight="1" x14ac:dyDescent="0.25">
      <c r="A19" t="s">
        <v>5767</v>
      </c>
      <c r="B19" t="s">
        <v>41</v>
      </c>
      <c r="C19" t="s">
        <v>5725</v>
      </c>
      <c r="D19">
        <v>0</v>
      </c>
      <c r="E19" t="s">
        <v>5768</v>
      </c>
      <c r="F19" t="s">
        <v>6431</v>
      </c>
      <c r="G19" t="s">
        <v>5769</v>
      </c>
      <c r="H19" t="s">
        <v>6432</v>
      </c>
      <c r="I19">
        <v>0</v>
      </c>
      <c r="J19" t="s">
        <v>6433</v>
      </c>
      <c r="K19" t="s">
        <v>5770</v>
      </c>
      <c r="L19" t="s">
        <v>90</v>
      </c>
      <c r="M19" t="s">
        <v>3461</v>
      </c>
      <c r="N19" t="s">
        <v>3461</v>
      </c>
      <c r="O19" t="s">
        <v>5771</v>
      </c>
    </row>
    <row r="20" spans="1:15" ht="15" customHeight="1" x14ac:dyDescent="0.25">
      <c r="A20" t="s">
        <v>5776</v>
      </c>
      <c r="B20" t="s">
        <v>41</v>
      </c>
      <c r="C20" t="s">
        <v>5363</v>
      </c>
      <c r="D20">
        <v>1</v>
      </c>
      <c r="E20" t="s">
        <v>5777</v>
      </c>
      <c r="F20" t="s">
        <v>6434</v>
      </c>
      <c r="G20" t="s">
        <v>5778</v>
      </c>
      <c r="H20" t="s">
        <v>6435</v>
      </c>
      <c r="I20">
        <v>1</v>
      </c>
      <c r="J20" t="s">
        <v>3461</v>
      </c>
      <c r="K20" t="s">
        <v>5779</v>
      </c>
      <c r="L20" t="s">
        <v>90</v>
      </c>
      <c r="M20" t="s">
        <v>3461</v>
      </c>
      <c r="N20" t="s">
        <v>3461</v>
      </c>
      <c r="O20" t="s">
        <v>5780</v>
      </c>
    </row>
    <row r="21" spans="1:15" ht="15" customHeight="1" x14ac:dyDescent="0.25">
      <c r="A21" t="s">
        <v>4468</v>
      </c>
      <c r="B21" t="s">
        <v>41</v>
      </c>
      <c r="C21" t="s">
        <v>5725</v>
      </c>
      <c r="D21">
        <v>1</v>
      </c>
      <c r="E21" t="s">
        <v>5781</v>
      </c>
      <c r="F21" t="s">
        <v>6436</v>
      </c>
      <c r="G21" t="s">
        <v>5781</v>
      </c>
      <c r="H21" t="s">
        <v>6436</v>
      </c>
      <c r="I21">
        <v>1</v>
      </c>
      <c r="J21" t="s">
        <v>6420</v>
      </c>
      <c r="K21" t="s">
        <v>4471</v>
      </c>
      <c r="L21" t="s">
        <v>1104</v>
      </c>
      <c r="M21" t="s">
        <v>5471</v>
      </c>
      <c r="N21" t="s">
        <v>3461</v>
      </c>
      <c r="O21" t="s">
        <v>5758</v>
      </c>
    </row>
    <row r="22" spans="1:15" ht="15" customHeight="1" x14ac:dyDescent="0.25">
      <c r="A22" t="s">
        <v>5782</v>
      </c>
      <c r="B22" t="s">
        <v>3517</v>
      </c>
      <c r="C22" t="s">
        <v>5725</v>
      </c>
      <c r="D22">
        <v>4</v>
      </c>
      <c r="E22" s="8" t="s">
        <v>5783</v>
      </c>
      <c r="F22" t="s">
        <v>6437</v>
      </c>
      <c r="G22" s="8" t="s">
        <v>5784</v>
      </c>
      <c r="H22" t="s">
        <v>6438</v>
      </c>
      <c r="I22">
        <v>3</v>
      </c>
      <c r="J22" t="s">
        <v>6403</v>
      </c>
      <c r="K22" t="s">
        <v>5785</v>
      </c>
      <c r="L22" t="s">
        <v>90</v>
      </c>
      <c r="M22" t="s">
        <v>3461</v>
      </c>
      <c r="N22" t="s">
        <v>3461</v>
      </c>
      <c r="O22" t="s">
        <v>5766</v>
      </c>
    </row>
    <row r="23" spans="1:15" ht="15" customHeight="1" x14ac:dyDescent="0.25">
      <c r="A23" t="s">
        <v>4472</v>
      </c>
      <c r="B23" t="s">
        <v>3505</v>
      </c>
      <c r="C23" t="s">
        <v>5725</v>
      </c>
      <c r="D23">
        <v>1</v>
      </c>
      <c r="E23" t="s">
        <v>6439</v>
      </c>
      <c r="F23" t="s">
        <v>6440</v>
      </c>
      <c r="G23" t="s">
        <v>6439</v>
      </c>
      <c r="H23" t="s">
        <v>6440</v>
      </c>
      <c r="I23">
        <v>1</v>
      </c>
      <c r="J23" t="s">
        <v>6441</v>
      </c>
      <c r="K23" t="s">
        <v>4475</v>
      </c>
      <c r="L23" t="s">
        <v>1621</v>
      </c>
      <c r="M23" t="s">
        <v>5434</v>
      </c>
      <c r="N23" t="s">
        <v>5386</v>
      </c>
      <c r="O23" t="s">
        <v>5758</v>
      </c>
    </row>
    <row r="24" spans="1:15" ht="15" customHeight="1" x14ac:dyDescent="0.25">
      <c r="A24" t="s">
        <v>5787</v>
      </c>
      <c r="B24" t="s">
        <v>41</v>
      </c>
      <c r="C24" t="s">
        <v>5363</v>
      </c>
      <c r="D24">
        <v>0</v>
      </c>
      <c r="E24" t="s">
        <v>5788</v>
      </c>
      <c r="F24" t="s">
        <v>6442</v>
      </c>
      <c r="G24" t="s">
        <v>5789</v>
      </c>
      <c r="H24" t="s">
        <v>6443</v>
      </c>
      <c r="I24">
        <v>0</v>
      </c>
      <c r="J24" t="s">
        <v>3461</v>
      </c>
      <c r="K24" t="s">
        <v>5787</v>
      </c>
      <c r="L24" t="s">
        <v>90</v>
      </c>
      <c r="M24" t="s">
        <v>3461</v>
      </c>
      <c r="N24" t="s">
        <v>3461</v>
      </c>
      <c r="O24" t="s">
        <v>5775</v>
      </c>
    </row>
    <row r="25" spans="1:15" ht="15" customHeight="1" x14ac:dyDescent="0.25">
      <c r="A25" t="s">
        <v>5790</v>
      </c>
      <c r="B25" t="s">
        <v>3505</v>
      </c>
      <c r="C25" t="s">
        <v>5725</v>
      </c>
      <c r="D25">
        <v>3</v>
      </c>
      <c r="E25" t="s">
        <v>5791</v>
      </c>
      <c r="F25" t="s">
        <v>6444</v>
      </c>
      <c r="G25" t="s">
        <v>5792</v>
      </c>
      <c r="H25" t="s">
        <v>6445</v>
      </c>
      <c r="I25">
        <v>3</v>
      </c>
      <c r="J25" t="s">
        <v>6446</v>
      </c>
      <c r="K25" t="s">
        <v>5790</v>
      </c>
      <c r="L25" t="s">
        <v>90</v>
      </c>
      <c r="M25" t="s">
        <v>3461</v>
      </c>
      <c r="N25" t="s">
        <v>3461</v>
      </c>
      <c r="O25" t="s">
        <v>5738</v>
      </c>
    </row>
    <row r="26" spans="1:15" ht="15" customHeight="1" x14ac:dyDescent="0.25">
      <c r="A26" t="s">
        <v>5163</v>
      </c>
      <c r="B26" t="s">
        <v>3517</v>
      </c>
      <c r="C26" t="s">
        <v>5363</v>
      </c>
      <c r="D26">
        <v>1</v>
      </c>
      <c r="E26" s="8" t="s">
        <v>6447</v>
      </c>
      <c r="F26" t="s">
        <v>6448</v>
      </c>
      <c r="G26" s="8" t="s">
        <v>6449</v>
      </c>
      <c r="H26" t="s">
        <v>6450</v>
      </c>
      <c r="I26">
        <v>1</v>
      </c>
      <c r="J26" t="s">
        <v>3461</v>
      </c>
      <c r="K26" t="s">
        <v>5163</v>
      </c>
      <c r="L26" t="s">
        <v>90</v>
      </c>
      <c r="M26" t="s">
        <v>3461</v>
      </c>
      <c r="N26" t="s">
        <v>3461</v>
      </c>
      <c r="O26" t="s">
        <v>5720</v>
      </c>
    </row>
    <row r="27" spans="1:15" ht="15" customHeight="1" x14ac:dyDescent="0.25">
      <c r="A27" t="s">
        <v>5799</v>
      </c>
      <c r="B27" t="s">
        <v>41</v>
      </c>
      <c r="C27" t="s">
        <v>5725</v>
      </c>
      <c r="D27">
        <v>1</v>
      </c>
      <c r="E27" t="s">
        <v>6451</v>
      </c>
      <c r="F27" t="s">
        <v>6452</v>
      </c>
      <c r="G27" t="s">
        <v>6451</v>
      </c>
      <c r="H27" t="s">
        <v>6452</v>
      </c>
      <c r="I27">
        <v>0</v>
      </c>
      <c r="J27" t="s">
        <v>6453</v>
      </c>
      <c r="K27" t="s">
        <v>5801</v>
      </c>
      <c r="L27" t="s">
        <v>90</v>
      </c>
      <c r="M27" t="s">
        <v>3461</v>
      </c>
      <c r="N27" t="s">
        <v>3461</v>
      </c>
      <c r="O27" t="s">
        <v>5738</v>
      </c>
    </row>
    <row r="28" spans="1:15" ht="15" customHeight="1" x14ac:dyDescent="0.25">
      <c r="A28" t="s">
        <v>5802</v>
      </c>
      <c r="B28" t="s">
        <v>3517</v>
      </c>
      <c r="C28" t="s">
        <v>5363</v>
      </c>
      <c r="D28">
        <v>0</v>
      </c>
      <c r="E28" t="s">
        <v>5803</v>
      </c>
      <c r="F28" t="s">
        <v>6454</v>
      </c>
      <c r="G28" t="s">
        <v>5804</v>
      </c>
      <c r="H28" t="s">
        <v>6455</v>
      </c>
      <c r="I28">
        <v>0</v>
      </c>
      <c r="J28" t="s">
        <v>3461</v>
      </c>
      <c r="K28" t="s">
        <v>5805</v>
      </c>
      <c r="L28" t="s">
        <v>90</v>
      </c>
      <c r="M28" t="s">
        <v>6410</v>
      </c>
      <c r="N28" t="s">
        <v>3461</v>
      </c>
      <c r="O28" t="s">
        <v>5806</v>
      </c>
    </row>
    <row r="29" spans="1:15" ht="15" customHeight="1" x14ac:dyDescent="0.25">
      <c r="A29" t="s">
        <v>5812</v>
      </c>
      <c r="B29" t="s">
        <v>3517</v>
      </c>
      <c r="C29" t="s">
        <v>5363</v>
      </c>
      <c r="D29">
        <v>2</v>
      </c>
      <c r="E29" t="s">
        <v>5813</v>
      </c>
      <c r="F29" t="s">
        <v>6456</v>
      </c>
      <c r="G29" t="s">
        <v>5814</v>
      </c>
      <c r="H29" t="s">
        <v>6457</v>
      </c>
      <c r="I29">
        <v>2</v>
      </c>
      <c r="J29" t="s">
        <v>6458</v>
      </c>
      <c r="K29" t="s">
        <v>5815</v>
      </c>
      <c r="L29" t="s">
        <v>90</v>
      </c>
      <c r="M29" t="s">
        <v>5434</v>
      </c>
      <c r="N29" t="s">
        <v>5257</v>
      </c>
      <c r="O29" t="s">
        <v>6459</v>
      </c>
    </row>
    <row r="30" spans="1:15" ht="15" customHeight="1" x14ac:dyDescent="0.25">
      <c r="A30" t="s">
        <v>5823</v>
      </c>
      <c r="B30" t="s">
        <v>3505</v>
      </c>
      <c r="C30" t="s">
        <v>5363</v>
      </c>
      <c r="D30">
        <v>3</v>
      </c>
      <c r="E30" s="8" t="s">
        <v>5824</v>
      </c>
      <c r="F30" t="s">
        <v>6460</v>
      </c>
      <c r="G30" s="8" t="s">
        <v>5824</v>
      </c>
      <c r="H30" t="s">
        <v>6460</v>
      </c>
      <c r="I30">
        <v>2</v>
      </c>
      <c r="J30" t="s">
        <v>3461</v>
      </c>
      <c r="K30" t="s">
        <v>5825</v>
      </c>
      <c r="L30" t="s">
        <v>90</v>
      </c>
      <c r="M30" t="s">
        <v>3461</v>
      </c>
      <c r="N30" t="s">
        <v>3461</v>
      </c>
      <c r="O30" t="s">
        <v>5826</v>
      </c>
    </row>
    <row r="31" spans="1:15" ht="15" customHeight="1" x14ac:dyDescent="0.25">
      <c r="A31" t="s">
        <v>4005</v>
      </c>
      <c r="B31" t="s">
        <v>4300</v>
      </c>
      <c r="C31" t="s">
        <v>3659</v>
      </c>
      <c r="D31" t="s">
        <v>4000</v>
      </c>
      <c r="E31" s="8" t="s">
        <v>5827</v>
      </c>
      <c r="F31" t="s">
        <v>6461</v>
      </c>
      <c r="G31" s="8" t="s">
        <v>3461</v>
      </c>
      <c r="H31" t="s">
        <v>3461</v>
      </c>
      <c r="I31" t="s">
        <v>3461</v>
      </c>
      <c r="J31" t="s">
        <v>3461</v>
      </c>
      <c r="K31" t="s">
        <v>4005</v>
      </c>
      <c r="L31" t="s">
        <v>90</v>
      </c>
      <c r="M31" t="s">
        <v>5466</v>
      </c>
      <c r="N31" t="s">
        <v>3461</v>
      </c>
      <c r="O31" t="s">
        <v>6462</v>
      </c>
    </row>
    <row r="32" spans="1:15" ht="15" customHeight="1" x14ac:dyDescent="0.25">
      <c r="A32" t="s">
        <v>5829</v>
      </c>
      <c r="B32" t="s">
        <v>3517</v>
      </c>
      <c r="C32" t="s">
        <v>5363</v>
      </c>
      <c r="D32">
        <v>1</v>
      </c>
      <c r="E32" t="s">
        <v>5830</v>
      </c>
      <c r="F32" t="s">
        <v>6463</v>
      </c>
      <c r="G32" t="s">
        <v>5831</v>
      </c>
      <c r="H32" t="s">
        <v>6464</v>
      </c>
      <c r="I32">
        <v>1</v>
      </c>
      <c r="J32" t="s">
        <v>3461</v>
      </c>
      <c r="K32" t="s">
        <v>5832</v>
      </c>
      <c r="L32" t="s">
        <v>90</v>
      </c>
      <c r="M32" t="s">
        <v>5499</v>
      </c>
      <c r="N32" t="s">
        <v>3461</v>
      </c>
      <c r="O32" t="s">
        <v>5833</v>
      </c>
    </row>
    <row r="33" spans="1:15" ht="15" customHeight="1" x14ac:dyDescent="0.25">
      <c r="A33" t="s">
        <v>5173</v>
      </c>
      <c r="B33" t="s">
        <v>3505</v>
      </c>
      <c r="C33" t="s">
        <v>5363</v>
      </c>
      <c r="D33">
        <v>1</v>
      </c>
      <c r="E33" s="8" t="s">
        <v>6465</v>
      </c>
      <c r="F33" t="s">
        <v>6466</v>
      </c>
      <c r="G33" s="8" t="s">
        <v>6467</v>
      </c>
      <c r="H33" t="s">
        <v>6468</v>
      </c>
      <c r="I33">
        <v>1</v>
      </c>
      <c r="J33" t="s">
        <v>3461</v>
      </c>
      <c r="K33" t="s">
        <v>5173</v>
      </c>
      <c r="L33" t="s">
        <v>90</v>
      </c>
      <c r="M33" t="s">
        <v>3461</v>
      </c>
      <c r="N33" t="s">
        <v>3461</v>
      </c>
      <c r="O33" t="s">
        <v>5826</v>
      </c>
    </row>
    <row r="34" spans="1:15" ht="15" customHeight="1" x14ac:dyDescent="0.25">
      <c r="A34" t="s">
        <v>5836</v>
      </c>
      <c r="B34" t="s">
        <v>3517</v>
      </c>
      <c r="C34" t="s">
        <v>5363</v>
      </c>
      <c r="D34">
        <v>0</v>
      </c>
      <c r="E34" s="8" t="s">
        <v>6469</v>
      </c>
      <c r="F34" t="s">
        <v>6470</v>
      </c>
      <c r="G34" s="8" t="s">
        <v>6471</v>
      </c>
      <c r="H34" t="s">
        <v>6472</v>
      </c>
      <c r="I34">
        <v>0</v>
      </c>
      <c r="J34" t="s">
        <v>3461</v>
      </c>
      <c r="K34" t="s">
        <v>5839</v>
      </c>
      <c r="L34" t="s">
        <v>90</v>
      </c>
      <c r="M34" t="s">
        <v>3461</v>
      </c>
      <c r="N34" t="s">
        <v>3461</v>
      </c>
      <c r="O34" t="s">
        <v>5840</v>
      </c>
    </row>
    <row r="35" spans="1:15" ht="15" customHeight="1" x14ac:dyDescent="0.25">
      <c r="A35" t="s">
        <v>5843</v>
      </c>
      <c r="B35" t="s">
        <v>3517</v>
      </c>
      <c r="C35" t="s">
        <v>5725</v>
      </c>
      <c r="D35">
        <v>2</v>
      </c>
      <c r="E35" t="s">
        <v>6473</v>
      </c>
      <c r="F35" t="s">
        <v>6474</v>
      </c>
      <c r="G35" t="s">
        <v>5845</v>
      </c>
      <c r="H35" t="s">
        <v>6475</v>
      </c>
      <c r="I35">
        <v>2</v>
      </c>
      <c r="J35" t="s">
        <v>6426</v>
      </c>
      <c r="K35" t="s">
        <v>5843</v>
      </c>
      <c r="L35" t="s">
        <v>90</v>
      </c>
      <c r="M35" t="s">
        <v>5425</v>
      </c>
      <c r="N35" t="s">
        <v>3461</v>
      </c>
      <c r="O35" t="s">
        <v>5738</v>
      </c>
    </row>
    <row r="36" spans="1:15" ht="15" customHeight="1" x14ac:dyDescent="0.25">
      <c r="A36" t="s">
        <v>5846</v>
      </c>
      <c r="B36" t="s">
        <v>3517</v>
      </c>
      <c r="C36" t="s">
        <v>5363</v>
      </c>
      <c r="D36">
        <v>1</v>
      </c>
      <c r="E36" s="8" t="s">
        <v>6476</v>
      </c>
      <c r="F36" t="s">
        <v>6477</v>
      </c>
      <c r="G36" s="8" t="s">
        <v>6478</v>
      </c>
      <c r="H36" t="s">
        <v>6479</v>
      </c>
      <c r="I36">
        <v>1</v>
      </c>
      <c r="J36" t="s">
        <v>3461</v>
      </c>
      <c r="K36" t="s">
        <v>5846</v>
      </c>
      <c r="L36" t="s">
        <v>90</v>
      </c>
      <c r="M36" t="s">
        <v>5499</v>
      </c>
      <c r="N36" t="s">
        <v>3461</v>
      </c>
      <c r="O36" t="s">
        <v>6480</v>
      </c>
    </row>
    <row r="37" spans="1:15" ht="15" customHeight="1" x14ac:dyDescent="0.25">
      <c r="A37" t="s">
        <v>5849</v>
      </c>
      <c r="B37" t="s">
        <v>3517</v>
      </c>
      <c r="C37" t="s">
        <v>5725</v>
      </c>
      <c r="D37">
        <v>2</v>
      </c>
      <c r="E37" s="8" t="s">
        <v>5850</v>
      </c>
      <c r="F37" t="s">
        <v>6481</v>
      </c>
      <c r="G37" s="8" t="s">
        <v>5851</v>
      </c>
      <c r="H37" t="s">
        <v>6482</v>
      </c>
      <c r="I37">
        <v>2</v>
      </c>
      <c r="J37" t="s">
        <v>6403</v>
      </c>
      <c r="K37" t="s">
        <v>5849</v>
      </c>
      <c r="L37" t="s">
        <v>90</v>
      </c>
      <c r="M37" t="s">
        <v>3461</v>
      </c>
      <c r="N37" t="s">
        <v>3461</v>
      </c>
      <c r="O37" t="s">
        <v>5852</v>
      </c>
    </row>
    <row r="38" spans="1:15" ht="15" customHeight="1" x14ac:dyDescent="0.25">
      <c r="A38" t="s">
        <v>5853</v>
      </c>
      <c r="B38" t="s">
        <v>41</v>
      </c>
      <c r="C38" t="s">
        <v>5725</v>
      </c>
      <c r="D38">
        <v>0</v>
      </c>
      <c r="E38" s="8" t="s">
        <v>6483</v>
      </c>
      <c r="F38" t="s">
        <v>6484</v>
      </c>
      <c r="G38" s="8" t="s">
        <v>6485</v>
      </c>
      <c r="H38" t="s">
        <v>6486</v>
      </c>
      <c r="I38">
        <v>0</v>
      </c>
      <c r="J38" t="s">
        <v>6487</v>
      </c>
      <c r="K38" t="s">
        <v>5853</v>
      </c>
      <c r="L38" t="s">
        <v>90</v>
      </c>
      <c r="M38" t="s">
        <v>3461</v>
      </c>
      <c r="N38" t="s">
        <v>3461</v>
      </c>
      <c r="O38" t="s">
        <v>5738</v>
      </c>
    </row>
    <row r="39" spans="1:15" ht="15" customHeight="1" x14ac:dyDescent="0.25">
      <c r="A39" t="s">
        <v>5856</v>
      </c>
      <c r="B39" t="s">
        <v>41</v>
      </c>
      <c r="C39" t="s">
        <v>5725</v>
      </c>
      <c r="D39">
        <v>0</v>
      </c>
      <c r="E39" t="s">
        <v>5857</v>
      </c>
      <c r="F39" t="s">
        <v>6488</v>
      </c>
      <c r="G39" t="s">
        <v>5858</v>
      </c>
      <c r="H39" t="s">
        <v>6489</v>
      </c>
      <c r="I39">
        <v>0</v>
      </c>
      <c r="J39" t="s">
        <v>6487</v>
      </c>
      <c r="K39" t="s">
        <v>5856</v>
      </c>
      <c r="L39" t="s">
        <v>90</v>
      </c>
      <c r="M39" t="s">
        <v>3461</v>
      </c>
      <c r="N39" t="s">
        <v>3461</v>
      </c>
      <c r="O39" t="s">
        <v>5859</v>
      </c>
    </row>
    <row r="40" spans="1:15" ht="15" customHeight="1" x14ac:dyDescent="0.25">
      <c r="A40" t="s">
        <v>5413</v>
      </c>
      <c r="B40" t="s">
        <v>41</v>
      </c>
      <c r="C40" t="s">
        <v>5725</v>
      </c>
      <c r="D40">
        <v>1</v>
      </c>
      <c r="E40" t="s">
        <v>5860</v>
      </c>
      <c r="F40" t="s">
        <v>6490</v>
      </c>
      <c r="G40" t="s">
        <v>5861</v>
      </c>
      <c r="H40" t="s">
        <v>6491</v>
      </c>
      <c r="I40">
        <v>1</v>
      </c>
      <c r="J40" t="s">
        <v>6492</v>
      </c>
      <c r="K40" t="s">
        <v>5413</v>
      </c>
      <c r="L40" t="s">
        <v>90</v>
      </c>
      <c r="M40" t="s">
        <v>3461</v>
      </c>
      <c r="N40" t="s">
        <v>3461</v>
      </c>
      <c r="O40" t="s">
        <v>6493</v>
      </c>
    </row>
    <row r="41" spans="1:15" ht="15" customHeight="1" x14ac:dyDescent="0.25">
      <c r="A41" t="s">
        <v>5863</v>
      </c>
      <c r="B41" t="s">
        <v>41</v>
      </c>
      <c r="C41" t="s">
        <v>5363</v>
      </c>
      <c r="D41">
        <v>1</v>
      </c>
      <c r="E41" t="s">
        <v>5864</v>
      </c>
      <c r="F41" t="s">
        <v>6494</v>
      </c>
      <c r="G41" t="s">
        <v>5865</v>
      </c>
      <c r="H41" t="s">
        <v>6495</v>
      </c>
      <c r="I41">
        <v>1</v>
      </c>
      <c r="J41" t="s">
        <v>3461</v>
      </c>
      <c r="K41" t="s">
        <v>5866</v>
      </c>
      <c r="L41" t="s">
        <v>90</v>
      </c>
      <c r="M41" t="s">
        <v>3461</v>
      </c>
      <c r="N41" t="s">
        <v>3461</v>
      </c>
      <c r="O41" t="s">
        <v>5720</v>
      </c>
    </row>
    <row r="42" spans="1:15" ht="15" customHeight="1" x14ac:dyDescent="0.25">
      <c r="A42" t="s">
        <v>5867</v>
      </c>
      <c r="B42" t="s">
        <v>41</v>
      </c>
      <c r="C42" t="s">
        <v>5725</v>
      </c>
      <c r="D42">
        <v>2</v>
      </c>
      <c r="E42" s="8" t="s">
        <v>6496</v>
      </c>
      <c r="F42" t="s">
        <v>6497</v>
      </c>
      <c r="G42" s="8" t="s">
        <v>6498</v>
      </c>
      <c r="H42" t="s">
        <v>6499</v>
      </c>
      <c r="I42" t="s">
        <v>3461</v>
      </c>
      <c r="J42" t="s">
        <v>6412</v>
      </c>
      <c r="K42" t="s">
        <v>5867</v>
      </c>
      <c r="L42" t="s">
        <v>90</v>
      </c>
      <c r="M42" t="s">
        <v>3461</v>
      </c>
      <c r="N42" t="s">
        <v>3461</v>
      </c>
      <c r="O42" t="s">
        <v>5870</v>
      </c>
    </row>
    <row r="43" spans="1:15" ht="15" customHeight="1" x14ac:dyDescent="0.25">
      <c r="A43" t="s">
        <v>5871</v>
      </c>
      <c r="B43" t="s">
        <v>4300</v>
      </c>
      <c r="C43" t="s">
        <v>4248</v>
      </c>
      <c r="D43" t="s">
        <v>4000</v>
      </c>
      <c r="E43" t="s">
        <v>5872</v>
      </c>
      <c r="F43" t="s">
        <v>4218</v>
      </c>
      <c r="G43" t="s">
        <v>3461</v>
      </c>
      <c r="H43" t="s">
        <v>3461</v>
      </c>
      <c r="I43" t="s">
        <v>3461</v>
      </c>
      <c r="J43" t="s">
        <v>3461</v>
      </c>
      <c r="K43" t="s">
        <v>5871</v>
      </c>
      <c r="L43" t="s">
        <v>90</v>
      </c>
      <c r="M43" t="s">
        <v>6500</v>
      </c>
      <c r="N43" t="s">
        <v>3461</v>
      </c>
      <c r="O43" t="s">
        <v>5873</v>
      </c>
    </row>
    <row r="44" spans="1:15" ht="15" customHeight="1" x14ac:dyDescent="0.25">
      <c r="A44" t="s">
        <v>5881</v>
      </c>
      <c r="B44" t="s">
        <v>3517</v>
      </c>
      <c r="C44" t="s">
        <v>5363</v>
      </c>
      <c r="D44">
        <v>0</v>
      </c>
      <c r="E44" s="8" t="s">
        <v>6501</v>
      </c>
      <c r="F44" t="s">
        <v>6502</v>
      </c>
      <c r="G44" s="8" t="s">
        <v>6503</v>
      </c>
      <c r="H44" t="s">
        <v>6504</v>
      </c>
      <c r="I44" t="s">
        <v>3461</v>
      </c>
      <c r="J44" t="s">
        <v>3461</v>
      </c>
      <c r="K44" t="s">
        <v>5881</v>
      </c>
      <c r="L44" t="s">
        <v>90</v>
      </c>
      <c r="M44" t="s">
        <v>3461</v>
      </c>
      <c r="N44" t="s">
        <v>3461</v>
      </c>
      <c r="O44" t="s">
        <v>6505</v>
      </c>
    </row>
    <row r="45" spans="1:15" ht="15" customHeight="1" x14ac:dyDescent="0.25">
      <c r="A45" t="s">
        <v>5182</v>
      </c>
      <c r="B45" t="s">
        <v>3505</v>
      </c>
      <c r="C45" t="s">
        <v>5363</v>
      </c>
      <c r="D45">
        <v>2</v>
      </c>
      <c r="E45" s="8" t="s">
        <v>5885</v>
      </c>
      <c r="F45" t="s">
        <v>6506</v>
      </c>
      <c r="G45" s="8" t="s">
        <v>5886</v>
      </c>
      <c r="H45" t="s">
        <v>6507</v>
      </c>
      <c r="I45">
        <v>2</v>
      </c>
      <c r="J45" t="s">
        <v>6508</v>
      </c>
      <c r="K45" t="s">
        <v>5184</v>
      </c>
      <c r="L45" t="s">
        <v>90</v>
      </c>
      <c r="M45" t="s">
        <v>3461</v>
      </c>
      <c r="N45" t="s">
        <v>3461</v>
      </c>
      <c r="O45" t="s">
        <v>6509</v>
      </c>
    </row>
    <row r="46" spans="1:15" ht="15" customHeight="1" x14ac:dyDescent="0.25">
      <c r="A46" t="s">
        <v>5890</v>
      </c>
      <c r="B46" t="s">
        <v>3517</v>
      </c>
      <c r="C46" t="s">
        <v>5363</v>
      </c>
      <c r="D46">
        <v>0</v>
      </c>
      <c r="E46" s="8" t="s">
        <v>6510</v>
      </c>
      <c r="F46" t="s">
        <v>6511</v>
      </c>
      <c r="G46" s="8" t="s">
        <v>6512</v>
      </c>
      <c r="H46" t="s">
        <v>6513</v>
      </c>
      <c r="I46" t="s">
        <v>3461</v>
      </c>
      <c r="J46" t="s">
        <v>6514</v>
      </c>
      <c r="K46" t="s">
        <v>5893</v>
      </c>
      <c r="L46" t="s">
        <v>90</v>
      </c>
      <c r="M46" t="s">
        <v>5499</v>
      </c>
      <c r="N46" t="s">
        <v>3461</v>
      </c>
      <c r="O46" t="s">
        <v>6515</v>
      </c>
    </row>
    <row r="47" spans="1:15" ht="15" customHeight="1" x14ac:dyDescent="0.25">
      <c r="A47" t="s">
        <v>5895</v>
      </c>
      <c r="B47" t="s">
        <v>41</v>
      </c>
      <c r="C47" t="s">
        <v>5725</v>
      </c>
      <c r="D47">
        <v>1</v>
      </c>
      <c r="E47" t="s">
        <v>5896</v>
      </c>
      <c r="F47" t="s">
        <v>6516</v>
      </c>
      <c r="G47" t="s">
        <v>5897</v>
      </c>
      <c r="H47" t="s">
        <v>6517</v>
      </c>
      <c r="I47">
        <v>1</v>
      </c>
      <c r="J47" t="s">
        <v>6518</v>
      </c>
      <c r="K47" t="s">
        <v>5898</v>
      </c>
      <c r="L47" t="s">
        <v>90</v>
      </c>
      <c r="M47" t="s">
        <v>3461</v>
      </c>
      <c r="N47" t="s">
        <v>3461</v>
      </c>
      <c r="O47" t="s">
        <v>5899</v>
      </c>
    </row>
    <row r="48" spans="1:15" ht="15" customHeight="1" x14ac:dyDescent="0.25">
      <c r="A48" t="s">
        <v>5900</v>
      </c>
      <c r="B48" t="s">
        <v>41</v>
      </c>
      <c r="C48" t="s">
        <v>5725</v>
      </c>
      <c r="D48">
        <v>1</v>
      </c>
      <c r="E48" t="s">
        <v>5901</v>
      </c>
      <c r="F48" t="s">
        <v>6519</v>
      </c>
      <c r="G48" t="s">
        <v>5902</v>
      </c>
      <c r="H48" t="s">
        <v>6520</v>
      </c>
      <c r="I48">
        <v>1</v>
      </c>
      <c r="J48" t="s">
        <v>6420</v>
      </c>
      <c r="K48" t="s">
        <v>5903</v>
      </c>
      <c r="L48" t="s">
        <v>90</v>
      </c>
      <c r="M48" t="s">
        <v>3461</v>
      </c>
      <c r="N48" t="s">
        <v>3461</v>
      </c>
      <c r="O48" t="s">
        <v>5904</v>
      </c>
    </row>
    <row r="49" spans="1:15" ht="15" customHeight="1" x14ac:dyDescent="0.25">
      <c r="A49" t="s">
        <v>3447</v>
      </c>
      <c r="B49" t="s">
        <v>3517</v>
      </c>
      <c r="C49" t="s">
        <v>5725</v>
      </c>
      <c r="D49">
        <v>2</v>
      </c>
      <c r="E49" s="8" t="s">
        <v>5908</v>
      </c>
      <c r="F49" t="s">
        <v>6521</v>
      </c>
      <c r="G49" s="8" t="s">
        <v>5909</v>
      </c>
      <c r="H49" t="s">
        <v>6522</v>
      </c>
      <c r="I49">
        <v>2</v>
      </c>
      <c r="J49" t="s">
        <v>6395</v>
      </c>
      <c r="K49" t="s">
        <v>3447</v>
      </c>
      <c r="L49" t="s">
        <v>90</v>
      </c>
      <c r="M49" t="s">
        <v>3461</v>
      </c>
      <c r="N49" t="s">
        <v>3461</v>
      </c>
      <c r="O49" t="s">
        <v>5910</v>
      </c>
    </row>
    <row r="50" spans="1:15" ht="15" customHeight="1" x14ac:dyDescent="0.25">
      <c r="A50" t="s">
        <v>5911</v>
      </c>
      <c r="B50" t="s">
        <v>4300</v>
      </c>
      <c r="C50" t="s">
        <v>3659</v>
      </c>
      <c r="D50" t="s">
        <v>4000</v>
      </c>
      <c r="E50" s="8" t="s">
        <v>6523</v>
      </c>
      <c r="F50" t="s">
        <v>4218</v>
      </c>
      <c r="G50" s="8" t="s">
        <v>3461</v>
      </c>
      <c r="H50" t="s">
        <v>3461</v>
      </c>
      <c r="I50" t="s">
        <v>3461</v>
      </c>
      <c r="J50" t="s">
        <v>3461</v>
      </c>
      <c r="K50" t="s">
        <v>5911</v>
      </c>
      <c r="L50" t="s">
        <v>90</v>
      </c>
      <c r="M50" t="s">
        <v>5425</v>
      </c>
      <c r="N50" t="s">
        <v>3461</v>
      </c>
      <c r="O50" t="s">
        <v>6462</v>
      </c>
    </row>
    <row r="51" spans="1:15" ht="15" customHeight="1" x14ac:dyDescent="0.25">
      <c r="A51" t="s">
        <v>5913</v>
      </c>
      <c r="B51" t="s">
        <v>41</v>
      </c>
      <c r="C51" t="s">
        <v>5363</v>
      </c>
      <c r="D51">
        <v>1</v>
      </c>
      <c r="E51" s="8" t="s">
        <v>5914</v>
      </c>
      <c r="F51" t="s">
        <v>6524</v>
      </c>
      <c r="G51" s="8" t="s">
        <v>5915</v>
      </c>
      <c r="H51" t="s">
        <v>6525</v>
      </c>
      <c r="I51">
        <v>1</v>
      </c>
      <c r="J51" t="s">
        <v>3461</v>
      </c>
      <c r="K51" t="s">
        <v>5916</v>
      </c>
      <c r="L51" t="s">
        <v>90</v>
      </c>
      <c r="M51" t="s">
        <v>3461</v>
      </c>
      <c r="N51" t="s">
        <v>3461</v>
      </c>
      <c r="O51" t="s">
        <v>6459</v>
      </c>
    </row>
    <row r="52" spans="1:15" ht="15" customHeight="1" x14ac:dyDescent="0.25">
      <c r="A52" t="s">
        <v>4262</v>
      </c>
      <c r="B52" t="s">
        <v>4300</v>
      </c>
      <c r="C52" t="s">
        <v>4248</v>
      </c>
      <c r="D52" t="s">
        <v>4000</v>
      </c>
      <c r="E52" t="s">
        <v>5917</v>
      </c>
      <c r="F52" t="s">
        <v>6461</v>
      </c>
      <c r="G52" t="s">
        <v>3461</v>
      </c>
      <c r="H52" t="s">
        <v>3461</v>
      </c>
      <c r="I52" t="s">
        <v>3461</v>
      </c>
      <c r="J52" t="s">
        <v>3461</v>
      </c>
      <c r="K52" t="s">
        <v>4262</v>
      </c>
      <c r="L52" t="s">
        <v>90</v>
      </c>
      <c r="M52" t="s">
        <v>5466</v>
      </c>
      <c r="N52" t="s">
        <v>3461</v>
      </c>
      <c r="O52" t="s">
        <v>5873</v>
      </c>
    </row>
    <row r="53" spans="1:15" ht="15" customHeight="1" x14ac:dyDescent="0.25">
      <c r="A53" t="s">
        <v>6526</v>
      </c>
      <c r="B53" t="s">
        <v>3549</v>
      </c>
      <c r="C53" t="s">
        <v>5363</v>
      </c>
      <c r="D53">
        <v>1</v>
      </c>
      <c r="E53" t="s">
        <v>5919</v>
      </c>
      <c r="F53" t="s">
        <v>6527</v>
      </c>
      <c r="G53" t="s">
        <v>5920</v>
      </c>
      <c r="H53" t="s">
        <v>6528</v>
      </c>
      <c r="I53">
        <v>1</v>
      </c>
      <c r="J53" t="s">
        <v>3461</v>
      </c>
      <c r="K53" t="s">
        <v>6529</v>
      </c>
      <c r="L53" t="s">
        <v>90</v>
      </c>
      <c r="M53" t="s">
        <v>3461</v>
      </c>
      <c r="N53" t="s">
        <v>3461</v>
      </c>
      <c r="O53" t="s">
        <v>6530</v>
      </c>
    </row>
    <row r="54" spans="1:15" ht="15" customHeight="1" x14ac:dyDescent="0.25">
      <c r="A54" t="s">
        <v>6531</v>
      </c>
      <c r="B54" t="s">
        <v>3549</v>
      </c>
      <c r="C54" t="s">
        <v>5363</v>
      </c>
      <c r="D54">
        <v>1</v>
      </c>
      <c r="E54" t="s">
        <v>5919</v>
      </c>
      <c r="F54" t="s">
        <v>6527</v>
      </c>
      <c r="G54" t="s">
        <v>5920</v>
      </c>
      <c r="H54" t="s">
        <v>6528</v>
      </c>
      <c r="I54">
        <v>1</v>
      </c>
      <c r="J54" t="s">
        <v>3461</v>
      </c>
      <c r="K54" t="s">
        <v>6532</v>
      </c>
      <c r="L54" t="s">
        <v>90</v>
      </c>
      <c r="M54" t="s">
        <v>3461</v>
      </c>
      <c r="N54" t="s">
        <v>3461</v>
      </c>
      <c r="O54" t="s">
        <v>6530</v>
      </c>
    </row>
    <row r="55" spans="1:15" ht="15" customHeight="1" x14ac:dyDescent="0.25">
      <c r="A55" t="s">
        <v>5923</v>
      </c>
      <c r="B55" t="s">
        <v>41</v>
      </c>
      <c r="C55" t="s">
        <v>5363</v>
      </c>
      <c r="D55">
        <v>0</v>
      </c>
      <c r="E55" s="8" t="s">
        <v>5924</v>
      </c>
      <c r="F55" t="s">
        <v>6533</v>
      </c>
      <c r="G55" s="8" t="s">
        <v>6534</v>
      </c>
      <c r="H55" t="s">
        <v>6535</v>
      </c>
      <c r="I55">
        <v>0</v>
      </c>
      <c r="J55" t="s">
        <v>3461</v>
      </c>
      <c r="K55" t="s">
        <v>5923</v>
      </c>
      <c r="L55" t="s">
        <v>90</v>
      </c>
      <c r="M55" t="s">
        <v>3461</v>
      </c>
      <c r="N55" t="s">
        <v>3461</v>
      </c>
      <c r="O55" t="s">
        <v>5720</v>
      </c>
    </row>
    <row r="56" spans="1:15" ht="15" customHeight="1" x14ac:dyDescent="0.25">
      <c r="A56" t="s">
        <v>4585</v>
      </c>
      <c r="B56" t="s">
        <v>3517</v>
      </c>
      <c r="C56" t="s">
        <v>5725</v>
      </c>
      <c r="D56">
        <v>1</v>
      </c>
      <c r="E56" t="s">
        <v>6536</v>
      </c>
      <c r="F56" t="s">
        <v>6537</v>
      </c>
      <c r="G56" t="s">
        <v>6536</v>
      </c>
      <c r="H56" t="s">
        <v>6537</v>
      </c>
      <c r="I56">
        <v>1</v>
      </c>
      <c r="J56" t="s">
        <v>6395</v>
      </c>
      <c r="K56" t="s">
        <v>4585</v>
      </c>
      <c r="L56" t="s">
        <v>1621</v>
      </c>
      <c r="M56" t="s">
        <v>5428</v>
      </c>
      <c r="N56" t="s">
        <v>3461</v>
      </c>
      <c r="O56" t="s">
        <v>5758</v>
      </c>
    </row>
    <row r="57" spans="1:15" ht="15" customHeight="1" x14ac:dyDescent="0.25">
      <c r="A57" t="s">
        <v>5932</v>
      </c>
      <c r="B57" t="s">
        <v>3505</v>
      </c>
      <c r="C57" t="s">
        <v>5725</v>
      </c>
      <c r="D57">
        <v>1</v>
      </c>
      <c r="E57" t="s">
        <v>5933</v>
      </c>
      <c r="F57" t="s">
        <v>6538</v>
      </c>
      <c r="G57" t="s">
        <v>5934</v>
      </c>
      <c r="H57" t="s">
        <v>6539</v>
      </c>
      <c r="I57">
        <v>1</v>
      </c>
      <c r="J57" t="s">
        <v>6540</v>
      </c>
      <c r="K57" t="s">
        <v>5935</v>
      </c>
      <c r="L57" t="s">
        <v>90</v>
      </c>
      <c r="M57" t="s">
        <v>5499</v>
      </c>
      <c r="N57" t="s">
        <v>3461</v>
      </c>
      <c r="O57" t="s">
        <v>5936</v>
      </c>
    </row>
    <row r="58" spans="1:15" ht="15" customHeight="1" x14ac:dyDescent="0.25">
      <c r="A58" t="s">
        <v>5937</v>
      </c>
      <c r="B58" t="s">
        <v>3517</v>
      </c>
      <c r="C58" t="s">
        <v>5363</v>
      </c>
      <c r="D58">
        <v>1</v>
      </c>
      <c r="E58" s="8" t="s">
        <v>5938</v>
      </c>
      <c r="F58" t="s">
        <v>6541</v>
      </c>
      <c r="G58" s="8" t="s">
        <v>5939</v>
      </c>
      <c r="H58" t="s">
        <v>6542</v>
      </c>
      <c r="I58">
        <v>1</v>
      </c>
      <c r="J58" t="s">
        <v>3461</v>
      </c>
      <c r="K58" t="s">
        <v>5937</v>
      </c>
      <c r="L58" t="s">
        <v>90</v>
      </c>
      <c r="M58" t="s">
        <v>5499</v>
      </c>
      <c r="N58" t="s">
        <v>3461</v>
      </c>
      <c r="O58" t="s">
        <v>5940</v>
      </c>
    </row>
    <row r="59" spans="1:15" ht="15" customHeight="1" x14ac:dyDescent="0.25">
      <c r="A59" t="s">
        <v>5941</v>
      </c>
      <c r="B59" t="s">
        <v>3517</v>
      </c>
      <c r="C59" t="s">
        <v>5363</v>
      </c>
      <c r="D59">
        <v>1</v>
      </c>
      <c r="E59" s="8" t="s">
        <v>5942</v>
      </c>
      <c r="F59" t="s">
        <v>6543</v>
      </c>
      <c r="G59" s="8" t="s">
        <v>5942</v>
      </c>
      <c r="H59" t="s">
        <v>6543</v>
      </c>
      <c r="I59">
        <v>0</v>
      </c>
      <c r="J59" t="s">
        <v>3461</v>
      </c>
      <c r="K59" t="s">
        <v>5941</v>
      </c>
      <c r="L59" t="s">
        <v>90</v>
      </c>
      <c r="M59" t="s">
        <v>5499</v>
      </c>
      <c r="N59" t="s">
        <v>3461</v>
      </c>
      <c r="O59" t="s">
        <v>5943</v>
      </c>
    </row>
    <row r="60" spans="1:15" ht="15" customHeight="1" x14ac:dyDescent="0.25">
      <c r="A60" t="s">
        <v>5944</v>
      </c>
      <c r="B60" t="s">
        <v>41</v>
      </c>
      <c r="C60" t="s">
        <v>5363</v>
      </c>
      <c r="D60">
        <v>1</v>
      </c>
      <c r="E60" s="8" t="s">
        <v>6544</v>
      </c>
      <c r="F60" t="s">
        <v>6545</v>
      </c>
      <c r="G60" s="8" t="s">
        <v>6546</v>
      </c>
      <c r="H60" t="s">
        <v>6547</v>
      </c>
      <c r="I60">
        <v>1</v>
      </c>
      <c r="J60" t="s">
        <v>3461</v>
      </c>
      <c r="K60" t="s">
        <v>5947</v>
      </c>
      <c r="L60" t="s">
        <v>90</v>
      </c>
      <c r="M60" t="s">
        <v>3461</v>
      </c>
      <c r="N60" t="s">
        <v>3461</v>
      </c>
      <c r="O60" t="s">
        <v>5720</v>
      </c>
    </row>
    <row r="61" spans="1:15" ht="15" customHeight="1" x14ac:dyDescent="0.25">
      <c r="A61" t="s">
        <v>5948</v>
      </c>
      <c r="B61" t="s">
        <v>3505</v>
      </c>
      <c r="C61" t="s">
        <v>5363</v>
      </c>
      <c r="D61" t="s">
        <v>5949</v>
      </c>
      <c r="E61" s="8" t="s">
        <v>6548</v>
      </c>
      <c r="F61" t="s">
        <v>6549</v>
      </c>
      <c r="G61" s="8" t="s">
        <v>6550</v>
      </c>
      <c r="H61" t="s">
        <v>6551</v>
      </c>
      <c r="I61" t="s">
        <v>3461</v>
      </c>
      <c r="J61" t="s">
        <v>3461</v>
      </c>
      <c r="K61" t="s">
        <v>5948</v>
      </c>
      <c r="L61" t="s">
        <v>90</v>
      </c>
      <c r="M61" t="s">
        <v>5499</v>
      </c>
      <c r="N61" t="s">
        <v>3461</v>
      </c>
      <c r="O61" t="s">
        <v>5952</v>
      </c>
    </row>
    <row r="62" spans="1:15" ht="15" customHeight="1" x14ac:dyDescent="0.25">
      <c r="A62" t="s">
        <v>5367</v>
      </c>
      <c r="B62" t="s">
        <v>3505</v>
      </c>
      <c r="C62" t="s">
        <v>5363</v>
      </c>
      <c r="D62">
        <v>1</v>
      </c>
      <c r="E62" s="8" t="s">
        <v>5953</v>
      </c>
      <c r="F62" t="s">
        <v>6552</v>
      </c>
      <c r="G62" s="8" t="s">
        <v>5954</v>
      </c>
      <c r="H62" t="s">
        <v>6553</v>
      </c>
      <c r="I62">
        <v>1</v>
      </c>
      <c r="J62" t="s">
        <v>3461</v>
      </c>
      <c r="K62" t="s">
        <v>5369</v>
      </c>
      <c r="L62" t="s">
        <v>90</v>
      </c>
      <c r="M62" t="s">
        <v>3461</v>
      </c>
      <c r="N62" t="s">
        <v>3461</v>
      </c>
      <c r="O62" t="s">
        <v>5738</v>
      </c>
    </row>
    <row r="63" spans="1:15" ht="15" customHeight="1" x14ac:dyDescent="0.25">
      <c r="A63" t="s">
        <v>5956</v>
      </c>
      <c r="B63" t="s">
        <v>4300</v>
      </c>
      <c r="C63" t="s">
        <v>4248</v>
      </c>
      <c r="D63" t="s">
        <v>4000</v>
      </c>
      <c r="E63" t="s">
        <v>5957</v>
      </c>
      <c r="F63" t="s">
        <v>6554</v>
      </c>
      <c r="G63" t="s">
        <v>3461</v>
      </c>
      <c r="H63" t="s">
        <v>3461</v>
      </c>
      <c r="I63" t="s">
        <v>3461</v>
      </c>
      <c r="J63" t="s">
        <v>3461</v>
      </c>
      <c r="K63" t="s">
        <v>5956</v>
      </c>
      <c r="L63" t="s">
        <v>90</v>
      </c>
      <c r="M63" t="s">
        <v>5466</v>
      </c>
      <c r="N63" t="s">
        <v>3461</v>
      </c>
      <c r="O63" t="s">
        <v>5873</v>
      </c>
    </row>
    <row r="64" spans="1:15" ht="15" customHeight="1" x14ac:dyDescent="0.25">
      <c r="A64" t="s">
        <v>5958</v>
      </c>
      <c r="B64" t="s">
        <v>3517</v>
      </c>
      <c r="C64" t="s">
        <v>5725</v>
      </c>
      <c r="D64">
        <v>1</v>
      </c>
      <c r="E64" s="8" t="s">
        <v>6555</v>
      </c>
      <c r="F64" t="s">
        <v>6556</v>
      </c>
      <c r="G64" s="8" t="s">
        <v>6557</v>
      </c>
      <c r="H64" t="s">
        <v>6558</v>
      </c>
      <c r="I64">
        <v>1</v>
      </c>
      <c r="J64" t="s">
        <v>6395</v>
      </c>
      <c r="K64" t="s">
        <v>5958</v>
      </c>
      <c r="L64" t="s">
        <v>90</v>
      </c>
      <c r="M64" t="s">
        <v>3461</v>
      </c>
      <c r="N64" t="s">
        <v>3461</v>
      </c>
      <c r="O64" t="s">
        <v>5961</v>
      </c>
    </row>
    <row r="65" spans="1:15" ht="15" customHeight="1" x14ac:dyDescent="0.25">
      <c r="A65" t="s">
        <v>5966</v>
      </c>
      <c r="B65" t="s">
        <v>3517</v>
      </c>
      <c r="C65" t="s">
        <v>5363</v>
      </c>
      <c r="D65">
        <v>1</v>
      </c>
      <c r="E65" s="8" t="s">
        <v>5967</v>
      </c>
      <c r="F65" t="s">
        <v>6559</v>
      </c>
      <c r="G65" s="8" t="s">
        <v>5968</v>
      </c>
      <c r="H65" t="s">
        <v>6560</v>
      </c>
      <c r="I65">
        <v>1</v>
      </c>
      <c r="J65" t="s">
        <v>3461</v>
      </c>
      <c r="K65" t="s">
        <v>5969</v>
      </c>
      <c r="L65" t="s">
        <v>90</v>
      </c>
      <c r="M65" t="s">
        <v>3461</v>
      </c>
      <c r="N65" t="s">
        <v>3461</v>
      </c>
      <c r="O65" t="s">
        <v>5766</v>
      </c>
    </row>
    <row r="66" spans="1:15" ht="15" customHeight="1" x14ac:dyDescent="0.25">
      <c r="A66" t="s">
        <v>5970</v>
      </c>
      <c r="B66" t="s">
        <v>3517</v>
      </c>
      <c r="C66" t="s">
        <v>5725</v>
      </c>
      <c r="D66">
        <v>0</v>
      </c>
      <c r="E66" s="8" t="s">
        <v>6561</v>
      </c>
      <c r="F66" t="s">
        <v>6562</v>
      </c>
      <c r="G66" s="8" t="s">
        <v>6563</v>
      </c>
      <c r="H66" t="s">
        <v>6564</v>
      </c>
      <c r="I66">
        <v>0</v>
      </c>
      <c r="J66" t="s">
        <v>6453</v>
      </c>
      <c r="K66" t="s">
        <v>5973</v>
      </c>
      <c r="L66" t="s">
        <v>90</v>
      </c>
      <c r="M66" t="s">
        <v>5499</v>
      </c>
      <c r="N66" t="s">
        <v>3461</v>
      </c>
      <c r="O66" t="s">
        <v>5780</v>
      </c>
    </row>
    <row r="67" spans="1:15" x14ac:dyDescent="0.25">
      <c r="A67" t="s">
        <v>5974</v>
      </c>
      <c r="B67" t="s">
        <v>3517</v>
      </c>
      <c r="C67" t="s">
        <v>5363</v>
      </c>
      <c r="D67">
        <v>2</v>
      </c>
      <c r="E67" s="8" t="s">
        <v>5975</v>
      </c>
      <c r="F67" t="s">
        <v>6565</v>
      </c>
      <c r="G67" s="8" t="s">
        <v>5975</v>
      </c>
      <c r="H67" t="s">
        <v>6565</v>
      </c>
      <c r="I67">
        <v>1</v>
      </c>
      <c r="J67" t="s">
        <v>3461</v>
      </c>
      <c r="K67" t="s">
        <v>5974</v>
      </c>
      <c r="L67" t="s">
        <v>90</v>
      </c>
      <c r="M67" t="s">
        <v>3461</v>
      </c>
      <c r="N67" t="s">
        <v>3461</v>
      </c>
      <c r="O67" t="s">
        <v>5742</v>
      </c>
    </row>
    <row r="68" spans="1:15" x14ac:dyDescent="0.25">
      <c r="A68" t="s">
        <v>5199</v>
      </c>
      <c r="B68" t="s">
        <v>3505</v>
      </c>
      <c r="C68" t="s">
        <v>4600</v>
      </c>
      <c r="D68">
        <v>2</v>
      </c>
      <c r="E68" s="8" t="s">
        <v>6566</v>
      </c>
      <c r="F68" t="s">
        <v>6567</v>
      </c>
      <c r="G68" s="8" t="s">
        <v>6566</v>
      </c>
      <c r="H68" t="s">
        <v>6567</v>
      </c>
      <c r="I68">
        <v>1</v>
      </c>
      <c r="J68" t="s">
        <v>3461</v>
      </c>
      <c r="K68" t="s">
        <v>5199</v>
      </c>
      <c r="L68" t="s">
        <v>90</v>
      </c>
      <c r="M68" t="s">
        <v>3461</v>
      </c>
      <c r="N68" t="s">
        <v>3461</v>
      </c>
      <c r="O68" t="s">
        <v>6568</v>
      </c>
    </row>
    <row r="69" spans="1:15" x14ac:dyDescent="0.25">
      <c r="A69" t="s">
        <v>5977</v>
      </c>
      <c r="B69" t="s">
        <v>3517</v>
      </c>
      <c r="C69" t="s">
        <v>5363</v>
      </c>
      <c r="D69">
        <v>0</v>
      </c>
      <c r="E69" s="8" t="s">
        <v>5978</v>
      </c>
      <c r="F69" t="s">
        <v>6569</v>
      </c>
      <c r="G69" s="8" t="s">
        <v>5979</v>
      </c>
      <c r="H69" t="s">
        <v>6570</v>
      </c>
      <c r="I69">
        <v>0</v>
      </c>
      <c r="J69" t="s">
        <v>3461</v>
      </c>
      <c r="K69" t="s">
        <v>5980</v>
      </c>
      <c r="L69" t="s">
        <v>90</v>
      </c>
      <c r="M69" t="s">
        <v>3461</v>
      </c>
      <c r="N69" t="s">
        <v>3461</v>
      </c>
      <c r="O69" t="s">
        <v>5981</v>
      </c>
    </row>
    <row r="70" spans="1:15" x14ac:dyDescent="0.25">
      <c r="A70" t="s">
        <v>5982</v>
      </c>
      <c r="B70" t="s">
        <v>3517</v>
      </c>
      <c r="C70" t="s">
        <v>5725</v>
      </c>
      <c r="D70">
        <v>3</v>
      </c>
      <c r="E70" s="8" t="s">
        <v>6571</v>
      </c>
      <c r="F70" t="s">
        <v>6572</v>
      </c>
      <c r="G70" s="8" t="s">
        <v>6573</v>
      </c>
      <c r="H70" t="s">
        <v>6574</v>
      </c>
      <c r="I70">
        <v>3</v>
      </c>
      <c r="J70" t="s">
        <v>6403</v>
      </c>
      <c r="K70" t="s">
        <v>5982</v>
      </c>
      <c r="L70" t="s">
        <v>90</v>
      </c>
      <c r="M70" t="s">
        <v>3461</v>
      </c>
      <c r="N70" t="s">
        <v>3461</v>
      </c>
      <c r="O70" t="s">
        <v>5985</v>
      </c>
    </row>
    <row r="71" spans="1:15" x14ac:dyDescent="0.25">
      <c r="A71" t="s">
        <v>5201</v>
      </c>
      <c r="B71" t="s">
        <v>3517</v>
      </c>
      <c r="C71" t="s">
        <v>4600</v>
      </c>
      <c r="D71">
        <v>1</v>
      </c>
      <c r="E71" s="8" t="s">
        <v>6575</v>
      </c>
      <c r="F71" t="s">
        <v>6576</v>
      </c>
      <c r="G71" s="8" t="s">
        <v>6577</v>
      </c>
      <c r="H71" t="s">
        <v>6578</v>
      </c>
      <c r="I71">
        <v>1</v>
      </c>
      <c r="J71" t="s">
        <v>3461</v>
      </c>
      <c r="K71" t="s">
        <v>5201</v>
      </c>
      <c r="L71" t="s">
        <v>90</v>
      </c>
      <c r="M71" t="s">
        <v>3461</v>
      </c>
      <c r="N71" t="s">
        <v>3461</v>
      </c>
      <c r="O71" t="s">
        <v>5988</v>
      </c>
    </row>
    <row r="72" spans="1:15" x14ac:dyDescent="0.25">
      <c r="A72" t="s">
        <v>5989</v>
      </c>
      <c r="B72" t="s">
        <v>3505</v>
      </c>
      <c r="C72" t="s">
        <v>5363</v>
      </c>
      <c r="D72">
        <v>1</v>
      </c>
      <c r="E72" s="8" t="s">
        <v>5990</v>
      </c>
      <c r="F72" t="s">
        <v>6579</v>
      </c>
      <c r="G72" s="8" t="s">
        <v>5990</v>
      </c>
      <c r="H72" t="s">
        <v>6579</v>
      </c>
      <c r="I72">
        <v>0</v>
      </c>
      <c r="J72" t="s">
        <v>3461</v>
      </c>
      <c r="K72" t="s">
        <v>5989</v>
      </c>
      <c r="L72" t="s">
        <v>90</v>
      </c>
      <c r="M72" t="s">
        <v>5499</v>
      </c>
      <c r="N72" t="s">
        <v>3461</v>
      </c>
      <c r="O72" t="s">
        <v>5991</v>
      </c>
    </row>
    <row r="73" spans="1:15" x14ac:dyDescent="0.25">
      <c r="A73" t="s">
        <v>5992</v>
      </c>
      <c r="B73" t="s">
        <v>3517</v>
      </c>
      <c r="C73" t="s">
        <v>5363</v>
      </c>
      <c r="D73">
        <v>1</v>
      </c>
      <c r="E73" s="8" t="s">
        <v>6580</v>
      </c>
      <c r="F73" t="s">
        <v>6581</v>
      </c>
      <c r="G73" s="8" t="s">
        <v>6582</v>
      </c>
      <c r="H73" t="s">
        <v>6583</v>
      </c>
      <c r="I73">
        <v>1</v>
      </c>
      <c r="J73" t="s">
        <v>3461</v>
      </c>
      <c r="K73" t="s">
        <v>5992</v>
      </c>
      <c r="L73" t="s">
        <v>90</v>
      </c>
      <c r="M73" t="s">
        <v>3461</v>
      </c>
      <c r="N73" t="s">
        <v>3461</v>
      </c>
      <c r="O73" t="s">
        <v>5995</v>
      </c>
    </row>
    <row r="74" spans="1:15" x14ac:dyDescent="0.25">
      <c r="A74" t="s">
        <v>5996</v>
      </c>
      <c r="B74" t="s">
        <v>3505</v>
      </c>
      <c r="C74" t="s">
        <v>5725</v>
      </c>
      <c r="D74">
        <v>1</v>
      </c>
      <c r="E74" s="8" t="s">
        <v>6584</v>
      </c>
      <c r="F74" t="s">
        <v>6585</v>
      </c>
      <c r="G74" s="8" t="s">
        <v>6586</v>
      </c>
      <c r="H74" t="s">
        <v>6587</v>
      </c>
      <c r="I74" t="s">
        <v>3461</v>
      </c>
      <c r="J74" t="s">
        <v>6403</v>
      </c>
      <c r="K74" t="s">
        <v>5996</v>
      </c>
      <c r="L74" t="s">
        <v>90</v>
      </c>
      <c r="M74" t="s">
        <v>5499</v>
      </c>
      <c r="N74" t="s">
        <v>3461</v>
      </c>
      <c r="O74" t="s">
        <v>5999</v>
      </c>
    </row>
    <row r="75" spans="1:15" x14ac:dyDescent="0.25">
      <c r="A75" t="s">
        <v>5209</v>
      </c>
      <c r="B75" t="s">
        <v>3517</v>
      </c>
      <c r="C75" t="s">
        <v>4600</v>
      </c>
      <c r="D75">
        <v>1</v>
      </c>
      <c r="E75" s="8" t="s">
        <v>6588</v>
      </c>
      <c r="F75" t="s">
        <v>6589</v>
      </c>
      <c r="G75" s="8" t="s">
        <v>6590</v>
      </c>
      <c r="H75" t="s">
        <v>6591</v>
      </c>
      <c r="I75">
        <v>1</v>
      </c>
      <c r="J75" t="s">
        <v>3461</v>
      </c>
      <c r="K75" t="s">
        <v>5211</v>
      </c>
      <c r="L75" t="s">
        <v>90</v>
      </c>
      <c r="M75" t="s">
        <v>3461</v>
      </c>
      <c r="N75" t="s">
        <v>3461</v>
      </c>
      <c r="O75" t="s">
        <v>6002</v>
      </c>
    </row>
    <row r="76" spans="1:15" x14ac:dyDescent="0.25">
      <c r="A76" t="s">
        <v>6003</v>
      </c>
      <c r="B76" t="s">
        <v>3505</v>
      </c>
      <c r="C76" t="s">
        <v>5725</v>
      </c>
      <c r="D76">
        <v>2</v>
      </c>
      <c r="E76" s="8" t="s">
        <v>6592</v>
      </c>
      <c r="F76" t="s">
        <v>6593</v>
      </c>
      <c r="G76" s="8" t="s">
        <v>6594</v>
      </c>
      <c r="H76" t="s">
        <v>6595</v>
      </c>
      <c r="I76">
        <v>2</v>
      </c>
      <c r="J76" t="s">
        <v>6420</v>
      </c>
      <c r="K76" t="s">
        <v>6006</v>
      </c>
      <c r="L76" t="s">
        <v>90</v>
      </c>
      <c r="M76" t="s">
        <v>5499</v>
      </c>
      <c r="N76" t="s">
        <v>4264</v>
      </c>
      <c r="O76" t="s">
        <v>6007</v>
      </c>
    </row>
    <row r="77" spans="1:15" x14ac:dyDescent="0.25">
      <c r="A77" t="s">
        <v>6010</v>
      </c>
      <c r="B77" t="s">
        <v>3517</v>
      </c>
      <c r="C77" t="s">
        <v>5725</v>
      </c>
      <c r="D77">
        <v>1</v>
      </c>
      <c r="E77" s="8" t="s">
        <v>6596</v>
      </c>
      <c r="F77" t="s">
        <v>6597</v>
      </c>
      <c r="G77" s="8" t="s">
        <v>6598</v>
      </c>
      <c r="H77" t="s">
        <v>6599</v>
      </c>
      <c r="I77" t="s">
        <v>3461</v>
      </c>
      <c r="J77" t="s">
        <v>6395</v>
      </c>
      <c r="K77" t="s">
        <v>6010</v>
      </c>
      <c r="L77" t="s">
        <v>90</v>
      </c>
      <c r="M77" t="s">
        <v>3461</v>
      </c>
      <c r="N77" t="s">
        <v>3461</v>
      </c>
      <c r="O77" t="s">
        <v>6600</v>
      </c>
    </row>
    <row r="78" spans="1:15" x14ac:dyDescent="0.25">
      <c r="A78" t="s">
        <v>5212</v>
      </c>
      <c r="B78" t="s">
        <v>3517</v>
      </c>
      <c r="C78" t="s">
        <v>4600</v>
      </c>
      <c r="D78">
        <v>1</v>
      </c>
      <c r="E78" s="8" t="s">
        <v>6601</v>
      </c>
      <c r="F78" t="s">
        <v>6602</v>
      </c>
      <c r="G78" s="8" t="s">
        <v>6603</v>
      </c>
      <c r="H78" t="s">
        <v>6604</v>
      </c>
      <c r="I78">
        <v>1</v>
      </c>
      <c r="J78" t="s">
        <v>3461</v>
      </c>
      <c r="K78" t="s">
        <v>5214</v>
      </c>
      <c r="L78" t="s">
        <v>90</v>
      </c>
      <c r="M78" t="s">
        <v>3461</v>
      </c>
      <c r="N78" t="s">
        <v>3461</v>
      </c>
      <c r="O78" t="s">
        <v>6015</v>
      </c>
    </row>
    <row r="79" spans="1:15" x14ac:dyDescent="0.25">
      <c r="A79" t="s">
        <v>5215</v>
      </c>
      <c r="B79" t="s">
        <v>3517</v>
      </c>
      <c r="C79" t="s">
        <v>5363</v>
      </c>
      <c r="D79">
        <v>2</v>
      </c>
      <c r="E79" s="8" t="s">
        <v>6605</v>
      </c>
      <c r="F79" t="s">
        <v>6606</v>
      </c>
      <c r="G79" s="8" t="s">
        <v>6607</v>
      </c>
      <c r="H79" t="s">
        <v>6608</v>
      </c>
      <c r="I79">
        <v>2</v>
      </c>
      <c r="J79" t="s">
        <v>3461</v>
      </c>
      <c r="K79" t="s">
        <v>5217</v>
      </c>
      <c r="L79" t="s">
        <v>90</v>
      </c>
      <c r="M79" t="s">
        <v>3461</v>
      </c>
      <c r="N79" t="s">
        <v>4264</v>
      </c>
      <c r="O79" t="s">
        <v>5742</v>
      </c>
    </row>
    <row r="80" spans="1:15" x14ac:dyDescent="0.25">
      <c r="A80" t="s">
        <v>6018</v>
      </c>
      <c r="B80" t="s">
        <v>3517</v>
      </c>
      <c r="C80" t="s">
        <v>5725</v>
      </c>
      <c r="D80">
        <v>1</v>
      </c>
      <c r="E80" s="8" t="s">
        <v>6609</v>
      </c>
      <c r="F80" t="s">
        <v>6610</v>
      </c>
      <c r="G80" s="8" t="s">
        <v>6611</v>
      </c>
      <c r="H80" t="s">
        <v>6612</v>
      </c>
      <c r="I80">
        <v>1</v>
      </c>
      <c r="J80" t="s">
        <v>6420</v>
      </c>
      <c r="K80" t="s">
        <v>6018</v>
      </c>
      <c r="L80" t="s">
        <v>90</v>
      </c>
      <c r="M80" t="s">
        <v>3461</v>
      </c>
      <c r="N80" t="s">
        <v>3461</v>
      </c>
      <c r="O80" t="s">
        <v>6600</v>
      </c>
    </row>
    <row r="81" spans="1:15" x14ac:dyDescent="0.25">
      <c r="A81" t="s">
        <v>6021</v>
      </c>
      <c r="B81" t="s">
        <v>41</v>
      </c>
      <c r="C81" t="s">
        <v>5363</v>
      </c>
      <c r="D81">
        <v>0</v>
      </c>
      <c r="E81" s="8" t="s">
        <v>6613</v>
      </c>
      <c r="F81" t="s">
        <v>6614</v>
      </c>
      <c r="G81" s="8" t="s">
        <v>6615</v>
      </c>
      <c r="H81" t="s">
        <v>6616</v>
      </c>
      <c r="I81" t="s">
        <v>3461</v>
      </c>
      <c r="J81" t="s">
        <v>3461</v>
      </c>
      <c r="K81" t="s">
        <v>6021</v>
      </c>
      <c r="L81" t="s">
        <v>90</v>
      </c>
      <c r="M81" t="s">
        <v>3461</v>
      </c>
      <c r="N81" t="s">
        <v>3461</v>
      </c>
      <c r="O81" t="s">
        <v>6062</v>
      </c>
    </row>
    <row r="82" spans="1:15" x14ac:dyDescent="0.25">
      <c r="A82" t="s">
        <v>6024</v>
      </c>
      <c r="B82" t="s">
        <v>41</v>
      </c>
      <c r="C82" t="s">
        <v>5725</v>
      </c>
      <c r="D82">
        <v>1</v>
      </c>
      <c r="E82" s="8" t="s">
        <v>6617</v>
      </c>
      <c r="F82" t="s">
        <v>6618</v>
      </c>
      <c r="G82" s="8" t="s">
        <v>6619</v>
      </c>
      <c r="H82" t="s">
        <v>6620</v>
      </c>
      <c r="I82" t="s">
        <v>3461</v>
      </c>
      <c r="J82" t="s">
        <v>6395</v>
      </c>
      <c r="K82" t="s">
        <v>6027</v>
      </c>
      <c r="L82" t="s">
        <v>90</v>
      </c>
      <c r="M82" t="s">
        <v>3461</v>
      </c>
      <c r="N82" t="s">
        <v>3461</v>
      </c>
      <c r="O82" t="s">
        <v>6028</v>
      </c>
    </row>
    <row r="83" spans="1:15" x14ac:dyDescent="0.25">
      <c r="A83" t="s">
        <v>6032</v>
      </c>
      <c r="B83" t="s">
        <v>3517</v>
      </c>
      <c r="C83" t="s">
        <v>5363</v>
      </c>
      <c r="D83">
        <v>1</v>
      </c>
      <c r="E83" s="8" t="s">
        <v>6621</v>
      </c>
      <c r="F83" t="s">
        <v>6454</v>
      </c>
      <c r="G83" s="8" t="s">
        <v>6622</v>
      </c>
      <c r="H83" t="s">
        <v>6455</v>
      </c>
      <c r="I83" t="s">
        <v>3461</v>
      </c>
      <c r="J83" t="s">
        <v>3461</v>
      </c>
      <c r="K83" t="s">
        <v>6035</v>
      </c>
      <c r="L83" t="s">
        <v>90</v>
      </c>
      <c r="M83" t="s">
        <v>5425</v>
      </c>
      <c r="N83" t="s">
        <v>3461</v>
      </c>
      <c r="O83" t="s">
        <v>5742</v>
      </c>
    </row>
    <row r="84" spans="1:15" x14ac:dyDescent="0.25">
      <c r="A84" t="s">
        <v>6037</v>
      </c>
      <c r="B84" t="s">
        <v>3505</v>
      </c>
      <c r="C84" t="s">
        <v>5725</v>
      </c>
      <c r="D84">
        <v>1</v>
      </c>
      <c r="E84" s="8" t="s">
        <v>6623</v>
      </c>
      <c r="F84" t="s">
        <v>6624</v>
      </c>
      <c r="G84" s="8" t="s">
        <v>6625</v>
      </c>
      <c r="H84" t="s">
        <v>6626</v>
      </c>
      <c r="I84" t="s">
        <v>3461</v>
      </c>
      <c r="J84" t="s">
        <v>6420</v>
      </c>
      <c r="K84" t="s">
        <v>6040</v>
      </c>
      <c r="L84" t="s">
        <v>90</v>
      </c>
      <c r="M84" t="s">
        <v>3461</v>
      </c>
      <c r="N84" t="s">
        <v>3461</v>
      </c>
      <c r="O84" t="s">
        <v>5780</v>
      </c>
    </row>
    <row r="85" spans="1:15" x14ac:dyDescent="0.25">
      <c r="A85" t="s">
        <v>6041</v>
      </c>
      <c r="B85" t="s">
        <v>41</v>
      </c>
      <c r="C85" t="s">
        <v>5725</v>
      </c>
      <c r="D85">
        <v>0</v>
      </c>
      <c r="E85" s="8" t="s">
        <v>6627</v>
      </c>
      <c r="F85" t="s">
        <v>6628</v>
      </c>
      <c r="G85" s="8" t="s">
        <v>6629</v>
      </c>
      <c r="H85" t="s">
        <v>6630</v>
      </c>
      <c r="I85">
        <v>0</v>
      </c>
      <c r="J85" t="s">
        <v>6487</v>
      </c>
      <c r="K85" t="s">
        <v>6044</v>
      </c>
      <c r="L85" t="s">
        <v>90</v>
      </c>
      <c r="M85" t="s">
        <v>3461</v>
      </c>
      <c r="N85" t="s">
        <v>3461</v>
      </c>
      <c r="O85" t="s">
        <v>5771</v>
      </c>
    </row>
    <row r="86" spans="1:15" x14ac:dyDescent="0.25">
      <c r="A86" t="s">
        <v>6045</v>
      </c>
      <c r="B86" t="s">
        <v>3505</v>
      </c>
      <c r="C86" t="s">
        <v>5725</v>
      </c>
      <c r="D86">
        <v>0</v>
      </c>
      <c r="E86" s="8" t="s">
        <v>6631</v>
      </c>
      <c r="F86" t="s">
        <v>6632</v>
      </c>
      <c r="G86" s="8" t="s">
        <v>6633</v>
      </c>
      <c r="H86" t="s">
        <v>6634</v>
      </c>
      <c r="I86">
        <v>0</v>
      </c>
      <c r="J86" t="s">
        <v>6635</v>
      </c>
      <c r="K86" t="s">
        <v>6048</v>
      </c>
      <c r="L86" t="s">
        <v>90</v>
      </c>
      <c r="M86" t="s">
        <v>3461</v>
      </c>
      <c r="N86" t="s">
        <v>3461</v>
      </c>
      <c r="O86" t="s">
        <v>5899</v>
      </c>
    </row>
    <row r="87" spans="1:15" x14ac:dyDescent="0.25">
      <c r="A87" t="s">
        <v>5119</v>
      </c>
      <c r="B87" t="s">
        <v>4300</v>
      </c>
      <c r="C87" t="s">
        <v>4248</v>
      </c>
      <c r="D87" t="s">
        <v>4000</v>
      </c>
      <c r="E87" t="s">
        <v>6636</v>
      </c>
      <c r="F87" t="s">
        <v>4218</v>
      </c>
      <c r="G87" t="s">
        <v>3461</v>
      </c>
      <c r="H87" t="s">
        <v>3461</v>
      </c>
      <c r="I87" t="s">
        <v>3461</v>
      </c>
      <c r="J87" t="s">
        <v>3461</v>
      </c>
      <c r="K87" t="s">
        <v>5119</v>
      </c>
      <c r="L87" t="s">
        <v>38</v>
      </c>
      <c r="M87" t="s">
        <v>6637</v>
      </c>
      <c r="N87" t="s">
        <v>3461</v>
      </c>
    </row>
    <row r="88" spans="1:15" x14ac:dyDescent="0.25">
      <c r="A88" t="s">
        <v>5135</v>
      </c>
      <c r="B88" t="s">
        <v>4300</v>
      </c>
      <c r="C88" t="s">
        <v>4248</v>
      </c>
      <c r="D88" t="s">
        <v>4000</v>
      </c>
      <c r="E88" t="s">
        <v>6638</v>
      </c>
      <c r="F88" t="s">
        <v>6639</v>
      </c>
      <c r="G88" t="s">
        <v>3461</v>
      </c>
      <c r="H88" t="s">
        <v>3461</v>
      </c>
      <c r="I88" t="s">
        <v>3461</v>
      </c>
      <c r="J88" t="s">
        <v>3461</v>
      </c>
      <c r="K88" t="s">
        <v>5135</v>
      </c>
      <c r="L88" t="s">
        <v>38</v>
      </c>
      <c r="M88" t="s">
        <v>5466</v>
      </c>
      <c r="N88" t="s">
        <v>3461</v>
      </c>
      <c r="O88" t="s">
        <v>5873</v>
      </c>
    </row>
    <row r="89" spans="1:15" x14ac:dyDescent="0.25">
      <c r="A89" t="s">
        <v>6050</v>
      </c>
      <c r="B89" t="s">
        <v>41</v>
      </c>
      <c r="C89" t="s">
        <v>5363</v>
      </c>
      <c r="D89">
        <v>1</v>
      </c>
      <c r="E89" s="8" t="s">
        <v>6051</v>
      </c>
      <c r="F89" t="s">
        <v>6640</v>
      </c>
      <c r="G89" s="8" t="s">
        <v>6051</v>
      </c>
      <c r="H89" t="s">
        <v>6640</v>
      </c>
      <c r="I89">
        <v>0</v>
      </c>
      <c r="J89" t="s">
        <v>3461</v>
      </c>
      <c r="K89" t="s">
        <v>6050</v>
      </c>
      <c r="L89" t="s">
        <v>90</v>
      </c>
      <c r="M89" t="s">
        <v>3461</v>
      </c>
      <c r="N89" t="s">
        <v>3461</v>
      </c>
      <c r="O89" t="s">
        <v>6007</v>
      </c>
    </row>
    <row r="90" spans="1:15" x14ac:dyDescent="0.25">
      <c r="A90" t="s">
        <v>6052</v>
      </c>
      <c r="B90" t="s">
        <v>41</v>
      </c>
      <c r="C90" t="s">
        <v>5725</v>
      </c>
      <c r="D90">
        <v>1</v>
      </c>
      <c r="E90" s="8" t="s">
        <v>6053</v>
      </c>
      <c r="F90" t="s">
        <v>6641</v>
      </c>
      <c r="G90" s="8" t="s">
        <v>6054</v>
      </c>
      <c r="H90" t="s">
        <v>6642</v>
      </c>
      <c r="I90">
        <v>1</v>
      </c>
      <c r="J90" t="s">
        <v>6403</v>
      </c>
      <c r="K90" t="s">
        <v>6052</v>
      </c>
      <c r="L90" t="s">
        <v>90</v>
      </c>
      <c r="M90" t="s">
        <v>3461</v>
      </c>
      <c r="N90" t="s">
        <v>3461</v>
      </c>
      <c r="O90" t="s">
        <v>5738</v>
      </c>
    </row>
    <row r="91" spans="1:15" x14ac:dyDescent="0.25">
      <c r="A91" t="s">
        <v>6058</v>
      </c>
      <c r="B91" t="s">
        <v>41</v>
      </c>
      <c r="C91" t="s">
        <v>5725</v>
      </c>
      <c r="D91">
        <v>2</v>
      </c>
      <c r="E91" t="s">
        <v>6059</v>
      </c>
      <c r="F91" t="s">
        <v>6643</v>
      </c>
      <c r="G91" t="s">
        <v>6060</v>
      </c>
      <c r="H91" t="s">
        <v>6644</v>
      </c>
      <c r="I91">
        <v>2</v>
      </c>
      <c r="J91" t="s">
        <v>6426</v>
      </c>
      <c r="K91" t="s">
        <v>6061</v>
      </c>
      <c r="L91" t="s">
        <v>90</v>
      </c>
      <c r="M91" t="s">
        <v>3461</v>
      </c>
      <c r="N91" t="s">
        <v>3461</v>
      </c>
      <c r="O91" t="s">
        <v>6062</v>
      </c>
    </row>
    <row r="92" spans="1:15" x14ac:dyDescent="0.25">
      <c r="A92" t="s">
        <v>6063</v>
      </c>
      <c r="B92" t="s">
        <v>3517</v>
      </c>
      <c r="C92" t="s">
        <v>5725</v>
      </c>
      <c r="D92">
        <v>1</v>
      </c>
      <c r="E92" s="8" t="s">
        <v>6645</v>
      </c>
      <c r="F92" t="s">
        <v>6646</v>
      </c>
      <c r="G92" s="8" t="s">
        <v>6647</v>
      </c>
      <c r="H92" t="s">
        <v>6648</v>
      </c>
      <c r="I92">
        <v>1</v>
      </c>
      <c r="J92" t="s">
        <v>6403</v>
      </c>
      <c r="K92" t="s">
        <v>6066</v>
      </c>
      <c r="L92" t="s">
        <v>90</v>
      </c>
      <c r="M92" t="s">
        <v>3461</v>
      </c>
      <c r="N92" t="s">
        <v>3461</v>
      </c>
      <c r="O92" t="s">
        <v>6649</v>
      </c>
    </row>
    <row r="93" spans="1:15" x14ac:dyDescent="0.25">
      <c r="A93" t="s">
        <v>6067</v>
      </c>
      <c r="B93" t="s">
        <v>3517</v>
      </c>
      <c r="C93" t="s">
        <v>5725</v>
      </c>
      <c r="D93">
        <v>1</v>
      </c>
      <c r="E93" s="8" t="s">
        <v>6068</v>
      </c>
      <c r="F93" t="s">
        <v>6650</v>
      </c>
      <c r="G93" s="8" t="s">
        <v>6069</v>
      </c>
      <c r="H93" t="s">
        <v>6651</v>
      </c>
      <c r="I93">
        <v>1</v>
      </c>
      <c r="J93" t="s">
        <v>6420</v>
      </c>
      <c r="K93" t="s">
        <v>6067</v>
      </c>
      <c r="L93" t="s">
        <v>90</v>
      </c>
      <c r="M93" t="s">
        <v>3461</v>
      </c>
      <c r="N93" t="s">
        <v>5386</v>
      </c>
      <c r="O93" t="s">
        <v>6652</v>
      </c>
    </row>
    <row r="94" spans="1:15" x14ac:dyDescent="0.25">
      <c r="A94" t="s">
        <v>6070</v>
      </c>
      <c r="B94" t="s">
        <v>41</v>
      </c>
      <c r="C94" t="s">
        <v>5363</v>
      </c>
      <c r="D94">
        <v>1</v>
      </c>
      <c r="E94" s="8" t="s">
        <v>6653</v>
      </c>
      <c r="F94" t="s">
        <v>6654</v>
      </c>
      <c r="G94" s="8" t="s">
        <v>6655</v>
      </c>
      <c r="H94" t="s">
        <v>6656</v>
      </c>
      <c r="I94">
        <v>1</v>
      </c>
      <c r="J94" t="s">
        <v>3461</v>
      </c>
      <c r="K94" t="s">
        <v>6070</v>
      </c>
      <c r="L94" t="s">
        <v>90</v>
      </c>
      <c r="M94" t="s">
        <v>3461</v>
      </c>
      <c r="N94" t="s">
        <v>3461</v>
      </c>
      <c r="O94" t="s">
        <v>6073</v>
      </c>
    </row>
    <row r="95" spans="1:15" x14ac:dyDescent="0.25">
      <c r="A95" t="s">
        <v>6074</v>
      </c>
      <c r="B95" t="s">
        <v>3505</v>
      </c>
      <c r="C95" t="s">
        <v>5725</v>
      </c>
      <c r="D95">
        <v>2</v>
      </c>
      <c r="E95" s="8" t="s">
        <v>6075</v>
      </c>
      <c r="F95" t="s">
        <v>6657</v>
      </c>
      <c r="G95" s="8" t="s">
        <v>6076</v>
      </c>
      <c r="H95" t="s">
        <v>6658</v>
      </c>
      <c r="I95">
        <v>2</v>
      </c>
      <c r="J95" t="s">
        <v>6659</v>
      </c>
      <c r="K95" t="s">
        <v>6074</v>
      </c>
      <c r="L95" t="s">
        <v>90</v>
      </c>
      <c r="M95" t="s">
        <v>3461</v>
      </c>
      <c r="N95" t="s">
        <v>4264</v>
      </c>
      <c r="O95" t="s">
        <v>5862</v>
      </c>
    </row>
    <row r="96" spans="1:15" x14ac:dyDescent="0.25">
      <c r="A96" t="s">
        <v>6077</v>
      </c>
      <c r="B96" t="s">
        <v>3505</v>
      </c>
      <c r="C96" t="s">
        <v>5363</v>
      </c>
      <c r="D96">
        <v>2</v>
      </c>
      <c r="E96" s="8" t="s">
        <v>6078</v>
      </c>
      <c r="F96" t="s">
        <v>6660</v>
      </c>
      <c r="G96" s="8" t="s">
        <v>6079</v>
      </c>
      <c r="H96" t="s">
        <v>6661</v>
      </c>
      <c r="I96">
        <v>2</v>
      </c>
      <c r="J96" t="s">
        <v>3461</v>
      </c>
      <c r="K96" t="s">
        <v>6077</v>
      </c>
      <c r="L96" t="s">
        <v>90</v>
      </c>
      <c r="M96" t="s">
        <v>5499</v>
      </c>
      <c r="N96" t="s">
        <v>3461</v>
      </c>
      <c r="O96" t="s">
        <v>6002</v>
      </c>
    </row>
    <row r="97" spans="1:15" x14ac:dyDescent="0.25">
      <c r="A97" t="s">
        <v>6080</v>
      </c>
      <c r="B97" t="s">
        <v>3517</v>
      </c>
      <c r="C97" t="s">
        <v>5363</v>
      </c>
      <c r="D97">
        <v>1</v>
      </c>
      <c r="E97" s="8" t="s">
        <v>6081</v>
      </c>
      <c r="F97" t="s">
        <v>6662</v>
      </c>
      <c r="G97" s="8" t="s">
        <v>6081</v>
      </c>
      <c r="H97" t="s">
        <v>6662</v>
      </c>
      <c r="I97">
        <v>0</v>
      </c>
      <c r="J97" t="s">
        <v>3461</v>
      </c>
      <c r="K97" t="s">
        <v>6082</v>
      </c>
      <c r="L97" t="s">
        <v>90</v>
      </c>
      <c r="M97" t="s">
        <v>5499</v>
      </c>
      <c r="N97" t="s">
        <v>3461</v>
      </c>
      <c r="O97" t="s">
        <v>6083</v>
      </c>
    </row>
    <row r="98" spans="1:15" x14ac:dyDescent="0.25">
      <c r="A98" t="s">
        <v>6088</v>
      </c>
      <c r="B98" t="s">
        <v>3517</v>
      </c>
      <c r="C98" t="s">
        <v>4600</v>
      </c>
      <c r="D98">
        <v>1</v>
      </c>
      <c r="E98" t="s">
        <v>6089</v>
      </c>
      <c r="F98" t="s">
        <v>6663</v>
      </c>
      <c r="G98" t="s">
        <v>6090</v>
      </c>
      <c r="H98" t="s">
        <v>6664</v>
      </c>
      <c r="I98">
        <v>1</v>
      </c>
      <c r="J98" t="s">
        <v>3461</v>
      </c>
      <c r="K98" t="s">
        <v>6088</v>
      </c>
      <c r="L98" t="s">
        <v>90</v>
      </c>
      <c r="M98" t="s">
        <v>3461</v>
      </c>
      <c r="N98" t="s">
        <v>3461</v>
      </c>
      <c r="O98" t="s">
        <v>5930</v>
      </c>
    </row>
    <row r="99" spans="1:15" x14ac:dyDescent="0.25">
      <c r="A99" t="s">
        <v>4256</v>
      </c>
      <c r="B99" t="s">
        <v>4300</v>
      </c>
      <c r="C99" t="s">
        <v>4248</v>
      </c>
      <c r="D99" t="s">
        <v>4000</v>
      </c>
      <c r="E99" t="s">
        <v>6091</v>
      </c>
      <c r="F99" t="s">
        <v>4218</v>
      </c>
      <c r="G99" t="s">
        <v>3461</v>
      </c>
      <c r="H99" t="s">
        <v>3461</v>
      </c>
      <c r="I99" t="s">
        <v>3461</v>
      </c>
      <c r="J99" t="s">
        <v>3461</v>
      </c>
      <c r="K99" t="s">
        <v>4256</v>
      </c>
      <c r="L99" t="s">
        <v>90</v>
      </c>
      <c r="M99" t="s">
        <v>5466</v>
      </c>
      <c r="N99" t="s">
        <v>3461</v>
      </c>
      <c r="O99" t="s">
        <v>5873</v>
      </c>
    </row>
    <row r="100" spans="1:15" x14ac:dyDescent="0.25">
      <c r="A100" t="s">
        <v>6092</v>
      </c>
      <c r="B100" t="s">
        <v>3517</v>
      </c>
      <c r="C100" t="s">
        <v>5363</v>
      </c>
      <c r="D100">
        <v>0</v>
      </c>
      <c r="E100" s="8" t="s">
        <v>6093</v>
      </c>
      <c r="F100" t="s">
        <v>6665</v>
      </c>
      <c r="G100" s="8" t="s">
        <v>6094</v>
      </c>
      <c r="H100" t="s">
        <v>6666</v>
      </c>
      <c r="I100">
        <v>0</v>
      </c>
      <c r="J100" t="s">
        <v>3461</v>
      </c>
      <c r="K100" t="s">
        <v>6092</v>
      </c>
      <c r="L100" t="s">
        <v>90</v>
      </c>
      <c r="M100" t="s">
        <v>5499</v>
      </c>
      <c r="N100" t="s">
        <v>3461</v>
      </c>
      <c r="O100" t="s">
        <v>5940</v>
      </c>
    </row>
    <row r="101" spans="1:15" x14ac:dyDescent="0.25">
      <c r="A101" t="s">
        <v>6095</v>
      </c>
      <c r="B101" t="s">
        <v>41</v>
      </c>
      <c r="C101" t="s">
        <v>5725</v>
      </c>
      <c r="D101">
        <v>1</v>
      </c>
      <c r="E101" t="s">
        <v>6096</v>
      </c>
      <c r="F101" t="s">
        <v>6667</v>
      </c>
      <c r="G101" t="s">
        <v>6097</v>
      </c>
      <c r="H101" t="s">
        <v>6668</v>
      </c>
      <c r="I101">
        <v>1</v>
      </c>
      <c r="J101" t="s">
        <v>6669</v>
      </c>
      <c r="K101" t="s">
        <v>6098</v>
      </c>
      <c r="L101" t="s">
        <v>90</v>
      </c>
      <c r="M101" t="s">
        <v>3461</v>
      </c>
      <c r="N101" t="s">
        <v>3461</v>
      </c>
      <c r="O101" t="s">
        <v>6099</v>
      </c>
    </row>
    <row r="102" spans="1:15" x14ac:dyDescent="0.25">
      <c r="A102" t="s">
        <v>6110</v>
      </c>
      <c r="B102" t="s">
        <v>41</v>
      </c>
      <c r="C102" t="s">
        <v>5363</v>
      </c>
      <c r="D102">
        <v>1</v>
      </c>
      <c r="E102" t="s">
        <v>6111</v>
      </c>
      <c r="F102" t="s">
        <v>6670</v>
      </c>
      <c r="G102" t="s">
        <v>6112</v>
      </c>
      <c r="H102" t="s">
        <v>6671</v>
      </c>
      <c r="I102">
        <v>1</v>
      </c>
      <c r="J102" t="s">
        <v>3461</v>
      </c>
      <c r="K102" t="s">
        <v>6110</v>
      </c>
      <c r="L102" t="s">
        <v>90</v>
      </c>
      <c r="M102" t="s">
        <v>3461</v>
      </c>
      <c r="N102" t="s">
        <v>3461</v>
      </c>
      <c r="O102" t="s">
        <v>5822</v>
      </c>
    </row>
    <row r="103" spans="1:15" x14ac:dyDescent="0.25">
      <c r="A103" t="s">
        <v>6113</v>
      </c>
      <c r="B103" t="s">
        <v>3517</v>
      </c>
      <c r="C103" t="s">
        <v>5363</v>
      </c>
      <c r="D103">
        <v>2</v>
      </c>
      <c r="E103" s="8" t="s">
        <v>6672</v>
      </c>
      <c r="F103" t="s">
        <v>6673</v>
      </c>
      <c r="G103" s="8" t="s">
        <v>6674</v>
      </c>
      <c r="H103" t="s">
        <v>6675</v>
      </c>
      <c r="I103">
        <v>2</v>
      </c>
      <c r="J103" t="s">
        <v>3461</v>
      </c>
      <c r="K103" t="s">
        <v>6116</v>
      </c>
      <c r="L103" t="s">
        <v>90</v>
      </c>
      <c r="M103" t="s">
        <v>3461</v>
      </c>
      <c r="N103" t="s">
        <v>3461</v>
      </c>
      <c r="O103" t="s">
        <v>6117</v>
      </c>
    </row>
    <row r="104" spans="1:15" x14ac:dyDescent="0.25">
      <c r="A104" t="s">
        <v>4696</v>
      </c>
      <c r="B104" t="s">
        <v>41</v>
      </c>
      <c r="C104" t="s">
        <v>5725</v>
      </c>
      <c r="D104">
        <v>2</v>
      </c>
      <c r="E104" t="s">
        <v>6676</v>
      </c>
      <c r="F104" t="s">
        <v>6677</v>
      </c>
      <c r="G104" t="s">
        <v>6676</v>
      </c>
      <c r="H104" t="s">
        <v>6677</v>
      </c>
      <c r="I104">
        <v>2</v>
      </c>
      <c r="J104" t="s">
        <v>6678</v>
      </c>
      <c r="K104" t="s">
        <v>4699</v>
      </c>
      <c r="L104" t="s">
        <v>1046</v>
      </c>
      <c r="M104" t="s">
        <v>3461</v>
      </c>
      <c r="N104" t="s">
        <v>4264</v>
      </c>
      <c r="O104" t="s">
        <v>5758</v>
      </c>
    </row>
    <row r="105" spans="1:15" x14ac:dyDescent="0.25">
      <c r="A105" t="s">
        <v>6119</v>
      </c>
      <c r="B105" t="s">
        <v>3505</v>
      </c>
      <c r="C105" t="s">
        <v>5363</v>
      </c>
      <c r="D105">
        <v>1</v>
      </c>
      <c r="E105" s="8" t="s">
        <v>6120</v>
      </c>
      <c r="F105" t="s">
        <v>6679</v>
      </c>
      <c r="G105" s="8" t="s">
        <v>6121</v>
      </c>
      <c r="H105" t="s">
        <v>6680</v>
      </c>
      <c r="I105">
        <v>1</v>
      </c>
      <c r="J105" t="s">
        <v>3461</v>
      </c>
      <c r="K105" t="s">
        <v>6122</v>
      </c>
      <c r="L105" t="s">
        <v>90</v>
      </c>
      <c r="M105" t="s">
        <v>3461</v>
      </c>
      <c r="N105" t="s">
        <v>3461</v>
      </c>
      <c r="O105" t="s">
        <v>5930</v>
      </c>
    </row>
    <row r="106" spans="1:15" x14ac:dyDescent="0.25">
      <c r="A106" t="s">
        <v>4705</v>
      </c>
      <c r="B106" t="s">
        <v>41</v>
      </c>
      <c r="C106" t="s">
        <v>5725</v>
      </c>
      <c r="D106">
        <v>1</v>
      </c>
      <c r="E106" s="8" t="s">
        <v>6681</v>
      </c>
      <c r="F106" t="s">
        <v>6682</v>
      </c>
      <c r="G106" s="8" t="s">
        <v>6681</v>
      </c>
      <c r="H106" t="s">
        <v>6682</v>
      </c>
      <c r="I106">
        <v>1</v>
      </c>
      <c r="J106" t="s">
        <v>6420</v>
      </c>
      <c r="K106" t="s">
        <v>4708</v>
      </c>
      <c r="L106" t="s">
        <v>1046</v>
      </c>
      <c r="M106" t="s">
        <v>3461</v>
      </c>
      <c r="N106" t="s">
        <v>3461</v>
      </c>
      <c r="O106" t="s">
        <v>5758</v>
      </c>
    </row>
    <row r="107" spans="1:15" x14ac:dyDescent="0.25">
      <c r="A107" t="s">
        <v>6131</v>
      </c>
      <c r="B107" t="s">
        <v>3505</v>
      </c>
      <c r="C107" t="s">
        <v>5363</v>
      </c>
      <c r="D107" t="s">
        <v>5949</v>
      </c>
      <c r="E107" s="8" t="s">
        <v>6683</v>
      </c>
      <c r="F107" t="s">
        <v>6684</v>
      </c>
      <c r="G107" s="8" t="s">
        <v>6685</v>
      </c>
      <c r="H107" t="s">
        <v>6686</v>
      </c>
      <c r="I107" t="s">
        <v>5949</v>
      </c>
      <c r="J107" t="s">
        <v>3461</v>
      </c>
      <c r="K107" t="s">
        <v>6131</v>
      </c>
      <c r="L107" t="s">
        <v>90</v>
      </c>
      <c r="M107" t="s">
        <v>5499</v>
      </c>
      <c r="N107" t="s">
        <v>3461</v>
      </c>
      <c r="O107" t="s">
        <v>6134</v>
      </c>
    </row>
    <row r="108" spans="1:15" x14ac:dyDescent="0.25">
      <c r="A108" t="s">
        <v>6135</v>
      </c>
      <c r="B108" t="s">
        <v>3517</v>
      </c>
      <c r="C108" t="s">
        <v>5725</v>
      </c>
      <c r="D108">
        <v>0</v>
      </c>
      <c r="E108" s="8" t="s">
        <v>6136</v>
      </c>
      <c r="F108" t="s">
        <v>6687</v>
      </c>
      <c r="G108" s="8" t="s">
        <v>6137</v>
      </c>
      <c r="H108" t="s">
        <v>6688</v>
      </c>
      <c r="I108">
        <v>0</v>
      </c>
      <c r="J108" t="s">
        <v>6395</v>
      </c>
      <c r="K108" t="s">
        <v>6138</v>
      </c>
      <c r="L108" t="s">
        <v>90</v>
      </c>
      <c r="M108" t="s">
        <v>3461</v>
      </c>
      <c r="N108" t="s">
        <v>3461</v>
      </c>
      <c r="O108" t="s">
        <v>5780</v>
      </c>
    </row>
    <row r="109" spans="1:15" x14ac:dyDescent="0.25">
      <c r="A109" t="s">
        <v>5700</v>
      </c>
      <c r="B109" t="s">
        <v>3549</v>
      </c>
      <c r="C109" t="s">
        <v>5725</v>
      </c>
      <c r="D109">
        <v>0</v>
      </c>
      <c r="E109" t="s">
        <v>6148</v>
      </c>
      <c r="F109" t="s">
        <v>6689</v>
      </c>
      <c r="G109" t="s">
        <v>6149</v>
      </c>
      <c r="H109" t="s">
        <v>6690</v>
      </c>
      <c r="I109">
        <v>0</v>
      </c>
      <c r="J109" t="s">
        <v>6403</v>
      </c>
      <c r="K109" t="s">
        <v>5700</v>
      </c>
      <c r="L109" t="s">
        <v>90</v>
      </c>
      <c r="M109" t="s">
        <v>3461</v>
      </c>
      <c r="N109" t="s">
        <v>3461</v>
      </c>
      <c r="O109" t="s">
        <v>5756</v>
      </c>
    </row>
    <row r="110" spans="1:15" x14ac:dyDescent="0.25">
      <c r="A110" t="s">
        <v>6150</v>
      </c>
      <c r="B110" t="s">
        <v>3505</v>
      </c>
      <c r="C110" t="s">
        <v>5363</v>
      </c>
      <c r="D110">
        <v>3</v>
      </c>
      <c r="E110" s="8" t="s">
        <v>6691</v>
      </c>
      <c r="F110" t="s">
        <v>6692</v>
      </c>
      <c r="G110" s="8" t="s">
        <v>6691</v>
      </c>
      <c r="H110" t="s">
        <v>6692</v>
      </c>
      <c r="I110">
        <v>2</v>
      </c>
      <c r="J110" t="s">
        <v>3461</v>
      </c>
      <c r="K110" t="s">
        <v>6150</v>
      </c>
      <c r="L110" t="s">
        <v>90</v>
      </c>
      <c r="M110" t="s">
        <v>3461</v>
      </c>
      <c r="N110" t="s">
        <v>3461</v>
      </c>
      <c r="O110" t="s">
        <v>5995</v>
      </c>
    </row>
    <row r="111" spans="1:15" x14ac:dyDescent="0.25">
      <c r="A111" t="s">
        <v>6156</v>
      </c>
      <c r="B111" t="s">
        <v>3505</v>
      </c>
      <c r="C111" t="s">
        <v>5363</v>
      </c>
      <c r="D111">
        <v>0</v>
      </c>
      <c r="E111" s="8" t="s">
        <v>6157</v>
      </c>
      <c r="F111" t="s">
        <v>6693</v>
      </c>
      <c r="G111" s="8" t="s">
        <v>6158</v>
      </c>
      <c r="H111" t="s">
        <v>6694</v>
      </c>
      <c r="I111">
        <v>0</v>
      </c>
      <c r="J111" t="s">
        <v>3461</v>
      </c>
      <c r="K111" t="s">
        <v>6156</v>
      </c>
      <c r="L111" t="s">
        <v>90</v>
      </c>
      <c r="M111" t="s">
        <v>5499</v>
      </c>
      <c r="N111" t="s">
        <v>3461</v>
      </c>
      <c r="O111" t="s">
        <v>6159</v>
      </c>
    </row>
    <row r="112" spans="1:15" x14ac:dyDescent="0.25">
      <c r="A112" t="s">
        <v>6160</v>
      </c>
      <c r="B112" t="s">
        <v>41</v>
      </c>
      <c r="C112" t="s">
        <v>5363</v>
      </c>
      <c r="D112">
        <v>1</v>
      </c>
      <c r="E112" s="8" t="s">
        <v>6161</v>
      </c>
      <c r="F112" t="s">
        <v>6695</v>
      </c>
      <c r="G112" s="8" t="s">
        <v>6162</v>
      </c>
      <c r="H112" t="s">
        <v>6696</v>
      </c>
      <c r="I112">
        <v>1</v>
      </c>
      <c r="J112" t="s">
        <v>3461</v>
      </c>
      <c r="K112" t="s">
        <v>6160</v>
      </c>
      <c r="L112" t="s">
        <v>90</v>
      </c>
      <c r="M112" t="s">
        <v>3461</v>
      </c>
      <c r="N112" t="s">
        <v>3461</v>
      </c>
      <c r="O112" t="s">
        <v>5826</v>
      </c>
    </row>
    <row r="113" spans="1:15" x14ac:dyDescent="0.25">
      <c r="A113" t="s">
        <v>6163</v>
      </c>
      <c r="B113" t="s">
        <v>4300</v>
      </c>
      <c r="C113" t="s">
        <v>4248</v>
      </c>
      <c r="D113" t="s">
        <v>4000</v>
      </c>
      <c r="E113" t="s">
        <v>6164</v>
      </c>
      <c r="F113" t="s">
        <v>6697</v>
      </c>
      <c r="G113" t="s">
        <v>3461</v>
      </c>
      <c r="H113" t="s">
        <v>3461</v>
      </c>
      <c r="I113" t="s">
        <v>3461</v>
      </c>
      <c r="J113" t="s">
        <v>3461</v>
      </c>
      <c r="K113" t="s">
        <v>6163</v>
      </c>
      <c r="L113" t="s">
        <v>90</v>
      </c>
      <c r="M113" t="s">
        <v>5466</v>
      </c>
      <c r="N113" t="s">
        <v>3461</v>
      </c>
      <c r="O113" t="s">
        <v>5873</v>
      </c>
    </row>
    <row r="114" spans="1:15" x14ac:dyDescent="0.25">
      <c r="A114" t="s">
        <v>6165</v>
      </c>
      <c r="B114" t="s">
        <v>41</v>
      </c>
      <c r="C114" t="s">
        <v>5725</v>
      </c>
      <c r="D114">
        <v>2</v>
      </c>
      <c r="E114" s="8" t="s">
        <v>6166</v>
      </c>
      <c r="F114" t="s">
        <v>6698</v>
      </c>
      <c r="G114" s="8" t="s">
        <v>6167</v>
      </c>
      <c r="H114" t="s">
        <v>6699</v>
      </c>
      <c r="I114">
        <v>2</v>
      </c>
      <c r="J114" t="s">
        <v>6412</v>
      </c>
      <c r="K114" t="s">
        <v>6168</v>
      </c>
      <c r="L114" t="s">
        <v>90</v>
      </c>
      <c r="M114" t="s">
        <v>3461</v>
      </c>
      <c r="N114" t="s">
        <v>3461</v>
      </c>
      <c r="O114" t="s">
        <v>6062</v>
      </c>
    </row>
    <row r="115" spans="1:15" x14ac:dyDescent="0.25">
      <c r="A115" t="s">
        <v>6169</v>
      </c>
      <c r="B115" t="s">
        <v>3505</v>
      </c>
      <c r="C115" t="s">
        <v>5363</v>
      </c>
      <c r="D115">
        <v>1</v>
      </c>
      <c r="E115" s="8" t="s">
        <v>6170</v>
      </c>
      <c r="F115" t="s">
        <v>6700</v>
      </c>
      <c r="G115" s="8" t="s">
        <v>6170</v>
      </c>
      <c r="H115" t="s">
        <v>6700</v>
      </c>
      <c r="I115">
        <v>0</v>
      </c>
      <c r="J115" t="s">
        <v>3461</v>
      </c>
      <c r="K115" t="s">
        <v>6171</v>
      </c>
      <c r="L115" t="s">
        <v>90</v>
      </c>
      <c r="M115" t="s">
        <v>3461</v>
      </c>
      <c r="N115" t="s">
        <v>3461</v>
      </c>
      <c r="O115" t="s">
        <v>5780</v>
      </c>
    </row>
    <row r="116" spans="1:15" x14ac:dyDescent="0.25">
      <c r="A116" t="s">
        <v>6172</v>
      </c>
      <c r="B116" t="s">
        <v>41</v>
      </c>
      <c r="C116" t="s">
        <v>5363</v>
      </c>
      <c r="D116">
        <v>1</v>
      </c>
      <c r="E116" s="8" t="s">
        <v>6701</v>
      </c>
      <c r="F116" t="s">
        <v>6702</v>
      </c>
      <c r="G116" s="8" t="s">
        <v>6703</v>
      </c>
      <c r="H116" t="s">
        <v>6704</v>
      </c>
      <c r="I116">
        <v>1</v>
      </c>
      <c r="J116" t="s">
        <v>3461</v>
      </c>
      <c r="K116" t="s">
        <v>6175</v>
      </c>
      <c r="L116" t="s">
        <v>90</v>
      </c>
      <c r="M116" t="s">
        <v>5499</v>
      </c>
      <c r="N116" t="s">
        <v>3461</v>
      </c>
      <c r="O116" t="s">
        <v>6134</v>
      </c>
    </row>
    <row r="117" spans="1:15" x14ac:dyDescent="0.25">
      <c r="A117" t="s">
        <v>6176</v>
      </c>
      <c r="B117" t="s">
        <v>41</v>
      </c>
      <c r="C117" t="s">
        <v>5725</v>
      </c>
      <c r="D117">
        <v>1</v>
      </c>
      <c r="E117" s="8" t="s">
        <v>6177</v>
      </c>
      <c r="F117" t="s">
        <v>6705</v>
      </c>
      <c r="G117" s="8" t="s">
        <v>6178</v>
      </c>
      <c r="H117" t="s">
        <v>6706</v>
      </c>
      <c r="I117">
        <v>1</v>
      </c>
      <c r="J117" t="s">
        <v>6403</v>
      </c>
      <c r="K117" t="s">
        <v>6179</v>
      </c>
      <c r="L117" t="s">
        <v>90</v>
      </c>
      <c r="M117" t="s">
        <v>3461</v>
      </c>
      <c r="N117" t="s">
        <v>5257</v>
      </c>
      <c r="O117" t="s">
        <v>5756</v>
      </c>
    </row>
    <row r="118" spans="1:15" x14ac:dyDescent="0.25">
      <c r="A118" t="s">
        <v>6180</v>
      </c>
      <c r="B118" t="s">
        <v>41</v>
      </c>
      <c r="C118" t="s">
        <v>5725</v>
      </c>
      <c r="D118">
        <v>1</v>
      </c>
      <c r="E118" t="s">
        <v>6181</v>
      </c>
      <c r="F118" t="s">
        <v>6707</v>
      </c>
      <c r="G118" t="s">
        <v>6182</v>
      </c>
      <c r="H118" t="s">
        <v>6708</v>
      </c>
      <c r="I118">
        <v>1</v>
      </c>
      <c r="J118" t="s">
        <v>6412</v>
      </c>
      <c r="K118" t="s">
        <v>6183</v>
      </c>
      <c r="L118" t="s">
        <v>90</v>
      </c>
      <c r="M118" t="s">
        <v>3461</v>
      </c>
      <c r="N118" t="s">
        <v>3461</v>
      </c>
      <c r="O118" t="s">
        <v>6709</v>
      </c>
    </row>
    <row r="119" spans="1:15" x14ac:dyDescent="0.25">
      <c r="A119" t="s">
        <v>6185</v>
      </c>
      <c r="B119" t="s">
        <v>3517</v>
      </c>
      <c r="C119" t="s">
        <v>5363</v>
      </c>
      <c r="D119">
        <v>1</v>
      </c>
      <c r="E119" s="8" t="s">
        <v>6186</v>
      </c>
      <c r="F119" t="s">
        <v>6710</v>
      </c>
      <c r="G119" s="8" t="s">
        <v>6187</v>
      </c>
      <c r="H119" t="s">
        <v>6711</v>
      </c>
      <c r="I119">
        <v>1</v>
      </c>
      <c r="J119" t="s">
        <v>3461</v>
      </c>
      <c r="K119" t="s">
        <v>6188</v>
      </c>
      <c r="L119" t="s">
        <v>90</v>
      </c>
      <c r="M119" t="s">
        <v>3461</v>
      </c>
      <c r="N119" t="s">
        <v>3461</v>
      </c>
      <c r="O119" t="s">
        <v>6189</v>
      </c>
    </row>
    <row r="120" spans="1:15" x14ac:dyDescent="0.25">
      <c r="A120" t="s">
        <v>6190</v>
      </c>
      <c r="B120" t="s">
        <v>41</v>
      </c>
      <c r="C120" t="s">
        <v>5725</v>
      </c>
      <c r="D120">
        <v>2</v>
      </c>
      <c r="E120" s="8" t="s">
        <v>6712</v>
      </c>
      <c r="F120" t="s">
        <v>6713</v>
      </c>
      <c r="G120" s="8" t="s">
        <v>6714</v>
      </c>
      <c r="H120" t="s">
        <v>6715</v>
      </c>
      <c r="I120" t="s">
        <v>3461</v>
      </c>
      <c r="J120" t="s">
        <v>6395</v>
      </c>
      <c r="K120" t="s">
        <v>6190</v>
      </c>
      <c r="L120" t="s">
        <v>90</v>
      </c>
      <c r="M120" t="s">
        <v>3461</v>
      </c>
      <c r="N120" t="s">
        <v>3461</v>
      </c>
      <c r="O120" t="s">
        <v>6208</v>
      </c>
    </row>
    <row r="121" spans="1:15" x14ac:dyDescent="0.25">
      <c r="A121" t="s">
        <v>6193</v>
      </c>
      <c r="B121" t="s">
        <v>41</v>
      </c>
      <c r="C121" t="s">
        <v>5363</v>
      </c>
      <c r="D121">
        <v>0</v>
      </c>
      <c r="E121" s="8" t="s">
        <v>6194</v>
      </c>
      <c r="F121" t="s">
        <v>6716</v>
      </c>
      <c r="G121" s="8" t="s">
        <v>6195</v>
      </c>
      <c r="H121" t="s">
        <v>6717</v>
      </c>
      <c r="I121" t="s">
        <v>3461</v>
      </c>
      <c r="J121" t="s">
        <v>3461</v>
      </c>
      <c r="K121" t="s">
        <v>6193</v>
      </c>
      <c r="L121" t="s">
        <v>90</v>
      </c>
      <c r="M121" t="s">
        <v>3461</v>
      </c>
      <c r="N121" t="s">
        <v>3461</v>
      </c>
      <c r="O121" t="s">
        <v>5711</v>
      </c>
    </row>
    <row r="122" spans="1:15" x14ac:dyDescent="0.25">
      <c r="A122" t="s">
        <v>5122</v>
      </c>
      <c r="B122" t="s">
        <v>4300</v>
      </c>
      <c r="C122" t="s">
        <v>4248</v>
      </c>
      <c r="D122">
        <v>1</v>
      </c>
      <c r="E122" s="3" t="s">
        <v>6718</v>
      </c>
      <c r="F122" t="s">
        <v>6719</v>
      </c>
      <c r="G122" t="s">
        <v>3461</v>
      </c>
      <c r="H122" t="s">
        <v>3461</v>
      </c>
      <c r="I122" t="s">
        <v>3461</v>
      </c>
      <c r="J122" t="s">
        <v>3461</v>
      </c>
      <c r="K122" t="s">
        <v>5122</v>
      </c>
      <c r="L122" t="s">
        <v>90</v>
      </c>
      <c r="M122" t="s">
        <v>6410</v>
      </c>
      <c r="N122" t="s">
        <v>3461</v>
      </c>
      <c r="O122" t="s">
        <v>5873</v>
      </c>
    </row>
    <row r="123" spans="1:15" x14ac:dyDescent="0.25">
      <c r="A123" t="s">
        <v>6196</v>
      </c>
      <c r="B123" t="s">
        <v>3517</v>
      </c>
      <c r="C123" t="s">
        <v>5725</v>
      </c>
      <c r="D123">
        <v>1</v>
      </c>
      <c r="E123" s="8" t="s">
        <v>6197</v>
      </c>
      <c r="F123" t="s">
        <v>6720</v>
      </c>
      <c r="G123" s="8" t="s">
        <v>6198</v>
      </c>
      <c r="H123" t="s">
        <v>6721</v>
      </c>
      <c r="I123">
        <v>1</v>
      </c>
      <c r="J123" t="s">
        <v>6403</v>
      </c>
      <c r="K123" t="s">
        <v>6196</v>
      </c>
      <c r="L123" t="s">
        <v>90</v>
      </c>
      <c r="M123" t="s">
        <v>5499</v>
      </c>
      <c r="N123" t="s">
        <v>3461</v>
      </c>
      <c r="O123" t="s">
        <v>6007</v>
      </c>
    </row>
    <row r="124" spans="1:15" x14ac:dyDescent="0.25">
      <c r="A124" t="s">
        <v>5147</v>
      </c>
      <c r="B124" t="s">
        <v>4300</v>
      </c>
      <c r="C124" t="s">
        <v>4248</v>
      </c>
      <c r="D124" t="s">
        <v>4000</v>
      </c>
      <c r="E124" t="s">
        <v>6199</v>
      </c>
      <c r="F124" t="s">
        <v>6722</v>
      </c>
      <c r="G124" t="s">
        <v>3461</v>
      </c>
      <c r="H124" t="s">
        <v>3461</v>
      </c>
      <c r="I124" t="s">
        <v>3461</v>
      </c>
      <c r="J124" t="s">
        <v>3461</v>
      </c>
      <c r="K124" t="s">
        <v>6200</v>
      </c>
      <c r="L124" t="s">
        <v>1649</v>
      </c>
      <c r="M124" t="s">
        <v>5466</v>
      </c>
      <c r="N124" t="s">
        <v>3461</v>
      </c>
    </row>
    <row r="125" spans="1:15" x14ac:dyDescent="0.25">
      <c r="A125" t="s">
        <v>6204</v>
      </c>
      <c r="B125" t="s">
        <v>41</v>
      </c>
      <c r="C125" t="s">
        <v>5725</v>
      </c>
      <c r="D125">
        <v>1</v>
      </c>
      <c r="E125" s="8" t="s">
        <v>6205</v>
      </c>
      <c r="F125" t="s">
        <v>6723</v>
      </c>
      <c r="G125" s="8" t="s">
        <v>6206</v>
      </c>
      <c r="H125" t="s">
        <v>6724</v>
      </c>
      <c r="I125">
        <v>1</v>
      </c>
      <c r="J125" t="s">
        <v>6487</v>
      </c>
      <c r="K125" t="s">
        <v>6207</v>
      </c>
      <c r="L125" t="s">
        <v>90</v>
      </c>
      <c r="M125" t="s">
        <v>3461</v>
      </c>
      <c r="N125" t="s">
        <v>3461</v>
      </c>
      <c r="O125" t="s">
        <v>6208</v>
      </c>
    </row>
    <row r="126" spans="1:15" x14ac:dyDescent="0.25">
      <c r="A126" t="s">
        <v>5365</v>
      </c>
      <c r="B126" t="s">
        <v>3517</v>
      </c>
      <c r="C126" t="s">
        <v>5363</v>
      </c>
      <c r="D126">
        <v>0</v>
      </c>
      <c r="E126" s="8" t="s">
        <v>6209</v>
      </c>
      <c r="F126" t="s">
        <v>6725</v>
      </c>
      <c r="G126" s="8" t="s">
        <v>6210</v>
      </c>
      <c r="H126" t="s">
        <v>6726</v>
      </c>
      <c r="I126">
        <v>0</v>
      </c>
      <c r="J126" t="s">
        <v>3461</v>
      </c>
      <c r="K126" t="s">
        <v>5365</v>
      </c>
      <c r="L126" t="s">
        <v>90</v>
      </c>
      <c r="M126" t="s">
        <v>3461</v>
      </c>
      <c r="N126" t="s">
        <v>3461</v>
      </c>
      <c r="O126" t="s">
        <v>5742</v>
      </c>
    </row>
    <row r="127" spans="1:15" x14ac:dyDescent="0.25">
      <c r="A127" t="s">
        <v>6211</v>
      </c>
      <c r="B127" t="s">
        <v>3517</v>
      </c>
      <c r="C127" t="s">
        <v>5725</v>
      </c>
      <c r="D127">
        <v>1</v>
      </c>
      <c r="E127" s="8" t="s">
        <v>6212</v>
      </c>
      <c r="F127" t="s">
        <v>6727</v>
      </c>
      <c r="G127" s="8" t="s">
        <v>6213</v>
      </c>
      <c r="H127" t="s">
        <v>6728</v>
      </c>
      <c r="I127">
        <v>1</v>
      </c>
      <c r="J127" t="s">
        <v>6487</v>
      </c>
      <c r="K127" t="s">
        <v>6211</v>
      </c>
      <c r="L127" t="s">
        <v>90</v>
      </c>
      <c r="M127" t="s">
        <v>3461</v>
      </c>
      <c r="N127" t="s">
        <v>3461</v>
      </c>
      <c r="O127" t="s">
        <v>6062</v>
      </c>
    </row>
    <row r="128" spans="1:15" x14ac:dyDescent="0.25">
      <c r="A128" t="s">
        <v>6215</v>
      </c>
      <c r="B128" t="s">
        <v>3505</v>
      </c>
      <c r="C128" t="s">
        <v>5725</v>
      </c>
      <c r="D128">
        <v>2</v>
      </c>
      <c r="E128" t="s">
        <v>6216</v>
      </c>
      <c r="F128" t="s">
        <v>6729</v>
      </c>
      <c r="G128" t="s">
        <v>6217</v>
      </c>
      <c r="H128" t="s">
        <v>6730</v>
      </c>
      <c r="I128">
        <v>2</v>
      </c>
      <c r="J128" t="s">
        <v>6492</v>
      </c>
      <c r="K128" t="s">
        <v>6215</v>
      </c>
      <c r="L128" t="s">
        <v>90</v>
      </c>
      <c r="M128" t="s">
        <v>6731</v>
      </c>
      <c r="N128" t="s">
        <v>3461</v>
      </c>
      <c r="O128" t="s">
        <v>5999</v>
      </c>
    </row>
    <row r="129" spans="1:15" x14ac:dyDescent="0.25">
      <c r="A129" t="s">
        <v>6218</v>
      </c>
      <c r="B129" t="s">
        <v>3517</v>
      </c>
      <c r="C129" t="s">
        <v>5725</v>
      </c>
      <c r="D129">
        <v>0</v>
      </c>
      <c r="E129" s="8" t="s">
        <v>6732</v>
      </c>
      <c r="F129" t="s">
        <v>6733</v>
      </c>
      <c r="G129" s="8" t="s">
        <v>6734</v>
      </c>
      <c r="H129" t="s">
        <v>6735</v>
      </c>
      <c r="I129">
        <v>0</v>
      </c>
      <c r="J129" t="s">
        <v>6453</v>
      </c>
      <c r="K129" t="s">
        <v>6221</v>
      </c>
      <c r="L129" t="s">
        <v>90</v>
      </c>
      <c r="M129" t="s">
        <v>3461</v>
      </c>
      <c r="N129" t="s">
        <v>3461</v>
      </c>
      <c r="O129" t="s">
        <v>6222</v>
      </c>
    </row>
    <row r="130" spans="1:15" x14ac:dyDescent="0.25">
      <c r="A130" t="s">
        <v>6226</v>
      </c>
      <c r="B130" t="s">
        <v>3517</v>
      </c>
      <c r="C130" t="s">
        <v>5363</v>
      </c>
      <c r="D130" t="s">
        <v>4000</v>
      </c>
      <c r="E130" t="s">
        <v>6227</v>
      </c>
      <c r="F130" t="s">
        <v>6736</v>
      </c>
      <c r="G130" t="s">
        <v>6228</v>
      </c>
      <c r="H130" t="s">
        <v>6737</v>
      </c>
      <c r="I130" t="s">
        <v>4000</v>
      </c>
      <c r="J130" t="s">
        <v>3461</v>
      </c>
      <c r="K130" t="s">
        <v>6226</v>
      </c>
      <c r="L130" t="s">
        <v>90</v>
      </c>
      <c r="M130" t="s">
        <v>5464</v>
      </c>
      <c r="N130" t="s">
        <v>3461</v>
      </c>
      <c r="O130" t="s">
        <v>5840</v>
      </c>
    </row>
    <row r="131" spans="1:15" x14ac:dyDescent="0.25">
      <c r="A131" t="s">
        <v>5112</v>
      </c>
      <c r="B131" t="s">
        <v>4300</v>
      </c>
      <c r="C131" t="s">
        <v>4248</v>
      </c>
      <c r="D131" t="s">
        <v>4000</v>
      </c>
      <c r="E131" t="s">
        <v>6229</v>
      </c>
      <c r="F131" t="s">
        <v>6738</v>
      </c>
      <c r="G131" t="s">
        <v>3461</v>
      </c>
      <c r="H131" t="s">
        <v>3461</v>
      </c>
      <c r="I131" t="s">
        <v>3461</v>
      </c>
      <c r="J131" t="s">
        <v>3461</v>
      </c>
      <c r="K131" t="s">
        <v>5112</v>
      </c>
      <c r="L131" t="s">
        <v>90</v>
      </c>
      <c r="M131" t="s">
        <v>5466</v>
      </c>
      <c r="N131" t="s">
        <v>3461</v>
      </c>
      <c r="O131" t="s">
        <v>5873</v>
      </c>
    </row>
    <row r="132" spans="1:15" x14ac:dyDescent="0.25">
      <c r="A132" t="s">
        <v>6230</v>
      </c>
      <c r="B132" t="s">
        <v>3517</v>
      </c>
      <c r="C132" t="s">
        <v>5725</v>
      </c>
      <c r="D132">
        <v>2</v>
      </c>
      <c r="E132" s="8" t="s">
        <v>6231</v>
      </c>
      <c r="F132" t="s">
        <v>6739</v>
      </c>
      <c r="G132" s="8" t="s">
        <v>6232</v>
      </c>
      <c r="H132" t="s">
        <v>6740</v>
      </c>
      <c r="I132" t="s">
        <v>3461</v>
      </c>
      <c r="J132" t="s">
        <v>6403</v>
      </c>
      <c r="K132" t="s">
        <v>6233</v>
      </c>
      <c r="L132" t="s">
        <v>90</v>
      </c>
      <c r="M132" t="s">
        <v>3461</v>
      </c>
      <c r="N132" t="s">
        <v>3461</v>
      </c>
      <c r="O132" t="s">
        <v>5780</v>
      </c>
    </row>
    <row r="133" spans="1:15" x14ac:dyDescent="0.25">
      <c r="A133" t="s">
        <v>4819</v>
      </c>
      <c r="B133" t="s">
        <v>3517</v>
      </c>
      <c r="C133" t="s">
        <v>5363</v>
      </c>
      <c r="D133">
        <v>1</v>
      </c>
      <c r="E133" s="8" t="s">
        <v>6241</v>
      </c>
      <c r="F133" t="s">
        <v>6741</v>
      </c>
      <c r="G133" s="8" t="s">
        <v>6241</v>
      </c>
      <c r="H133" t="s">
        <v>6741</v>
      </c>
      <c r="I133">
        <v>1</v>
      </c>
      <c r="J133" t="s">
        <v>6487</v>
      </c>
      <c r="K133" t="s">
        <v>4822</v>
      </c>
      <c r="L133" t="s">
        <v>1649</v>
      </c>
      <c r="M133" t="s">
        <v>3461</v>
      </c>
      <c r="N133" t="s">
        <v>3461</v>
      </c>
      <c r="O133" t="s">
        <v>6742</v>
      </c>
    </row>
    <row r="134" spans="1:15" x14ac:dyDescent="0.25">
      <c r="A134" t="s">
        <v>6242</v>
      </c>
      <c r="B134" t="s">
        <v>3517</v>
      </c>
      <c r="C134" t="s">
        <v>5725</v>
      </c>
      <c r="D134">
        <v>2</v>
      </c>
      <c r="E134" s="8" t="s">
        <v>6743</v>
      </c>
      <c r="F134" t="s">
        <v>6744</v>
      </c>
      <c r="G134" s="8" t="s">
        <v>3461</v>
      </c>
      <c r="H134" t="s">
        <v>3461</v>
      </c>
      <c r="I134" t="s">
        <v>3461</v>
      </c>
      <c r="J134" t="s">
        <v>6412</v>
      </c>
      <c r="K134" t="s">
        <v>6244</v>
      </c>
      <c r="L134" t="s">
        <v>90</v>
      </c>
      <c r="M134" t="s">
        <v>3461</v>
      </c>
      <c r="N134" t="s">
        <v>4264</v>
      </c>
      <c r="O134" t="s">
        <v>6062</v>
      </c>
    </row>
    <row r="135" spans="1:15" x14ac:dyDescent="0.25">
      <c r="A135" t="s">
        <v>6245</v>
      </c>
      <c r="B135" t="s">
        <v>3517</v>
      </c>
      <c r="C135" t="s">
        <v>5363</v>
      </c>
      <c r="D135">
        <v>1</v>
      </c>
      <c r="E135" s="8" t="s">
        <v>6246</v>
      </c>
      <c r="F135" t="s">
        <v>6745</v>
      </c>
      <c r="G135" s="8" t="s">
        <v>6247</v>
      </c>
      <c r="H135" t="s">
        <v>6746</v>
      </c>
      <c r="I135">
        <v>1</v>
      </c>
      <c r="J135" t="s">
        <v>3461</v>
      </c>
      <c r="K135" t="s">
        <v>6248</v>
      </c>
      <c r="L135" t="s">
        <v>90</v>
      </c>
      <c r="M135" t="s">
        <v>3461</v>
      </c>
      <c r="N135" t="s">
        <v>3461</v>
      </c>
      <c r="O135" t="s">
        <v>6002</v>
      </c>
    </row>
    <row r="136" spans="1:15" x14ac:dyDescent="0.25">
      <c r="A136" t="s">
        <v>6249</v>
      </c>
      <c r="B136" t="s">
        <v>3517</v>
      </c>
      <c r="C136" t="s">
        <v>5363</v>
      </c>
      <c r="D136">
        <v>1</v>
      </c>
      <c r="E136" s="8" t="s">
        <v>6250</v>
      </c>
      <c r="F136" t="s">
        <v>6747</v>
      </c>
      <c r="G136" s="8" t="s">
        <v>6250</v>
      </c>
      <c r="H136" t="s">
        <v>6747</v>
      </c>
      <c r="I136">
        <v>0</v>
      </c>
      <c r="J136" t="s">
        <v>3461</v>
      </c>
      <c r="K136" t="s">
        <v>6251</v>
      </c>
      <c r="L136" t="s">
        <v>90</v>
      </c>
      <c r="M136" t="s">
        <v>5499</v>
      </c>
      <c r="N136" t="s">
        <v>3461</v>
      </c>
      <c r="O136" t="s">
        <v>6252</v>
      </c>
    </row>
    <row r="137" spans="1:15" x14ac:dyDescent="0.25">
      <c r="A137" t="s">
        <v>6253</v>
      </c>
      <c r="B137" t="s">
        <v>3505</v>
      </c>
      <c r="C137" t="s">
        <v>5363</v>
      </c>
      <c r="D137">
        <v>0</v>
      </c>
      <c r="E137" s="8" t="s">
        <v>6748</v>
      </c>
      <c r="F137" t="s">
        <v>6749</v>
      </c>
      <c r="G137" s="8" t="s">
        <v>6750</v>
      </c>
      <c r="H137" t="s">
        <v>6751</v>
      </c>
      <c r="I137">
        <v>0</v>
      </c>
      <c r="J137" t="s">
        <v>3461</v>
      </c>
      <c r="K137" t="s">
        <v>6253</v>
      </c>
      <c r="L137" t="s">
        <v>90</v>
      </c>
      <c r="M137" t="s">
        <v>5499</v>
      </c>
      <c r="N137" t="s">
        <v>3461</v>
      </c>
      <c r="O137" t="s">
        <v>6256</v>
      </c>
    </row>
    <row r="138" spans="1:15" x14ac:dyDescent="0.25">
      <c r="A138" t="s">
        <v>6257</v>
      </c>
      <c r="B138" t="s">
        <v>3517</v>
      </c>
      <c r="C138" t="s">
        <v>5363</v>
      </c>
      <c r="D138">
        <v>1</v>
      </c>
      <c r="E138" s="8" t="s">
        <v>6258</v>
      </c>
      <c r="F138" t="s">
        <v>6752</v>
      </c>
      <c r="G138" s="8" t="s">
        <v>6259</v>
      </c>
      <c r="H138" t="s">
        <v>6753</v>
      </c>
      <c r="I138">
        <v>1</v>
      </c>
      <c r="J138" t="s">
        <v>3461</v>
      </c>
      <c r="K138" t="s">
        <v>6257</v>
      </c>
      <c r="L138" t="s">
        <v>90</v>
      </c>
      <c r="M138" t="s">
        <v>3461</v>
      </c>
      <c r="N138" t="s">
        <v>3461</v>
      </c>
      <c r="O138" t="s">
        <v>6002</v>
      </c>
    </row>
    <row r="139" spans="1:15" x14ac:dyDescent="0.25">
      <c r="A139" t="s">
        <v>6260</v>
      </c>
      <c r="B139" t="s">
        <v>3517</v>
      </c>
      <c r="C139" t="s">
        <v>5363</v>
      </c>
      <c r="D139">
        <v>1</v>
      </c>
      <c r="E139" s="8" t="s">
        <v>6754</v>
      </c>
      <c r="F139" t="s">
        <v>6755</v>
      </c>
      <c r="G139" s="8" t="s">
        <v>6754</v>
      </c>
      <c r="H139" t="s">
        <v>6755</v>
      </c>
      <c r="I139">
        <v>0</v>
      </c>
      <c r="J139" t="s">
        <v>3461</v>
      </c>
      <c r="K139" t="s">
        <v>6260</v>
      </c>
      <c r="L139" t="s">
        <v>90</v>
      </c>
      <c r="M139" t="s">
        <v>3461</v>
      </c>
      <c r="N139" t="s">
        <v>3461</v>
      </c>
      <c r="O139" t="s">
        <v>5826</v>
      </c>
    </row>
    <row r="140" spans="1:15" x14ac:dyDescent="0.25">
      <c r="A140" t="s">
        <v>6262</v>
      </c>
      <c r="B140" t="s">
        <v>3517</v>
      </c>
      <c r="C140" t="s">
        <v>5725</v>
      </c>
      <c r="D140">
        <v>2</v>
      </c>
      <c r="E140" s="8" t="s">
        <v>6756</v>
      </c>
      <c r="F140" t="s">
        <v>6757</v>
      </c>
      <c r="G140" s="8" t="s">
        <v>6758</v>
      </c>
      <c r="H140" t="s">
        <v>6759</v>
      </c>
      <c r="I140">
        <v>2</v>
      </c>
      <c r="J140" t="s">
        <v>6487</v>
      </c>
      <c r="K140" t="s">
        <v>6265</v>
      </c>
      <c r="L140" t="s">
        <v>90</v>
      </c>
      <c r="M140" t="s">
        <v>3461</v>
      </c>
      <c r="N140" t="s">
        <v>3461</v>
      </c>
      <c r="O140" t="s">
        <v>6007</v>
      </c>
    </row>
    <row r="141" spans="1:15" x14ac:dyDescent="0.25">
      <c r="A141" t="s">
        <v>6266</v>
      </c>
      <c r="B141" t="s">
        <v>4300</v>
      </c>
      <c r="C141" t="s">
        <v>4248</v>
      </c>
      <c r="D141" t="s">
        <v>4000</v>
      </c>
      <c r="E141" t="s">
        <v>6267</v>
      </c>
      <c r="F141" t="s">
        <v>6760</v>
      </c>
      <c r="G141" t="s">
        <v>3461</v>
      </c>
      <c r="H141" t="s">
        <v>3461</v>
      </c>
      <c r="I141" t="s">
        <v>3461</v>
      </c>
      <c r="J141" t="s">
        <v>3461</v>
      </c>
      <c r="K141" t="s">
        <v>6266</v>
      </c>
      <c r="L141" t="s">
        <v>90</v>
      </c>
      <c r="M141" t="s">
        <v>5466</v>
      </c>
      <c r="N141" t="s">
        <v>3461</v>
      </c>
      <c r="O141" t="s">
        <v>5873</v>
      </c>
    </row>
    <row r="142" spans="1:15" x14ac:dyDescent="0.25">
      <c r="A142" t="s">
        <v>6268</v>
      </c>
      <c r="B142" t="s">
        <v>4300</v>
      </c>
      <c r="C142" t="s">
        <v>5725</v>
      </c>
      <c r="D142">
        <v>0</v>
      </c>
      <c r="E142" t="s">
        <v>6269</v>
      </c>
      <c r="F142" t="s">
        <v>6761</v>
      </c>
      <c r="G142" t="s">
        <v>6270</v>
      </c>
      <c r="H142" t="s">
        <v>6419</v>
      </c>
      <c r="I142">
        <v>0</v>
      </c>
      <c r="J142" t="s">
        <v>6420</v>
      </c>
      <c r="K142" t="s">
        <v>6268</v>
      </c>
      <c r="L142" t="s">
        <v>90</v>
      </c>
      <c r="M142" t="s">
        <v>5499</v>
      </c>
      <c r="N142" t="s">
        <v>3461</v>
      </c>
      <c r="O142" t="s">
        <v>6762</v>
      </c>
    </row>
    <row r="143" spans="1:15" x14ac:dyDescent="0.25">
      <c r="A143" t="s">
        <v>6271</v>
      </c>
      <c r="B143" t="s">
        <v>3517</v>
      </c>
      <c r="C143" t="s">
        <v>5363</v>
      </c>
      <c r="D143">
        <v>2</v>
      </c>
      <c r="E143" s="8" t="s">
        <v>6272</v>
      </c>
      <c r="F143" t="s">
        <v>6763</v>
      </c>
      <c r="G143" s="8" t="s">
        <v>6273</v>
      </c>
      <c r="H143" t="s">
        <v>6764</v>
      </c>
      <c r="I143">
        <v>2</v>
      </c>
      <c r="J143" t="s">
        <v>3461</v>
      </c>
      <c r="K143" t="s">
        <v>6271</v>
      </c>
      <c r="L143" t="s">
        <v>90</v>
      </c>
      <c r="M143" t="s">
        <v>5499</v>
      </c>
      <c r="N143" t="s">
        <v>3461</v>
      </c>
      <c r="O143" t="s">
        <v>5940</v>
      </c>
    </row>
    <row r="144" spans="1:15" x14ac:dyDescent="0.25">
      <c r="A144" t="s">
        <v>6274</v>
      </c>
      <c r="B144" t="s">
        <v>41</v>
      </c>
      <c r="C144" t="s">
        <v>5363</v>
      </c>
      <c r="D144">
        <v>1</v>
      </c>
      <c r="E144" t="s">
        <v>6275</v>
      </c>
      <c r="F144" t="s">
        <v>6765</v>
      </c>
      <c r="G144" t="s">
        <v>6276</v>
      </c>
      <c r="H144" t="s">
        <v>6766</v>
      </c>
      <c r="I144">
        <v>1</v>
      </c>
      <c r="J144" t="s">
        <v>3461</v>
      </c>
      <c r="K144" t="s">
        <v>6277</v>
      </c>
      <c r="L144" t="s">
        <v>90</v>
      </c>
      <c r="M144" t="s">
        <v>3461</v>
      </c>
      <c r="N144" t="s">
        <v>3461</v>
      </c>
      <c r="O144" t="s">
        <v>6278</v>
      </c>
    </row>
    <row r="145" spans="1:15" x14ac:dyDescent="0.25">
      <c r="A145" t="s">
        <v>6279</v>
      </c>
      <c r="B145" t="s">
        <v>3517</v>
      </c>
      <c r="C145" t="s">
        <v>5725</v>
      </c>
      <c r="D145" t="s">
        <v>5949</v>
      </c>
      <c r="E145" t="s">
        <v>6280</v>
      </c>
      <c r="F145" t="s">
        <v>6767</v>
      </c>
      <c r="G145" t="s">
        <v>6281</v>
      </c>
      <c r="H145" t="s">
        <v>6768</v>
      </c>
      <c r="I145" t="s">
        <v>5949</v>
      </c>
      <c r="J145" t="s">
        <v>6769</v>
      </c>
      <c r="K145" t="s">
        <v>6279</v>
      </c>
      <c r="L145" t="s">
        <v>90</v>
      </c>
      <c r="M145" t="s">
        <v>3461</v>
      </c>
      <c r="N145" t="s">
        <v>3461</v>
      </c>
      <c r="O145" t="s">
        <v>5780</v>
      </c>
    </row>
    <row r="146" spans="1:15" x14ac:dyDescent="0.25">
      <c r="A146" t="s">
        <v>6282</v>
      </c>
      <c r="B146" t="s">
        <v>41</v>
      </c>
      <c r="C146" t="s">
        <v>5725</v>
      </c>
      <c r="D146">
        <v>0</v>
      </c>
      <c r="E146" s="8" t="s">
        <v>6283</v>
      </c>
      <c r="F146" t="s">
        <v>6770</v>
      </c>
      <c r="G146" s="8" t="s">
        <v>6284</v>
      </c>
      <c r="H146" t="s">
        <v>6771</v>
      </c>
      <c r="I146">
        <v>0</v>
      </c>
      <c r="J146" t="s">
        <v>6487</v>
      </c>
      <c r="K146" t="s">
        <v>6282</v>
      </c>
      <c r="L146" t="s">
        <v>90</v>
      </c>
      <c r="M146" t="s">
        <v>3461</v>
      </c>
      <c r="N146" t="s">
        <v>3461</v>
      </c>
      <c r="O146" t="s">
        <v>5780</v>
      </c>
    </row>
    <row r="147" spans="1:15" x14ac:dyDescent="0.25">
      <c r="A147" t="s">
        <v>6285</v>
      </c>
      <c r="B147" t="s">
        <v>4300</v>
      </c>
      <c r="C147" t="s">
        <v>3659</v>
      </c>
      <c r="D147">
        <v>1</v>
      </c>
      <c r="E147" t="s">
        <v>6286</v>
      </c>
      <c r="F147" t="s">
        <v>6772</v>
      </c>
      <c r="G147" t="s">
        <v>3461</v>
      </c>
      <c r="H147" t="s">
        <v>3461</v>
      </c>
      <c r="I147" t="s">
        <v>3461</v>
      </c>
      <c r="J147" t="s">
        <v>3461</v>
      </c>
      <c r="K147" t="s">
        <v>6285</v>
      </c>
      <c r="L147" t="s">
        <v>90</v>
      </c>
      <c r="M147" t="s">
        <v>5499</v>
      </c>
      <c r="N147" t="s">
        <v>3461</v>
      </c>
      <c r="O147" t="s">
        <v>6462</v>
      </c>
    </row>
    <row r="148" spans="1:15" x14ac:dyDescent="0.25">
      <c r="A148" t="s">
        <v>6287</v>
      </c>
      <c r="B148" t="s">
        <v>41</v>
      </c>
      <c r="C148" t="s">
        <v>5725</v>
      </c>
      <c r="D148">
        <v>2</v>
      </c>
      <c r="E148" s="8" t="s">
        <v>6288</v>
      </c>
      <c r="F148" t="s">
        <v>6773</v>
      </c>
      <c r="G148" s="8" t="s">
        <v>6289</v>
      </c>
      <c r="H148" t="s">
        <v>6774</v>
      </c>
      <c r="I148">
        <v>2</v>
      </c>
      <c r="J148" t="s">
        <v>6403</v>
      </c>
      <c r="K148" t="s">
        <v>6290</v>
      </c>
      <c r="L148" t="s">
        <v>90</v>
      </c>
      <c r="M148" t="s">
        <v>3461</v>
      </c>
      <c r="N148" t="s">
        <v>3461</v>
      </c>
      <c r="O148" t="s">
        <v>6028</v>
      </c>
    </row>
    <row r="149" spans="1:15" x14ac:dyDescent="0.25">
      <c r="A149" t="s">
        <v>6292</v>
      </c>
      <c r="B149" t="s">
        <v>3517</v>
      </c>
      <c r="C149" t="s">
        <v>5363</v>
      </c>
      <c r="D149">
        <v>1</v>
      </c>
      <c r="E149" s="8" t="s">
        <v>6293</v>
      </c>
      <c r="F149" t="s">
        <v>6775</v>
      </c>
      <c r="G149" s="8" t="s">
        <v>6294</v>
      </c>
      <c r="H149" t="s">
        <v>6776</v>
      </c>
      <c r="I149">
        <v>1</v>
      </c>
      <c r="J149" t="s">
        <v>3461</v>
      </c>
      <c r="K149" t="s">
        <v>6295</v>
      </c>
      <c r="L149" t="s">
        <v>90</v>
      </c>
      <c r="M149" t="s">
        <v>3461</v>
      </c>
      <c r="N149" t="s">
        <v>3461</v>
      </c>
      <c r="O149" t="s">
        <v>5930</v>
      </c>
    </row>
    <row r="150" spans="1:15" x14ac:dyDescent="0.25">
      <c r="A150" t="s">
        <v>6296</v>
      </c>
      <c r="B150" t="s">
        <v>3505</v>
      </c>
      <c r="C150" t="s">
        <v>5363</v>
      </c>
      <c r="D150">
        <v>1</v>
      </c>
      <c r="E150" t="s">
        <v>6297</v>
      </c>
      <c r="F150" t="s">
        <v>6777</v>
      </c>
      <c r="G150" t="s">
        <v>6298</v>
      </c>
      <c r="H150" t="s">
        <v>6778</v>
      </c>
      <c r="I150">
        <v>1</v>
      </c>
      <c r="J150" t="s">
        <v>3461</v>
      </c>
      <c r="K150" t="s">
        <v>6299</v>
      </c>
      <c r="L150" t="s">
        <v>90</v>
      </c>
      <c r="M150" t="s">
        <v>3461</v>
      </c>
      <c r="N150" t="s">
        <v>3461</v>
      </c>
      <c r="O150" t="s">
        <v>6300</v>
      </c>
    </row>
    <row r="151" spans="1:15" x14ac:dyDescent="0.25">
      <c r="A151" t="s">
        <v>6779</v>
      </c>
      <c r="B151" t="s">
        <v>3549</v>
      </c>
      <c r="C151" t="s">
        <v>5725</v>
      </c>
      <c r="D151">
        <v>1</v>
      </c>
      <c r="E151" t="s">
        <v>6283</v>
      </c>
      <c r="F151" t="s">
        <v>6770</v>
      </c>
      <c r="G151" t="s">
        <v>6284</v>
      </c>
      <c r="H151" t="s">
        <v>6771</v>
      </c>
      <c r="I151">
        <v>1</v>
      </c>
      <c r="J151" t="s">
        <v>6412</v>
      </c>
      <c r="K151" t="s">
        <v>6780</v>
      </c>
      <c r="L151" t="s">
        <v>90</v>
      </c>
      <c r="M151" t="s">
        <v>3461</v>
      </c>
      <c r="N151" t="s">
        <v>3461</v>
      </c>
      <c r="O151" t="s">
        <v>6781</v>
      </c>
    </row>
    <row r="152" spans="1:15" x14ac:dyDescent="0.25">
      <c r="A152" t="s">
        <v>6782</v>
      </c>
      <c r="B152" t="s">
        <v>3549</v>
      </c>
      <c r="C152" t="s">
        <v>5725</v>
      </c>
      <c r="D152">
        <v>1</v>
      </c>
      <c r="E152" t="s">
        <v>6283</v>
      </c>
      <c r="F152" t="s">
        <v>6770</v>
      </c>
      <c r="G152" t="s">
        <v>6284</v>
      </c>
      <c r="H152" t="s">
        <v>6771</v>
      </c>
      <c r="I152">
        <v>1</v>
      </c>
      <c r="J152" t="s">
        <v>6395</v>
      </c>
      <c r="K152" t="s">
        <v>6783</v>
      </c>
      <c r="L152" t="s">
        <v>90</v>
      </c>
      <c r="M152" t="s">
        <v>3461</v>
      </c>
      <c r="N152" t="s">
        <v>3461</v>
      </c>
      <c r="O152" t="s">
        <v>6781</v>
      </c>
    </row>
    <row r="153" spans="1:15" x14ac:dyDescent="0.25">
      <c r="A153" t="s">
        <v>6302</v>
      </c>
      <c r="B153" t="s">
        <v>41</v>
      </c>
      <c r="C153" t="s">
        <v>5725</v>
      </c>
      <c r="D153">
        <v>1</v>
      </c>
      <c r="E153" t="s">
        <v>6303</v>
      </c>
      <c r="F153" t="s">
        <v>6784</v>
      </c>
      <c r="G153" t="s">
        <v>6304</v>
      </c>
      <c r="H153" t="s">
        <v>6785</v>
      </c>
      <c r="I153">
        <v>1</v>
      </c>
      <c r="J153" t="s">
        <v>6395</v>
      </c>
      <c r="K153" t="s">
        <v>6305</v>
      </c>
      <c r="L153" t="s">
        <v>90</v>
      </c>
      <c r="M153" t="s">
        <v>3461</v>
      </c>
      <c r="N153" t="s">
        <v>3461</v>
      </c>
      <c r="O153" t="s">
        <v>5756</v>
      </c>
    </row>
    <row r="154" spans="1:15" x14ac:dyDescent="0.25">
      <c r="A154" t="s">
        <v>5699</v>
      </c>
      <c r="B154" t="s">
        <v>3549</v>
      </c>
      <c r="C154" t="s">
        <v>5363</v>
      </c>
      <c r="D154">
        <v>1</v>
      </c>
      <c r="E154" t="s">
        <v>6306</v>
      </c>
      <c r="F154" t="s">
        <v>6786</v>
      </c>
      <c r="G154" t="s">
        <v>6307</v>
      </c>
      <c r="H154" t="s">
        <v>6787</v>
      </c>
      <c r="I154">
        <v>1</v>
      </c>
      <c r="J154" t="s">
        <v>3461</v>
      </c>
      <c r="K154" t="s">
        <v>5699</v>
      </c>
      <c r="L154" t="s">
        <v>90</v>
      </c>
      <c r="M154" t="s">
        <v>3461</v>
      </c>
      <c r="N154" t="s">
        <v>3461</v>
      </c>
      <c r="O154" t="s">
        <v>6308</v>
      </c>
    </row>
    <row r="155" spans="1:15" x14ac:dyDescent="0.25">
      <c r="A155" t="s">
        <v>6309</v>
      </c>
      <c r="B155" t="s">
        <v>41</v>
      </c>
      <c r="C155" t="s">
        <v>5725</v>
      </c>
      <c r="D155">
        <v>1</v>
      </c>
      <c r="E155" t="s">
        <v>6310</v>
      </c>
      <c r="F155" t="s">
        <v>6788</v>
      </c>
      <c r="G155" t="s">
        <v>6311</v>
      </c>
      <c r="H155" t="s">
        <v>6789</v>
      </c>
      <c r="I155">
        <v>1</v>
      </c>
      <c r="J155" t="s">
        <v>6790</v>
      </c>
      <c r="K155" t="s">
        <v>6312</v>
      </c>
      <c r="L155" t="s">
        <v>90</v>
      </c>
      <c r="M155" t="s">
        <v>3461</v>
      </c>
      <c r="N155" t="s">
        <v>3461</v>
      </c>
      <c r="O155" t="s">
        <v>6313</v>
      </c>
    </row>
    <row r="156" spans="1:15" x14ac:dyDescent="0.25">
      <c r="A156" t="s">
        <v>6314</v>
      </c>
      <c r="B156" t="s">
        <v>41</v>
      </c>
      <c r="C156" t="s">
        <v>5725</v>
      </c>
      <c r="D156">
        <v>1</v>
      </c>
      <c r="E156" t="s">
        <v>6791</v>
      </c>
      <c r="F156" t="s">
        <v>6792</v>
      </c>
      <c r="G156" t="s">
        <v>6793</v>
      </c>
      <c r="H156" t="s">
        <v>6794</v>
      </c>
      <c r="I156">
        <v>1</v>
      </c>
      <c r="J156" t="s">
        <v>6795</v>
      </c>
      <c r="K156" t="s">
        <v>6317</v>
      </c>
      <c r="L156" t="s">
        <v>90</v>
      </c>
      <c r="M156" t="s">
        <v>5434</v>
      </c>
      <c r="N156" t="s">
        <v>3461</v>
      </c>
      <c r="O156" t="s">
        <v>5738</v>
      </c>
    </row>
    <row r="157" spans="1:15" x14ac:dyDescent="0.25">
      <c r="A157" t="s">
        <v>6318</v>
      </c>
      <c r="B157" t="s">
        <v>3517</v>
      </c>
      <c r="C157" t="s">
        <v>5363</v>
      </c>
      <c r="D157" t="s">
        <v>4000</v>
      </c>
      <c r="E157" t="s">
        <v>6319</v>
      </c>
      <c r="F157" t="s">
        <v>6796</v>
      </c>
      <c r="G157" t="s">
        <v>6320</v>
      </c>
      <c r="H157" t="s">
        <v>6747</v>
      </c>
      <c r="I157" t="s">
        <v>4000</v>
      </c>
      <c r="J157" t="s">
        <v>3461</v>
      </c>
      <c r="K157" t="s">
        <v>6318</v>
      </c>
      <c r="L157" t="s">
        <v>90</v>
      </c>
      <c r="M157" t="s">
        <v>5464</v>
      </c>
      <c r="N157" t="s">
        <v>3461</v>
      </c>
      <c r="O157" t="s">
        <v>6321</v>
      </c>
    </row>
    <row r="158" spans="1:15" x14ac:dyDescent="0.25">
      <c r="A158" t="s">
        <v>6326</v>
      </c>
      <c r="B158" t="s">
        <v>3517</v>
      </c>
      <c r="C158" t="s">
        <v>5363</v>
      </c>
      <c r="D158">
        <v>1</v>
      </c>
      <c r="E158" t="s">
        <v>6327</v>
      </c>
      <c r="F158" t="s">
        <v>6797</v>
      </c>
      <c r="G158" t="s">
        <v>6327</v>
      </c>
      <c r="H158" t="s">
        <v>6797</v>
      </c>
      <c r="I158">
        <v>0</v>
      </c>
      <c r="J158" t="s">
        <v>6453</v>
      </c>
      <c r="K158" t="s">
        <v>6326</v>
      </c>
      <c r="L158" t="s">
        <v>90</v>
      </c>
      <c r="M158" t="s">
        <v>5499</v>
      </c>
      <c r="N158" t="s">
        <v>3461</v>
      </c>
      <c r="O158" t="s">
        <v>6134</v>
      </c>
    </row>
    <row r="159" spans="1:15" x14ac:dyDescent="0.25">
      <c r="A159" t="s">
        <v>6328</v>
      </c>
      <c r="B159" t="s">
        <v>41</v>
      </c>
      <c r="C159" t="s">
        <v>5725</v>
      </c>
      <c r="D159">
        <v>1</v>
      </c>
      <c r="E159" t="s">
        <v>6798</v>
      </c>
      <c r="F159" t="s">
        <v>6799</v>
      </c>
      <c r="G159" t="s">
        <v>6800</v>
      </c>
      <c r="H159" t="s">
        <v>6801</v>
      </c>
      <c r="I159">
        <v>1</v>
      </c>
      <c r="J159" t="s">
        <v>6802</v>
      </c>
      <c r="K159" t="s">
        <v>6328</v>
      </c>
      <c r="L159" t="s">
        <v>90</v>
      </c>
      <c r="M159" t="s">
        <v>3461</v>
      </c>
      <c r="N159" t="s">
        <v>5394</v>
      </c>
      <c r="O159" t="s">
        <v>6803</v>
      </c>
    </row>
    <row r="160" spans="1:15" x14ac:dyDescent="0.25">
      <c r="A160" t="s">
        <v>6334</v>
      </c>
      <c r="B160" t="s">
        <v>41</v>
      </c>
      <c r="C160" t="s">
        <v>5363</v>
      </c>
      <c r="D160">
        <v>1</v>
      </c>
      <c r="E160" s="8" t="s">
        <v>6335</v>
      </c>
      <c r="F160" t="s">
        <v>6804</v>
      </c>
      <c r="G160" s="8" t="s">
        <v>6336</v>
      </c>
      <c r="H160" t="s">
        <v>6805</v>
      </c>
      <c r="I160">
        <v>1</v>
      </c>
      <c r="J160" t="s">
        <v>3461</v>
      </c>
      <c r="K160" t="s">
        <v>6337</v>
      </c>
      <c r="L160" t="s">
        <v>90</v>
      </c>
      <c r="M160" t="s">
        <v>3461</v>
      </c>
      <c r="N160" t="s">
        <v>3461</v>
      </c>
      <c r="O160" t="s">
        <v>6002</v>
      </c>
    </row>
    <row r="161" spans="1:15" x14ac:dyDescent="0.25">
      <c r="A161" t="s">
        <v>6338</v>
      </c>
      <c r="B161" t="s">
        <v>41</v>
      </c>
      <c r="C161" t="s">
        <v>5725</v>
      </c>
      <c r="D161">
        <v>1</v>
      </c>
      <c r="E161" t="s">
        <v>6339</v>
      </c>
      <c r="F161" t="s">
        <v>6806</v>
      </c>
      <c r="G161" t="s">
        <v>6340</v>
      </c>
      <c r="H161" t="s">
        <v>6807</v>
      </c>
      <c r="I161">
        <v>1</v>
      </c>
      <c r="J161" t="s">
        <v>6412</v>
      </c>
      <c r="K161" t="s">
        <v>6341</v>
      </c>
      <c r="L161" t="s">
        <v>90</v>
      </c>
      <c r="M161" t="s">
        <v>3461</v>
      </c>
      <c r="N161" t="s">
        <v>3461</v>
      </c>
      <c r="O161" t="s">
        <v>6808</v>
      </c>
    </row>
    <row r="162" spans="1:15" x14ac:dyDescent="0.25">
      <c r="A162" t="s">
        <v>6342</v>
      </c>
      <c r="B162" t="s">
        <v>3505</v>
      </c>
      <c r="C162" t="s">
        <v>5725</v>
      </c>
      <c r="D162">
        <v>1</v>
      </c>
      <c r="E162" s="8" t="s">
        <v>6343</v>
      </c>
      <c r="F162" t="s">
        <v>6809</v>
      </c>
      <c r="G162" s="8" t="s">
        <v>6344</v>
      </c>
      <c r="H162" t="s">
        <v>6810</v>
      </c>
      <c r="I162">
        <v>1</v>
      </c>
      <c r="J162" t="s">
        <v>6518</v>
      </c>
      <c r="K162" t="s">
        <v>6342</v>
      </c>
      <c r="L162" t="s">
        <v>90</v>
      </c>
      <c r="M162" t="s">
        <v>3461</v>
      </c>
      <c r="N162" t="s">
        <v>3461</v>
      </c>
      <c r="O162" t="s">
        <v>5985</v>
      </c>
    </row>
    <row r="163" spans="1:15" x14ac:dyDescent="0.25">
      <c r="A163" t="s">
        <v>6345</v>
      </c>
      <c r="B163" t="s">
        <v>3517</v>
      </c>
      <c r="C163" t="s">
        <v>5725</v>
      </c>
      <c r="D163">
        <v>2</v>
      </c>
      <c r="E163" t="s">
        <v>6346</v>
      </c>
      <c r="F163" t="s">
        <v>6811</v>
      </c>
      <c r="G163" t="s">
        <v>6347</v>
      </c>
      <c r="H163" t="s">
        <v>6812</v>
      </c>
      <c r="I163">
        <v>2</v>
      </c>
      <c r="J163" t="s">
        <v>6395</v>
      </c>
      <c r="K163" t="s">
        <v>6345</v>
      </c>
      <c r="L163" t="s">
        <v>90</v>
      </c>
      <c r="M163" t="s">
        <v>3461</v>
      </c>
      <c r="N163" t="s">
        <v>3461</v>
      </c>
      <c r="O163" t="s">
        <v>5870</v>
      </c>
    </row>
    <row r="164" spans="1:15" x14ac:dyDescent="0.25">
      <c r="A164" t="s">
        <v>6349</v>
      </c>
      <c r="B164" t="s">
        <v>41</v>
      </c>
      <c r="C164" t="s">
        <v>5363</v>
      </c>
      <c r="D164">
        <v>0</v>
      </c>
      <c r="E164" t="s">
        <v>6350</v>
      </c>
      <c r="F164" t="s">
        <v>6813</v>
      </c>
      <c r="G164" t="s">
        <v>6351</v>
      </c>
      <c r="H164" t="s">
        <v>6814</v>
      </c>
      <c r="I164">
        <v>0</v>
      </c>
      <c r="J164" t="s">
        <v>3461</v>
      </c>
      <c r="K164" t="s">
        <v>6349</v>
      </c>
      <c r="L164" t="s">
        <v>90</v>
      </c>
      <c r="M164" t="s">
        <v>5499</v>
      </c>
      <c r="N164" t="s">
        <v>3461</v>
      </c>
      <c r="O164" t="s">
        <v>5766</v>
      </c>
    </row>
    <row r="165" spans="1:15" x14ac:dyDescent="0.25">
      <c r="A165" t="s">
        <v>5294</v>
      </c>
      <c r="B165" t="s">
        <v>3517</v>
      </c>
      <c r="C165" t="s">
        <v>4600</v>
      </c>
      <c r="D165">
        <v>1</v>
      </c>
      <c r="E165" s="8" t="s">
        <v>6815</v>
      </c>
      <c r="F165" t="s">
        <v>6816</v>
      </c>
      <c r="G165" s="8" t="s">
        <v>6817</v>
      </c>
      <c r="H165" t="s">
        <v>6818</v>
      </c>
      <c r="I165">
        <v>1</v>
      </c>
      <c r="J165" t="s">
        <v>3461</v>
      </c>
      <c r="K165" t="s">
        <v>5296</v>
      </c>
      <c r="L165" t="s">
        <v>90</v>
      </c>
      <c r="M165" t="s">
        <v>3461</v>
      </c>
      <c r="N165" t="s">
        <v>3461</v>
      </c>
      <c r="O165" t="s">
        <v>6819</v>
      </c>
    </row>
    <row r="166" spans="1:15" x14ac:dyDescent="0.25">
      <c r="A166" t="s">
        <v>6355</v>
      </c>
      <c r="B166" t="s">
        <v>3517</v>
      </c>
      <c r="C166" t="s">
        <v>5725</v>
      </c>
      <c r="D166" t="s">
        <v>5949</v>
      </c>
      <c r="E166" t="s">
        <v>6820</v>
      </c>
      <c r="F166" t="s">
        <v>6821</v>
      </c>
      <c r="G166" t="s">
        <v>6822</v>
      </c>
      <c r="H166" t="s">
        <v>6823</v>
      </c>
      <c r="I166" t="s">
        <v>5949</v>
      </c>
      <c r="J166" t="s">
        <v>6492</v>
      </c>
      <c r="K166" t="s">
        <v>6355</v>
      </c>
      <c r="L166" t="s">
        <v>90</v>
      </c>
      <c r="M166" t="s">
        <v>3461</v>
      </c>
      <c r="N166" t="s">
        <v>3461</v>
      </c>
      <c r="O166" t="s">
        <v>5862</v>
      </c>
    </row>
    <row r="167" spans="1:15" x14ac:dyDescent="0.25">
      <c r="A167" t="s">
        <v>6358</v>
      </c>
      <c r="B167" t="s">
        <v>3517</v>
      </c>
      <c r="C167" t="s">
        <v>5363</v>
      </c>
      <c r="D167">
        <v>1</v>
      </c>
      <c r="E167" s="8" t="s">
        <v>6359</v>
      </c>
      <c r="F167" t="s">
        <v>6824</v>
      </c>
      <c r="G167" s="8" t="s">
        <v>6359</v>
      </c>
      <c r="H167" t="s">
        <v>6824</v>
      </c>
      <c r="I167">
        <v>0</v>
      </c>
      <c r="J167" t="s">
        <v>3461</v>
      </c>
      <c r="K167" t="s">
        <v>6360</v>
      </c>
      <c r="L167" t="s">
        <v>90</v>
      </c>
      <c r="M167" t="s">
        <v>5499</v>
      </c>
      <c r="N167" t="s">
        <v>3461</v>
      </c>
      <c r="O167" t="s">
        <v>6825</v>
      </c>
    </row>
    <row r="168" spans="1:15" x14ac:dyDescent="0.25">
      <c r="A168" t="s">
        <v>6362</v>
      </c>
      <c r="B168" t="s">
        <v>41</v>
      </c>
      <c r="C168" t="s">
        <v>5725</v>
      </c>
      <c r="D168">
        <v>1</v>
      </c>
      <c r="E168" s="8" t="s">
        <v>6363</v>
      </c>
      <c r="F168" t="s">
        <v>6826</v>
      </c>
      <c r="G168" s="8" t="s">
        <v>6364</v>
      </c>
      <c r="H168" t="s">
        <v>6827</v>
      </c>
      <c r="I168">
        <v>1</v>
      </c>
      <c r="J168" t="s">
        <v>6453</v>
      </c>
      <c r="K168" t="s">
        <v>6365</v>
      </c>
      <c r="L168" t="s">
        <v>90</v>
      </c>
      <c r="M168" t="s">
        <v>3461</v>
      </c>
      <c r="N168" t="s">
        <v>3461</v>
      </c>
      <c r="O168" t="s">
        <v>6222</v>
      </c>
    </row>
    <row r="169" spans="1:15" x14ac:dyDescent="0.25">
      <c r="A169" t="s">
        <v>6366</v>
      </c>
      <c r="B169" t="s">
        <v>4300</v>
      </c>
      <c r="C169" t="s">
        <v>3659</v>
      </c>
      <c r="D169" t="s">
        <v>4000</v>
      </c>
      <c r="E169" s="8" t="s">
        <v>6091</v>
      </c>
      <c r="F169" t="s">
        <v>4218</v>
      </c>
      <c r="G169" s="8" t="s">
        <v>3461</v>
      </c>
      <c r="H169" t="s">
        <v>3461</v>
      </c>
      <c r="I169" t="s">
        <v>3461</v>
      </c>
      <c r="J169" t="s">
        <v>3461</v>
      </c>
      <c r="K169" t="s">
        <v>6366</v>
      </c>
      <c r="L169" t="s">
        <v>90</v>
      </c>
      <c r="M169" t="s">
        <v>3461</v>
      </c>
      <c r="N169" t="s">
        <v>3461</v>
      </c>
      <c r="O169" t="s">
        <v>6462</v>
      </c>
    </row>
    <row r="170" spans="1:15" x14ac:dyDescent="0.25">
      <c r="A170" t="s">
        <v>6367</v>
      </c>
      <c r="B170" t="s">
        <v>3505</v>
      </c>
      <c r="C170" t="s">
        <v>4600</v>
      </c>
      <c r="D170">
        <v>3</v>
      </c>
      <c r="E170" s="8" t="s">
        <v>6828</v>
      </c>
      <c r="F170" t="s">
        <v>6829</v>
      </c>
      <c r="G170" s="8" t="s">
        <v>6830</v>
      </c>
      <c r="H170" t="s">
        <v>6831</v>
      </c>
      <c r="I170" t="s">
        <v>3461</v>
      </c>
      <c r="J170" t="s">
        <v>3461</v>
      </c>
      <c r="K170" t="s">
        <v>6370</v>
      </c>
      <c r="L170" t="s">
        <v>90</v>
      </c>
      <c r="M170" t="s">
        <v>3461</v>
      </c>
      <c r="N170" t="s">
        <v>3461</v>
      </c>
      <c r="O170" t="s">
        <v>5720</v>
      </c>
    </row>
    <row r="171" spans="1:15" x14ac:dyDescent="0.25">
      <c r="A171" t="s">
        <v>6371</v>
      </c>
      <c r="B171" t="s">
        <v>4300</v>
      </c>
      <c r="C171" t="s">
        <v>4248</v>
      </c>
      <c r="D171" t="s">
        <v>4000</v>
      </c>
      <c r="E171" t="s">
        <v>6372</v>
      </c>
      <c r="F171" t="s">
        <v>4218</v>
      </c>
      <c r="G171" t="s">
        <v>3461</v>
      </c>
      <c r="H171" t="s">
        <v>3461</v>
      </c>
      <c r="I171" t="s">
        <v>3461</v>
      </c>
      <c r="J171" t="s">
        <v>3461</v>
      </c>
      <c r="K171" t="s">
        <v>6371</v>
      </c>
      <c r="L171" t="s">
        <v>90</v>
      </c>
      <c r="M171" t="s">
        <v>5466</v>
      </c>
      <c r="N171" t="s">
        <v>3461</v>
      </c>
      <c r="O171" t="s">
        <v>5873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6832</v>
      </c>
      <c r="C1" t="s">
        <v>6833</v>
      </c>
      <c r="D1" t="s">
        <v>3456</v>
      </c>
      <c r="E1" t="s">
        <v>3499</v>
      </c>
      <c r="F1" t="s">
        <v>6834</v>
      </c>
    </row>
    <row r="2" spans="1:6" ht="15" customHeight="1" x14ac:dyDescent="0.25">
      <c r="A2" t="s">
        <v>6835</v>
      </c>
      <c r="B2" t="s">
        <v>4696</v>
      </c>
      <c r="C2" t="s">
        <v>6836</v>
      </c>
      <c r="D2" t="s">
        <v>6837</v>
      </c>
      <c r="E2" t="s">
        <v>6838</v>
      </c>
      <c r="F2" t="s">
        <v>6839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3456</v>
      </c>
      <c r="C1" t="s">
        <v>6840</v>
      </c>
      <c r="D1" t="s">
        <v>171</v>
      </c>
      <c r="E1" t="s">
        <v>4452</v>
      </c>
      <c r="F1" t="s">
        <v>6</v>
      </c>
    </row>
    <row r="2" spans="1:6" ht="15" customHeight="1" x14ac:dyDescent="0.25">
      <c r="A2" t="s">
        <v>6841</v>
      </c>
      <c r="B2" t="s">
        <v>6842</v>
      </c>
      <c r="C2" t="s">
        <v>5176</v>
      </c>
      <c r="D2" t="s">
        <v>3659</v>
      </c>
      <c r="E2" t="s">
        <v>3461</v>
      </c>
      <c r="F2" t="s">
        <v>3461</v>
      </c>
    </row>
    <row r="3" spans="1:6" ht="15" customHeight="1" x14ac:dyDescent="0.25">
      <c r="A3" t="s">
        <v>6843</v>
      </c>
      <c r="B3" t="s">
        <v>6844</v>
      </c>
      <c r="C3" t="s">
        <v>6845</v>
      </c>
      <c r="D3" t="s">
        <v>3659</v>
      </c>
      <c r="E3" t="s">
        <v>3461</v>
      </c>
      <c r="F3" t="s">
        <v>3461</v>
      </c>
    </row>
    <row r="4" spans="1:6" ht="15" customHeight="1" x14ac:dyDescent="0.25">
      <c r="A4" t="s">
        <v>6846</v>
      </c>
      <c r="B4" t="s">
        <v>6847</v>
      </c>
      <c r="C4" t="s">
        <v>5179</v>
      </c>
      <c r="D4" t="s">
        <v>6846</v>
      </c>
      <c r="E4" t="s">
        <v>3985</v>
      </c>
      <c r="F4" t="s">
        <v>3505</v>
      </c>
    </row>
    <row r="5" spans="1:6" ht="15" customHeight="1" x14ac:dyDescent="0.25">
      <c r="A5" t="s">
        <v>6848</v>
      </c>
      <c r="B5" t="s">
        <v>6849</v>
      </c>
      <c r="C5" t="s">
        <v>6850</v>
      </c>
      <c r="D5" t="s">
        <v>3515</v>
      </c>
      <c r="E5" t="s">
        <v>4002</v>
      </c>
      <c r="F5" t="s">
        <v>41</v>
      </c>
    </row>
    <row r="6" spans="1:6" ht="15" customHeight="1" x14ac:dyDescent="0.25">
      <c r="A6" t="s">
        <v>6851</v>
      </c>
      <c r="B6" t="s">
        <v>6852</v>
      </c>
      <c r="C6" t="s">
        <v>6850</v>
      </c>
      <c r="D6" t="s">
        <v>3659</v>
      </c>
      <c r="E6" t="s">
        <v>3461</v>
      </c>
      <c r="F6" t="s">
        <v>3517</v>
      </c>
    </row>
    <row r="7" spans="1:6" ht="15" customHeight="1" x14ac:dyDescent="0.25">
      <c r="A7" t="s">
        <v>6853</v>
      </c>
      <c r="B7" t="s">
        <v>6854</v>
      </c>
      <c r="C7" t="s">
        <v>6845</v>
      </c>
      <c r="D7" t="s">
        <v>3659</v>
      </c>
      <c r="E7" t="s">
        <v>3461</v>
      </c>
    </row>
    <row r="8" spans="1:6" ht="15" customHeight="1" x14ac:dyDescent="0.25">
      <c r="A8" t="s">
        <v>6855</v>
      </c>
      <c r="B8" t="s">
        <v>6856</v>
      </c>
      <c r="C8" t="s">
        <v>5176</v>
      </c>
      <c r="D8" t="s">
        <v>3659</v>
      </c>
      <c r="E8" t="s">
        <v>3461</v>
      </c>
      <c r="F8" t="s">
        <v>3461</v>
      </c>
    </row>
    <row r="9" spans="1:6" ht="15" customHeight="1" x14ac:dyDescent="0.25">
      <c r="A9" t="s">
        <v>6857</v>
      </c>
      <c r="B9" t="s">
        <v>6858</v>
      </c>
      <c r="C9" t="s">
        <v>5179</v>
      </c>
      <c r="D9" t="s">
        <v>5725</v>
      </c>
      <c r="E9" t="s">
        <v>3985</v>
      </c>
      <c r="F9" t="s">
        <v>41</v>
      </c>
    </row>
    <row r="10" spans="1:6" ht="15" customHeight="1" x14ac:dyDescent="0.25">
      <c r="A10" t="s">
        <v>6859</v>
      </c>
      <c r="B10" t="s">
        <v>6860</v>
      </c>
      <c r="C10" t="s">
        <v>6845</v>
      </c>
      <c r="D10" t="s">
        <v>3659</v>
      </c>
      <c r="E10" t="s">
        <v>5026</v>
      </c>
      <c r="F10" t="s">
        <v>41</v>
      </c>
    </row>
    <row r="11" spans="1:6" ht="15" customHeight="1" x14ac:dyDescent="0.25">
      <c r="A11" t="s">
        <v>6861</v>
      </c>
      <c r="B11" t="s">
        <v>6862</v>
      </c>
      <c r="C11" t="s">
        <v>6850</v>
      </c>
      <c r="D11" t="s">
        <v>3444</v>
      </c>
      <c r="E11" t="s">
        <v>3461</v>
      </c>
      <c r="F11" t="s">
        <v>3517</v>
      </c>
    </row>
    <row r="12" spans="1:6" ht="15" customHeight="1" x14ac:dyDescent="0.25">
      <c r="A12" t="s">
        <v>6863</v>
      </c>
      <c r="B12" t="s">
        <v>6864</v>
      </c>
      <c r="C12" t="s">
        <v>5179</v>
      </c>
      <c r="D12" t="s">
        <v>3659</v>
      </c>
      <c r="E12" t="s">
        <v>5026</v>
      </c>
      <c r="F12" t="s">
        <v>41</v>
      </c>
    </row>
    <row r="13" spans="1:6" ht="15" customHeight="1" x14ac:dyDescent="0.25">
      <c r="A13" t="s">
        <v>6865</v>
      </c>
      <c r="B13" t="s">
        <v>6866</v>
      </c>
      <c r="C13" t="s">
        <v>6845</v>
      </c>
      <c r="D13" t="s">
        <v>3659</v>
      </c>
      <c r="E13" t="s">
        <v>3461</v>
      </c>
      <c r="F13" t="s">
        <v>3461</v>
      </c>
    </row>
    <row r="14" spans="1:6" ht="15" customHeight="1" x14ac:dyDescent="0.25">
      <c r="A14" t="s">
        <v>6867</v>
      </c>
      <c r="B14" t="s">
        <v>6868</v>
      </c>
      <c r="C14" t="s">
        <v>6845</v>
      </c>
      <c r="D14" t="s">
        <v>3659</v>
      </c>
      <c r="E14" t="s">
        <v>3461</v>
      </c>
      <c r="F14" t="s">
        <v>3461</v>
      </c>
    </row>
    <row r="15" spans="1:6" ht="15" customHeight="1" x14ac:dyDescent="0.25">
      <c r="A15" t="s">
        <v>6869</v>
      </c>
      <c r="B15" t="s">
        <v>6870</v>
      </c>
      <c r="C15" t="s">
        <v>5179</v>
      </c>
      <c r="D15" t="s">
        <v>5725</v>
      </c>
      <c r="E15" t="s">
        <v>6871</v>
      </c>
      <c r="F15" t="s">
        <v>3505</v>
      </c>
    </row>
    <row r="16" spans="1:6" ht="15" customHeight="1" x14ac:dyDescent="0.25">
      <c r="A16" t="s">
        <v>6872</v>
      </c>
      <c r="B16" t="s">
        <v>6873</v>
      </c>
      <c r="C16" t="s">
        <v>6845</v>
      </c>
      <c r="D16" t="s">
        <v>6872</v>
      </c>
      <c r="E16" t="s">
        <v>3461</v>
      </c>
      <c r="F16" t="s">
        <v>41</v>
      </c>
    </row>
    <row r="17" spans="1:6" ht="15" customHeight="1" x14ac:dyDescent="0.25">
      <c r="A17" t="s">
        <v>6163</v>
      </c>
      <c r="B17" t="s">
        <v>6874</v>
      </c>
      <c r="C17" t="s">
        <v>6845</v>
      </c>
      <c r="D17" t="s">
        <v>3659</v>
      </c>
      <c r="E17" t="s">
        <v>3985</v>
      </c>
      <c r="F17" t="s">
        <v>3461</v>
      </c>
    </row>
    <row r="18" spans="1:6" ht="15" customHeight="1" x14ac:dyDescent="0.25">
      <c r="A18" t="s">
        <v>5678</v>
      </c>
      <c r="B18" t="s">
        <v>6875</v>
      </c>
      <c r="C18" t="s">
        <v>6845</v>
      </c>
      <c r="D18" t="s">
        <v>3659</v>
      </c>
      <c r="E18" t="s">
        <v>5026</v>
      </c>
      <c r="F18" t="s">
        <v>3505</v>
      </c>
    </row>
    <row r="19" spans="1:6" ht="15" customHeight="1" x14ac:dyDescent="0.25">
      <c r="A19" t="s">
        <v>6876</v>
      </c>
      <c r="B19" t="s">
        <v>6877</v>
      </c>
      <c r="C19" t="s">
        <v>6845</v>
      </c>
      <c r="D19" t="s">
        <v>3659</v>
      </c>
      <c r="E19" t="s">
        <v>3461</v>
      </c>
      <c r="F19" t="s">
        <v>3461</v>
      </c>
    </row>
    <row r="20" spans="1:6" ht="15" customHeight="1" x14ac:dyDescent="0.25">
      <c r="A20" t="s">
        <v>6878</v>
      </c>
      <c r="B20" t="s">
        <v>6879</v>
      </c>
      <c r="C20" t="s">
        <v>5176</v>
      </c>
      <c r="D20" t="s">
        <v>3659</v>
      </c>
      <c r="E20" t="s">
        <v>3461</v>
      </c>
      <c r="F20" t="s">
        <v>3461</v>
      </c>
    </row>
    <row r="21" spans="1:6" ht="15" customHeight="1" x14ac:dyDescent="0.25">
      <c r="A21" t="s">
        <v>6880</v>
      </c>
      <c r="B21" t="s">
        <v>6881</v>
      </c>
      <c r="C21" t="s">
        <v>6850</v>
      </c>
      <c r="D21" t="s">
        <v>6880</v>
      </c>
      <c r="E21" t="s">
        <v>6871</v>
      </c>
      <c r="F21" t="s">
        <v>3505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5701</v>
      </c>
      <c r="C1" t="s">
        <v>6</v>
      </c>
      <c r="D1" t="s">
        <v>3456</v>
      </c>
      <c r="E1" t="s">
        <v>6380</v>
      </c>
      <c r="F1" t="s">
        <v>6882</v>
      </c>
      <c r="G1" t="s">
        <v>1</v>
      </c>
      <c r="H1" t="s">
        <v>6381</v>
      </c>
      <c r="I1" t="s">
        <v>171</v>
      </c>
    </row>
    <row r="2" spans="1:9" ht="15" customHeight="1" x14ac:dyDescent="0.25">
      <c r="A2" t="s">
        <v>6883</v>
      </c>
      <c r="B2">
        <v>6</v>
      </c>
      <c r="C2" t="s">
        <v>3505</v>
      </c>
      <c r="D2" t="s">
        <v>6884</v>
      </c>
      <c r="E2" t="s">
        <v>3461</v>
      </c>
      <c r="F2" t="s">
        <v>4000</v>
      </c>
      <c r="G2" t="s">
        <v>2361</v>
      </c>
      <c r="H2" t="s">
        <v>5389</v>
      </c>
      <c r="I2" t="s">
        <v>6883</v>
      </c>
    </row>
    <row r="3" spans="1:9" ht="15" customHeight="1" x14ac:dyDescent="0.25">
      <c r="A3" t="s">
        <v>6885</v>
      </c>
      <c r="B3">
        <v>3</v>
      </c>
      <c r="C3" t="s">
        <v>3517</v>
      </c>
      <c r="D3" t="s">
        <v>6886</v>
      </c>
      <c r="E3" t="s">
        <v>3461</v>
      </c>
      <c r="F3" t="s">
        <v>187</v>
      </c>
      <c r="G3" t="s">
        <v>2361</v>
      </c>
      <c r="H3" t="s">
        <v>3461</v>
      </c>
      <c r="I3" t="s">
        <v>6885</v>
      </c>
    </row>
    <row r="4" spans="1:9" ht="15" customHeight="1" x14ac:dyDescent="0.25">
      <c r="A4" t="s">
        <v>6887</v>
      </c>
      <c r="B4">
        <v>3</v>
      </c>
      <c r="C4" t="s">
        <v>3505</v>
      </c>
      <c r="D4" t="s">
        <v>6888</v>
      </c>
      <c r="E4" t="s">
        <v>5417</v>
      </c>
      <c r="F4" t="s">
        <v>187</v>
      </c>
      <c r="G4" t="s">
        <v>2361</v>
      </c>
      <c r="H4" t="s">
        <v>3461</v>
      </c>
      <c r="I4" t="s">
        <v>6887</v>
      </c>
    </row>
    <row r="5" spans="1:9" ht="15" customHeight="1" x14ac:dyDescent="0.25">
      <c r="A5" t="s">
        <v>6889</v>
      </c>
      <c r="B5">
        <v>6</v>
      </c>
      <c r="C5" t="s">
        <v>3505</v>
      </c>
      <c r="D5" t="s">
        <v>6890</v>
      </c>
      <c r="E5" t="s">
        <v>3461</v>
      </c>
      <c r="F5" t="s">
        <v>187</v>
      </c>
      <c r="G5" t="s">
        <v>2361</v>
      </c>
      <c r="H5" t="s">
        <v>4264</v>
      </c>
      <c r="I5" t="s">
        <v>6889</v>
      </c>
    </row>
    <row r="6" spans="1:9" ht="15" customHeight="1" x14ac:dyDescent="0.25">
      <c r="A6" t="s">
        <v>4005</v>
      </c>
      <c r="B6">
        <v>1</v>
      </c>
      <c r="C6" t="s">
        <v>3517</v>
      </c>
      <c r="D6" t="s">
        <v>6891</v>
      </c>
      <c r="E6" t="s">
        <v>3461</v>
      </c>
      <c r="F6" t="s">
        <v>187</v>
      </c>
      <c r="G6" t="s">
        <v>2361</v>
      </c>
      <c r="H6" t="s">
        <v>4264</v>
      </c>
      <c r="I6" t="s">
        <v>4005</v>
      </c>
    </row>
    <row r="7" spans="1:9" ht="15" customHeight="1" x14ac:dyDescent="0.25">
      <c r="A7" t="s">
        <v>6892</v>
      </c>
      <c r="B7">
        <v>3</v>
      </c>
      <c r="C7" t="s">
        <v>3505</v>
      </c>
      <c r="D7" t="s">
        <v>6893</v>
      </c>
      <c r="E7" t="s">
        <v>3461</v>
      </c>
      <c r="F7" t="s">
        <v>187</v>
      </c>
      <c r="G7" t="s">
        <v>2361</v>
      </c>
      <c r="H7" t="s">
        <v>3461</v>
      </c>
      <c r="I7" t="s">
        <v>6892</v>
      </c>
    </row>
    <row r="8" spans="1:9" ht="15" customHeight="1" x14ac:dyDescent="0.25">
      <c r="A8" t="s">
        <v>6894</v>
      </c>
      <c r="B8">
        <v>1</v>
      </c>
      <c r="C8" t="s">
        <v>3517</v>
      </c>
      <c r="D8" t="s">
        <v>6895</v>
      </c>
      <c r="E8" t="s">
        <v>5415</v>
      </c>
      <c r="F8" t="s">
        <v>187</v>
      </c>
      <c r="G8" t="s">
        <v>2361</v>
      </c>
      <c r="H8" t="s">
        <v>3461</v>
      </c>
      <c r="I8" t="s">
        <v>6894</v>
      </c>
    </row>
    <row r="9" spans="1:9" ht="15" customHeight="1" x14ac:dyDescent="0.25">
      <c r="A9" t="s">
        <v>6896</v>
      </c>
      <c r="B9">
        <v>2</v>
      </c>
      <c r="C9" t="s">
        <v>41</v>
      </c>
      <c r="D9" t="s">
        <v>4561</v>
      </c>
      <c r="E9" t="s">
        <v>5432</v>
      </c>
      <c r="F9" t="s">
        <v>4000</v>
      </c>
      <c r="G9" t="s">
        <v>2361</v>
      </c>
      <c r="H9" t="s">
        <v>3461</v>
      </c>
      <c r="I9" t="s">
        <v>6896</v>
      </c>
    </row>
    <row r="10" spans="1:9" ht="15" customHeight="1" x14ac:dyDescent="0.25">
      <c r="A10" t="s">
        <v>6897</v>
      </c>
      <c r="B10">
        <v>1</v>
      </c>
      <c r="C10" t="s">
        <v>3505</v>
      </c>
      <c r="D10" t="s">
        <v>6898</v>
      </c>
      <c r="E10" t="s">
        <v>5415</v>
      </c>
      <c r="F10" t="s">
        <v>4000</v>
      </c>
      <c r="G10" t="s">
        <v>2361</v>
      </c>
      <c r="H10" t="s">
        <v>5386</v>
      </c>
      <c r="I10" t="s">
        <v>6897</v>
      </c>
    </row>
    <row r="11" spans="1:9" ht="15" customHeight="1" x14ac:dyDescent="0.25">
      <c r="A11" t="s">
        <v>6899</v>
      </c>
      <c r="B11">
        <v>15</v>
      </c>
      <c r="C11" t="s">
        <v>3505</v>
      </c>
      <c r="D11" t="s">
        <v>6900</v>
      </c>
      <c r="E11" t="s">
        <v>3461</v>
      </c>
      <c r="F11" t="s">
        <v>4000</v>
      </c>
      <c r="G11" t="s">
        <v>2361</v>
      </c>
      <c r="H11" t="s">
        <v>5389</v>
      </c>
      <c r="I11" t="s">
        <v>6899</v>
      </c>
    </row>
    <row r="12" spans="1:9" ht="15" customHeight="1" x14ac:dyDescent="0.25">
      <c r="A12" t="s">
        <v>6901</v>
      </c>
      <c r="B12">
        <v>2</v>
      </c>
      <c r="C12" t="s">
        <v>41</v>
      </c>
      <c r="D12" t="s">
        <v>6902</v>
      </c>
      <c r="E12" t="s">
        <v>3461</v>
      </c>
      <c r="F12" t="s">
        <v>4000</v>
      </c>
      <c r="G12" t="s">
        <v>2361</v>
      </c>
      <c r="H12" t="s">
        <v>5386</v>
      </c>
      <c r="I12" t="s">
        <v>6901</v>
      </c>
    </row>
    <row r="13" spans="1:9" ht="15" customHeight="1" x14ac:dyDescent="0.25">
      <c r="A13" t="s">
        <v>6903</v>
      </c>
      <c r="B13">
        <v>3</v>
      </c>
      <c r="C13" t="s">
        <v>3505</v>
      </c>
      <c r="D13" t="s">
        <v>6904</v>
      </c>
      <c r="E13" t="s">
        <v>3461</v>
      </c>
      <c r="F13" t="s">
        <v>187</v>
      </c>
      <c r="G13" t="s">
        <v>2361</v>
      </c>
      <c r="H13" t="s">
        <v>5257</v>
      </c>
      <c r="I13" t="s">
        <v>6903</v>
      </c>
    </row>
    <row r="14" spans="1:9" ht="15" customHeight="1" x14ac:dyDescent="0.25">
      <c r="A14" t="s">
        <v>6905</v>
      </c>
      <c r="B14">
        <v>1</v>
      </c>
      <c r="C14" t="s">
        <v>41</v>
      </c>
      <c r="D14" t="s">
        <v>6906</v>
      </c>
      <c r="E14" t="s">
        <v>5415</v>
      </c>
      <c r="F14" t="s">
        <v>187</v>
      </c>
      <c r="G14" t="s">
        <v>2361</v>
      </c>
      <c r="H14" t="s">
        <v>3461</v>
      </c>
      <c r="I14" t="s">
        <v>6905</v>
      </c>
    </row>
    <row r="15" spans="1:9" ht="15" customHeight="1" x14ac:dyDescent="0.25">
      <c r="A15" t="s">
        <v>6907</v>
      </c>
      <c r="B15">
        <v>2</v>
      </c>
      <c r="C15" t="s">
        <v>41</v>
      </c>
      <c r="D15" t="s">
        <v>6908</v>
      </c>
      <c r="E15" t="s">
        <v>5462</v>
      </c>
      <c r="F15" t="s">
        <v>187</v>
      </c>
      <c r="G15" t="s">
        <v>2361</v>
      </c>
      <c r="H15" t="s">
        <v>5392</v>
      </c>
      <c r="I15" t="s">
        <v>6907</v>
      </c>
    </row>
    <row r="16" spans="1:9" ht="15" customHeight="1" x14ac:dyDescent="0.25">
      <c r="A16" t="s">
        <v>6909</v>
      </c>
      <c r="B16">
        <v>2</v>
      </c>
      <c r="C16" t="s">
        <v>41</v>
      </c>
      <c r="D16" t="s">
        <v>6910</v>
      </c>
      <c r="E16" t="s">
        <v>5462</v>
      </c>
      <c r="F16" t="s">
        <v>187</v>
      </c>
      <c r="G16" t="s">
        <v>2361</v>
      </c>
      <c r="H16" t="s">
        <v>5392</v>
      </c>
      <c r="I16" t="s">
        <v>6909</v>
      </c>
    </row>
    <row r="17" spans="1:9" ht="15" customHeight="1" x14ac:dyDescent="0.25">
      <c r="A17" t="s">
        <v>6911</v>
      </c>
      <c r="B17">
        <v>3</v>
      </c>
      <c r="C17" t="s">
        <v>3517</v>
      </c>
      <c r="D17" t="s">
        <v>6912</v>
      </c>
      <c r="E17" t="s">
        <v>3461</v>
      </c>
      <c r="F17" t="s">
        <v>187</v>
      </c>
      <c r="G17" t="s">
        <v>2361</v>
      </c>
      <c r="H17" t="s">
        <v>5401</v>
      </c>
      <c r="I17" t="s">
        <v>6911</v>
      </c>
    </row>
    <row r="18" spans="1:9" ht="15" customHeight="1" x14ac:dyDescent="0.25">
      <c r="A18" t="s">
        <v>6913</v>
      </c>
      <c r="B18">
        <v>3</v>
      </c>
      <c r="C18" t="s">
        <v>41</v>
      </c>
      <c r="D18" t="s">
        <v>6914</v>
      </c>
      <c r="E18" t="s">
        <v>5462</v>
      </c>
      <c r="F18" t="s">
        <v>187</v>
      </c>
      <c r="G18" t="s">
        <v>2361</v>
      </c>
      <c r="H18" t="s">
        <v>4264</v>
      </c>
      <c r="I18" t="s">
        <v>6913</v>
      </c>
    </row>
    <row r="19" spans="1:9" ht="15" customHeight="1" x14ac:dyDescent="0.25">
      <c r="A19" t="s">
        <v>6915</v>
      </c>
      <c r="B19">
        <v>4</v>
      </c>
      <c r="C19" t="s">
        <v>41</v>
      </c>
      <c r="D19" t="s">
        <v>6916</v>
      </c>
      <c r="E19" t="s">
        <v>5410</v>
      </c>
      <c r="F19" t="s">
        <v>187</v>
      </c>
      <c r="G19" t="s">
        <v>2361</v>
      </c>
      <c r="H19" t="s">
        <v>5392</v>
      </c>
      <c r="I19" t="s">
        <v>6915</v>
      </c>
    </row>
    <row r="20" spans="1:9" ht="15" customHeight="1" x14ac:dyDescent="0.25">
      <c r="A20" t="s">
        <v>6917</v>
      </c>
      <c r="B20">
        <v>2</v>
      </c>
      <c r="C20" t="s">
        <v>3517</v>
      </c>
      <c r="D20" t="s">
        <v>6918</v>
      </c>
      <c r="E20" t="s">
        <v>5415</v>
      </c>
      <c r="F20" t="s">
        <v>4000</v>
      </c>
      <c r="G20" t="s">
        <v>2361</v>
      </c>
      <c r="H20" t="s">
        <v>5394</v>
      </c>
      <c r="I20" t="s">
        <v>6917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6919</v>
      </c>
      <c r="D1" t="s">
        <v>1</v>
      </c>
      <c r="E1" t="s">
        <v>7</v>
      </c>
    </row>
    <row r="2" spans="1:5" ht="15" customHeight="1" x14ac:dyDescent="0.25">
      <c r="A2" t="s">
        <v>6920</v>
      </c>
      <c r="B2" t="s">
        <v>41</v>
      </c>
      <c r="C2" t="s">
        <v>4378</v>
      </c>
      <c r="D2" t="s">
        <v>1294</v>
      </c>
      <c r="E2" t="s">
        <v>6921</v>
      </c>
    </row>
    <row r="3" spans="1:5" ht="15" customHeight="1" x14ac:dyDescent="0.25">
      <c r="A3" t="s">
        <v>6922</v>
      </c>
      <c r="B3" t="s">
        <v>3517</v>
      </c>
      <c r="C3" t="s">
        <v>4378</v>
      </c>
      <c r="D3" t="s">
        <v>1294</v>
      </c>
      <c r="E3" t="s">
        <v>6923</v>
      </c>
    </row>
    <row r="4" spans="1:5" ht="15" customHeight="1" x14ac:dyDescent="0.25">
      <c r="A4" t="s">
        <v>6924</v>
      </c>
      <c r="B4" t="s">
        <v>3505</v>
      </c>
      <c r="C4" t="s">
        <v>4378</v>
      </c>
      <c r="D4" t="s">
        <v>1294</v>
      </c>
      <c r="E4" t="s">
        <v>6925</v>
      </c>
    </row>
    <row r="5" spans="1:5" ht="15" customHeight="1" x14ac:dyDescent="0.25">
      <c r="A5" t="s">
        <v>6926</v>
      </c>
      <c r="B5" t="s">
        <v>41</v>
      </c>
      <c r="C5" t="s">
        <v>4376</v>
      </c>
      <c r="D5" t="s">
        <v>1294</v>
      </c>
      <c r="E5" t="s">
        <v>6927</v>
      </c>
    </row>
    <row r="6" spans="1:5" ht="15" customHeight="1" x14ac:dyDescent="0.25">
      <c r="A6" t="s">
        <v>6928</v>
      </c>
      <c r="B6" t="s">
        <v>3517</v>
      </c>
      <c r="C6" t="s">
        <v>4376</v>
      </c>
      <c r="D6" t="s">
        <v>1294</v>
      </c>
      <c r="E6" t="s">
        <v>6929</v>
      </c>
    </row>
    <row r="7" spans="1:5" ht="15" customHeight="1" x14ac:dyDescent="0.25">
      <c r="A7" t="s">
        <v>6930</v>
      </c>
      <c r="B7" t="s">
        <v>3505</v>
      </c>
      <c r="C7" t="s">
        <v>4376</v>
      </c>
      <c r="D7" t="s">
        <v>1294</v>
      </c>
      <c r="E7" t="s">
        <v>6931</v>
      </c>
    </row>
    <row r="8" spans="1:5" ht="15" customHeight="1" x14ac:dyDescent="0.25">
      <c r="A8" t="s">
        <v>6932</v>
      </c>
      <c r="B8" t="s">
        <v>41</v>
      </c>
      <c r="C8" t="s">
        <v>4385</v>
      </c>
      <c r="D8" t="s">
        <v>1294</v>
      </c>
      <c r="E8" t="s">
        <v>6933</v>
      </c>
    </row>
    <row r="9" spans="1:5" ht="15" customHeight="1" x14ac:dyDescent="0.25">
      <c r="A9" t="s">
        <v>6934</v>
      </c>
      <c r="B9" t="s">
        <v>3517</v>
      </c>
      <c r="C9" t="s">
        <v>4385</v>
      </c>
      <c r="D9" t="s">
        <v>1294</v>
      </c>
      <c r="E9" t="s">
        <v>6935</v>
      </c>
    </row>
    <row r="10" spans="1:5" ht="15" customHeight="1" x14ac:dyDescent="0.25">
      <c r="A10" t="s">
        <v>6936</v>
      </c>
      <c r="B10" t="s">
        <v>3505</v>
      </c>
      <c r="C10" t="s">
        <v>4385</v>
      </c>
      <c r="D10" t="s">
        <v>1294</v>
      </c>
      <c r="E10" t="s">
        <v>6937</v>
      </c>
    </row>
    <row r="11" spans="1:5" ht="15" customHeight="1" x14ac:dyDescent="0.25">
      <c r="A11" t="s">
        <v>6938</v>
      </c>
      <c r="B11" t="s">
        <v>41</v>
      </c>
      <c r="C11" t="s">
        <v>4367</v>
      </c>
      <c r="D11" t="s">
        <v>1294</v>
      </c>
      <c r="E11" t="s">
        <v>6939</v>
      </c>
    </row>
    <row r="12" spans="1:5" ht="15" customHeight="1" x14ac:dyDescent="0.25">
      <c r="A12" t="s">
        <v>6940</v>
      </c>
      <c r="B12" t="s">
        <v>3517</v>
      </c>
      <c r="C12" t="s">
        <v>4367</v>
      </c>
      <c r="D12" t="s">
        <v>1294</v>
      </c>
      <c r="E12" t="s">
        <v>6941</v>
      </c>
    </row>
    <row r="13" spans="1:5" ht="15" customHeight="1" x14ac:dyDescent="0.25">
      <c r="A13" t="s">
        <v>6942</v>
      </c>
      <c r="B13" t="s">
        <v>3505</v>
      </c>
      <c r="C13" t="s">
        <v>4367</v>
      </c>
      <c r="D13" t="s">
        <v>1294</v>
      </c>
      <c r="E13" t="s">
        <v>6943</v>
      </c>
    </row>
    <row r="14" spans="1:5" ht="15" customHeight="1" x14ac:dyDescent="0.25">
      <c r="A14" t="s">
        <v>6944</v>
      </c>
      <c r="B14" t="s">
        <v>41</v>
      </c>
      <c r="C14" t="s">
        <v>4392</v>
      </c>
      <c r="D14" t="s">
        <v>1294</v>
      </c>
      <c r="E14" t="s">
        <v>6945</v>
      </c>
    </row>
    <row r="15" spans="1:5" ht="15" customHeight="1" x14ac:dyDescent="0.25">
      <c r="A15" t="s">
        <v>6946</v>
      </c>
      <c r="B15" t="s">
        <v>3517</v>
      </c>
      <c r="C15" t="s">
        <v>4392</v>
      </c>
      <c r="D15" t="s">
        <v>1294</v>
      </c>
      <c r="E15" t="s">
        <v>6947</v>
      </c>
    </row>
    <row r="16" spans="1:5" ht="15" customHeight="1" x14ac:dyDescent="0.25">
      <c r="A16" t="s">
        <v>6948</v>
      </c>
      <c r="B16" t="s">
        <v>3505</v>
      </c>
      <c r="C16" t="s">
        <v>4392</v>
      </c>
      <c r="D16" t="s">
        <v>1294</v>
      </c>
      <c r="E16" t="s">
        <v>6949</v>
      </c>
    </row>
    <row r="17" spans="1:5" ht="15" customHeight="1" x14ac:dyDescent="0.25">
      <c r="A17" t="s">
        <v>6950</v>
      </c>
      <c r="B17" t="s">
        <v>41</v>
      </c>
      <c r="C17" t="s">
        <v>4399</v>
      </c>
      <c r="D17" t="s">
        <v>1294</v>
      </c>
      <c r="E17" t="s">
        <v>6951</v>
      </c>
    </row>
    <row r="18" spans="1:5" ht="15" customHeight="1" x14ac:dyDescent="0.25">
      <c r="A18" t="s">
        <v>6952</v>
      </c>
      <c r="B18" t="s">
        <v>3517</v>
      </c>
      <c r="C18" t="s">
        <v>4399</v>
      </c>
      <c r="D18" t="s">
        <v>1294</v>
      </c>
      <c r="E18" t="s">
        <v>6953</v>
      </c>
    </row>
    <row r="19" spans="1:5" ht="15" customHeight="1" x14ac:dyDescent="0.25">
      <c r="A19" t="s">
        <v>6954</v>
      </c>
      <c r="B19" t="s">
        <v>3505</v>
      </c>
      <c r="C19" t="s">
        <v>4399</v>
      </c>
      <c r="D19" t="s">
        <v>1294</v>
      </c>
      <c r="E19" t="s">
        <v>6955</v>
      </c>
    </row>
    <row r="20" spans="1:5" ht="15" customHeight="1" x14ac:dyDescent="0.25">
      <c r="A20" t="s">
        <v>6956</v>
      </c>
      <c r="B20" t="s">
        <v>41</v>
      </c>
      <c r="C20" t="s">
        <v>4399</v>
      </c>
      <c r="D20" t="s">
        <v>709</v>
      </c>
      <c r="E20" t="s">
        <v>6957</v>
      </c>
    </row>
    <row r="21" spans="1:5" ht="15" customHeight="1" x14ac:dyDescent="0.25">
      <c r="A21" t="s">
        <v>6958</v>
      </c>
      <c r="B21" t="s">
        <v>41</v>
      </c>
      <c r="C21" t="s">
        <v>4399</v>
      </c>
      <c r="D21" t="s">
        <v>709</v>
      </c>
      <c r="E21" t="s">
        <v>6959</v>
      </c>
    </row>
    <row r="22" spans="1:5" ht="15" customHeight="1" x14ac:dyDescent="0.25">
      <c r="A22" t="s">
        <v>6960</v>
      </c>
      <c r="B22" t="s">
        <v>3517</v>
      </c>
      <c r="C22" t="s">
        <v>4399</v>
      </c>
      <c r="D22" t="s">
        <v>709</v>
      </c>
      <c r="E22" t="s">
        <v>6961</v>
      </c>
    </row>
    <row r="23" spans="1:5" ht="15" customHeight="1" x14ac:dyDescent="0.25">
      <c r="A23" t="s">
        <v>6962</v>
      </c>
      <c r="B23" t="s">
        <v>3517</v>
      </c>
      <c r="C23" t="s">
        <v>4399</v>
      </c>
      <c r="D23" t="s">
        <v>709</v>
      </c>
      <c r="E23" t="s">
        <v>6963</v>
      </c>
    </row>
    <row r="24" spans="1:5" ht="15" customHeight="1" x14ac:dyDescent="0.25">
      <c r="A24" t="s">
        <v>6964</v>
      </c>
      <c r="B24" t="s">
        <v>3505</v>
      </c>
      <c r="C24" t="s">
        <v>4399</v>
      </c>
      <c r="D24" t="s">
        <v>709</v>
      </c>
      <c r="E24" t="s">
        <v>6965</v>
      </c>
    </row>
    <row r="25" spans="1:5" ht="15" customHeight="1" x14ac:dyDescent="0.25">
      <c r="A25" t="s">
        <v>6966</v>
      </c>
      <c r="B25" t="s">
        <v>3505</v>
      </c>
      <c r="C25" t="s">
        <v>4399</v>
      </c>
      <c r="D25" t="s">
        <v>709</v>
      </c>
      <c r="E25" t="s">
        <v>6967</v>
      </c>
    </row>
    <row r="26" spans="1:5" ht="15" customHeight="1" x14ac:dyDescent="0.25">
      <c r="A26" t="s">
        <v>6968</v>
      </c>
      <c r="B26" t="s">
        <v>3505</v>
      </c>
      <c r="C26" t="s">
        <v>4399</v>
      </c>
      <c r="D26" t="s">
        <v>709</v>
      </c>
      <c r="E26" t="s">
        <v>6969</v>
      </c>
    </row>
    <row r="27" spans="1:5" ht="15" customHeight="1" x14ac:dyDescent="0.25">
      <c r="A27" t="s">
        <v>6970</v>
      </c>
      <c r="B27" t="s">
        <v>3505</v>
      </c>
      <c r="C27" t="s">
        <v>4399</v>
      </c>
      <c r="D27" t="s">
        <v>709</v>
      </c>
      <c r="E27" t="s">
        <v>6971</v>
      </c>
    </row>
    <row r="28" spans="1:5" ht="15" customHeight="1" x14ac:dyDescent="0.25">
      <c r="A28" t="s">
        <v>6972</v>
      </c>
      <c r="B28" t="s">
        <v>3505</v>
      </c>
      <c r="C28" t="s">
        <v>4399</v>
      </c>
      <c r="D28" t="s">
        <v>709</v>
      </c>
      <c r="E28" t="s">
        <v>6973</v>
      </c>
    </row>
    <row r="29" spans="1:5" ht="15" customHeight="1" x14ac:dyDescent="0.25">
      <c r="A29" t="s">
        <v>6974</v>
      </c>
      <c r="B29" t="s">
        <v>3517</v>
      </c>
      <c r="C29" t="s">
        <v>4376</v>
      </c>
      <c r="D29" t="s">
        <v>918</v>
      </c>
      <c r="E29" t="s">
        <v>6975</v>
      </c>
    </row>
    <row r="30" spans="1:5" ht="15" customHeight="1" x14ac:dyDescent="0.25">
      <c r="A30" t="s">
        <v>6976</v>
      </c>
      <c r="B30" t="s">
        <v>3517</v>
      </c>
      <c r="C30" t="s">
        <v>6977</v>
      </c>
      <c r="D30" t="s">
        <v>918</v>
      </c>
      <c r="E30" t="s">
        <v>6978</v>
      </c>
    </row>
    <row r="31" spans="1:5" ht="15" customHeight="1" x14ac:dyDescent="0.25">
      <c r="A31" t="s">
        <v>6979</v>
      </c>
      <c r="B31" t="s">
        <v>41</v>
      </c>
      <c r="C31" t="s">
        <v>4405</v>
      </c>
      <c r="D31" t="s">
        <v>918</v>
      </c>
      <c r="E31" t="s">
        <v>6980</v>
      </c>
    </row>
    <row r="32" spans="1:5" ht="15" customHeight="1" x14ac:dyDescent="0.25">
      <c r="A32" t="s">
        <v>6981</v>
      </c>
      <c r="B32" t="s">
        <v>3505</v>
      </c>
      <c r="C32" t="s">
        <v>4399</v>
      </c>
      <c r="D32" t="s">
        <v>918</v>
      </c>
      <c r="E32" t="s">
        <v>6982</v>
      </c>
    </row>
    <row r="33" spans="1:5" ht="15" customHeight="1" x14ac:dyDescent="0.25">
      <c r="A33" t="s">
        <v>6983</v>
      </c>
      <c r="B33" t="s">
        <v>41</v>
      </c>
      <c r="C33" t="s">
        <v>4405</v>
      </c>
      <c r="D33" t="s">
        <v>918</v>
      </c>
      <c r="E33" t="s">
        <v>6984</v>
      </c>
    </row>
    <row r="34" spans="1:5" ht="15" customHeight="1" x14ac:dyDescent="0.25">
      <c r="A34" t="s">
        <v>6985</v>
      </c>
      <c r="B34" t="s">
        <v>3517</v>
      </c>
      <c r="C34" t="s">
        <v>4399</v>
      </c>
      <c r="D34" t="s">
        <v>918</v>
      </c>
      <c r="E34" t="s">
        <v>6986</v>
      </c>
    </row>
    <row r="35" spans="1:5" ht="15" customHeight="1" x14ac:dyDescent="0.25">
      <c r="A35" t="s">
        <v>6987</v>
      </c>
      <c r="B35" t="s">
        <v>41</v>
      </c>
      <c r="C35" t="s">
        <v>4399</v>
      </c>
      <c r="D35" t="s">
        <v>918</v>
      </c>
      <c r="E35" t="s">
        <v>6988</v>
      </c>
    </row>
    <row r="36" spans="1:5" ht="15" customHeight="1" x14ac:dyDescent="0.25">
      <c r="A36" t="s">
        <v>6989</v>
      </c>
      <c r="B36" t="s">
        <v>41</v>
      </c>
      <c r="C36" t="s">
        <v>4399</v>
      </c>
      <c r="D36" t="s">
        <v>918</v>
      </c>
      <c r="E36" t="s">
        <v>6990</v>
      </c>
    </row>
    <row r="37" spans="1:5" ht="15" customHeight="1" x14ac:dyDescent="0.25">
      <c r="A37" t="s">
        <v>6991</v>
      </c>
      <c r="B37" t="s">
        <v>41</v>
      </c>
      <c r="C37" t="s">
        <v>4378</v>
      </c>
      <c r="D37" t="s">
        <v>1298</v>
      </c>
      <c r="E37" t="s">
        <v>6992</v>
      </c>
    </row>
    <row r="38" spans="1:5" ht="15" customHeight="1" x14ac:dyDescent="0.25">
      <c r="A38" t="s">
        <v>6993</v>
      </c>
      <c r="B38" t="s">
        <v>3517</v>
      </c>
      <c r="C38" t="s">
        <v>4378</v>
      </c>
      <c r="D38" t="s">
        <v>1298</v>
      </c>
      <c r="E38" t="s">
        <v>6994</v>
      </c>
    </row>
    <row r="39" spans="1:5" ht="15" customHeight="1" x14ac:dyDescent="0.25">
      <c r="A39" t="s">
        <v>6995</v>
      </c>
      <c r="B39" t="s">
        <v>3505</v>
      </c>
      <c r="C39" t="s">
        <v>4378</v>
      </c>
      <c r="D39" t="s">
        <v>1298</v>
      </c>
      <c r="E39" t="s">
        <v>6996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3737</v>
      </c>
      <c r="D1" t="s">
        <v>5020</v>
      </c>
      <c r="E1" s="9" t="s">
        <v>5021</v>
      </c>
      <c r="F1" s="9" t="s">
        <v>5022</v>
      </c>
      <c r="G1" t="s">
        <v>3742</v>
      </c>
      <c r="H1" t="s">
        <v>1</v>
      </c>
      <c r="I1" t="s">
        <v>5023</v>
      </c>
      <c r="J1" t="s">
        <v>6997</v>
      </c>
      <c r="K1" t="s">
        <v>171</v>
      </c>
      <c r="L1" t="s">
        <v>5025</v>
      </c>
      <c r="M1" t="s">
        <v>3743</v>
      </c>
    </row>
    <row r="2" spans="1:13" ht="15" customHeight="1" x14ac:dyDescent="0.25">
      <c r="A2" t="s">
        <v>6998</v>
      </c>
      <c r="B2" t="s">
        <v>3985</v>
      </c>
      <c r="C2" t="s">
        <v>4366</v>
      </c>
      <c r="D2">
        <v>2</v>
      </c>
      <c r="E2" s="9">
        <v>30</v>
      </c>
      <c r="F2" s="9">
        <v>34</v>
      </c>
      <c r="G2" t="s">
        <v>6999</v>
      </c>
      <c r="H2" t="s">
        <v>2132</v>
      </c>
      <c r="I2" t="s">
        <v>4399</v>
      </c>
      <c r="J2" t="s">
        <v>7000</v>
      </c>
      <c r="K2" t="s">
        <v>6998</v>
      </c>
      <c r="L2" t="s">
        <v>3461</v>
      </c>
    </row>
    <row r="3" spans="1:13" ht="15" customHeight="1" x14ac:dyDescent="0.25">
      <c r="A3" t="s">
        <v>7001</v>
      </c>
      <c r="B3" t="s">
        <v>3985</v>
      </c>
      <c r="C3" t="s">
        <v>4370</v>
      </c>
      <c r="D3">
        <v>2</v>
      </c>
      <c r="E3" s="9">
        <v>64</v>
      </c>
      <c r="F3" s="9">
        <v>70</v>
      </c>
      <c r="G3" t="s">
        <v>6999</v>
      </c>
      <c r="H3" t="s">
        <v>2132</v>
      </c>
      <c r="I3" t="s">
        <v>4399</v>
      </c>
      <c r="J3" t="s">
        <v>7002</v>
      </c>
      <c r="K3" t="s">
        <v>7003</v>
      </c>
      <c r="L3" t="s">
        <v>3461</v>
      </c>
    </row>
    <row r="4" spans="1:13" ht="15" customHeight="1" x14ac:dyDescent="0.25">
      <c r="A4" t="s">
        <v>7004</v>
      </c>
      <c r="B4" t="s">
        <v>3985</v>
      </c>
      <c r="C4" t="s">
        <v>5029</v>
      </c>
      <c r="D4">
        <v>7</v>
      </c>
      <c r="E4" s="9">
        <v>150</v>
      </c>
      <c r="F4" s="9">
        <v>160</v>
      </c>
      <c r="G4" t="s">
        <v>6999</v>
      </c>
      <c r="H4" t="s">
        <v>2132</v>
      </c>
      <c r="I4" t="s">
        <v>4399</v>
      </c>
      <c r="J4" t="s">
        <v>7005</v>
      </c>
      <c r="K4" t="s">
        <v>7006</v>
      </c>
      <c r="L4" t="s">
        <v>3461</v>
      </c>
    </row>
    <row r="5" spans="1:13" ht="15" customHeight="1" x14ac:dyDescent="0.25">
      <c r="A5" t="s">
        <v>5085</v>
      </c>
      <c r="B5" t="s">
        <v>3985</v>
      </c>
      <c r="C5" t="s">
        <v>4366</v>
      </c>
      <c r="D5" t="s">
        <v>3461</v>
      </c>
      <c r="E5" s="9">
        <v>20</v>
      </c>
      <c r="F5" s="9">
        <v>24</v>
      </c>
      <c r="G5" t="s">
        <v>3461</v>
      </c>
      <c r="H5" t="s">
        <v>160</v>
      </c>
      <c r="I5" t="s">
        <v>4399</v>
      </c>
      <c r="J5" t="s">
        <v>7007</v>
      </c>
      <c r="K5" t="s">
        <v>5085</v>
      </c>
      <c r="L5" t="s">
        <v>3461</v>
      </c>
    </row>
    <row r="6" spans="1:13" ht="15" customHeight="1" x14ac:dyDescent="0.25">
      <c r="A6" t="s">
        <v>5076</v>
      </c>
      <c r="B6" t="s">
        <v>3985</v>
      </c>
      <c r="C6" t="s">
        <v>4366</v>
      </c>
      <c r="D6">
        <v>2</v>
      </c>
      <c r="E6" s="9">
        <v>20</v>
      </c>
      <c r="F6" s="9">
        <v>24</v>
      </c>
      <c r="G6" t="s">
        <v>7008</v>
      </c>
      <c r="H6" t="s">
        <v>160</v>
      </c>
      <c r="I6" t="s">
        <v>4399</v>
      </c>
      <c r="J6" t="s">
        <v>7009</v>
      </c>
      <c r="K6" t="s">
        <v>5076</v>
      </c>
      <c r="L6" t="s">
        <v>3461</v>
      </c>
    </row>
    <row r="7" spans="1:13" ht="15" customHeight="1" x14ac:dyDescent="0.25">
      <c r="A7" t="s">
        <v>5083</v>
      </c>
      <c r="B7" t="s">
        <v>3985</v>
      </c>
      <c r="C7" t="s">
        <v>4366</v>
      </c>
      <c r="D7" t="s">
        <v>3461</v>
      </c>
      <c r="E7" s="9">
        <v>20</v>
      </c>
      <c r="F7" s="9">
        <v>24</v>
      </c>
      <c r="G7" t="s">
        <v>3461</v>
      </c>
      <c r="H7" t="s">
        <v>160</v>
      </c>
      <c r="I7" t="s">
        <v>4399</v>
      </c>
      <c r="J7" t="s">
        <v>7010</v>
      </c>
      <c r="K7" t="s">
        <v>5083</v>
      </c>
      <c r="L7" t="s">
        <v>3461</v>
      </c>
    </row>
    <row r="8" spans="1:13" ht="15" customHeight="1" x14ac:dyDescent="0.25">
      <c r="A8" t="s">
        <v>7011</v>
      </c>
      <c r="B8" t="s">
        <v>3985</v>
      </c>
      <c r="C8" t="s">
        <v>4370</v>
      </c>
      <c r="D8">
        <v>3</v>
      </c>
      <c r="E8" s="9">
        <v>48</v>
      </c>
      <c r="F8" s="9">
        <v>54</v>
      </c>
      <c r="G8" t="s">
        <v>3461</v>
      </c>
      <c r="H8" t="s">
        <v>160</v>
      </c>
      <c r="I8" t="s">
        <v>4399</v>
      </c>
      <c r="J8" t="s">
        <v>7012</v>
      </c>
      <c r="K8" t="s">
        <v>7013</v>
      </c>
      <c r="L8" t="s">
        <v>3461</v>
      </c>
    </row>
    <row r="9" spans="1:13" ht="15" customHeight="1" x14ac:dyDescent="0.25">
      <c r="A9" t="s">
        <v>7014</v>
      </c>
      <c r="B9" t="s">
        <v>3985</v>
      </c>
      <c r="C9" t="s">
        <v>5029</v>
      </c>
      <c r="D9">
        <v>7</v>
      </c>
      <c r="E9" s="9">
        <v>130</v>
      </c>
      <c r="F9" s="9">
        <v>140</v>
      </c>
      <c r="G9" t="s">
        <v>7015</v>
      </c>
      <c r="H9" t="s">
        <v>160</v>
      </c>
      <c r="I9" t="s">
        <v>4399</v>
      </c>
      <c r="J9" t="s">
        <v>7016</v>
      </c>
      <c r="K9" t="s">
        <v>7017</v>
      </c>
      <c r="L9" t="s">
        <v>3461</v>
      </c>
      <c r="M9" t="s">
        <v>4636</v>
      </c>
    </row>
    <row r="10" spans="1:13" ht="15" customHeight="1" x14ac:dyDescent="0.25">
      <c r="A10" t="s">
        <v>3847</v>
      </c>
      <c r="B10" t="s">
        <v>6871</v>
      </c>
      <c r="C10" t="s">
        <v>4366</v>
      </c>
      <c r="D10">
        <v>1</v>
      </c>
      <c r="E10" s="9">
        <v>20</v>
      </c>
      <c r="F10" s="9">
        <v>24</v>
      </c>
      <c r="G10" t="s">
        <v>5250</v>
      </c>
      <c r="H10" t="s">
        <v>501</v>
      </c>
      <c r="I10" t="s">
        <v>4402</v>
      </c>
      <c r="J10" t="s">
        <v>7018</v>
      </c>
      <c r="K10" t="s">
        <v>3847</v>
      </c>
      <c r="L10" t="s">
        <v>3461</v>
      </c>
    </row>
    <row r="11" spans="1:13" ht="15" customHeight="1" x14ac:dyDescent="0.25">
      <c r="A11" t="s">
        <v>7019</v>
      </c>
      <c r="B11" t="s">
        <v>6871</v>
      </c>
      <c r="C11" t="s">
        <v>4366</v>
      </c>
      <c r="D11">
        <v>2</v>
      </c>
      <c r="E11" s="9">
        <v>30</v>
      </c>
      <c r="F11" s="9">
        <v>34</v>
      </c>
      <c r="G11" t="s">
        <v>5250</v>
      </c>
      <c r="H11" t="s">
        <v>501</v>
      </c>
      <c r="I11" t="s">
        <v>4402</v>
      </c>
      <c r="J11" t="s">
        <v>7020</v>
      </c>
      <c r="K11" t="s">
        <v>7021</v>
      </c>
      <c r="L11" t="s">
        <v>3461</v>
      </c>
    </row>
    <row r="12" spans="1:13" ht="15" customHeight="1" x14ac:dyDescent="0.25">
      <c r="A12" t="s">
        <v>7022</v>
      </c>
      <c r="B12" t="s">
        <v>6871</v>
      </c>
      <c r="C12" t="s">
        <v>4366</v>
      </c>
      <c r="D12">
        <v>3</v>
      </c>
      <c r="E12" s="9">
        <v>40</v>
      </c>
      <c r="F12" s="9">
        <v>44</v>
      </c>
      <c r="G12" t="s">
        <v>7023</v>
      </c>
      <c r="H12" t="s">
        <v>501</v>
      </c>
      <c r="I12" t="s">
        <v>4402</v>
      </c>
      <c r="J12" t="s">
        <v>7024</v>
      </c>
      <c r="K12" t="s">
        <v>7025</v>
      </c>
      <c r="L12" t="s">
        <v>3461</v>
      </c>
    </row>
    <row r="13" spans="1:13" ht="15" customHeight="1" x14ac:dyDescent="0.25">
      <c r="A13" t="s">
        <v>7026</v>
      </c>
      <c r="B13" t="s">
        <v>6871</v>
      </c>
      <c r="C13" t="s">
        <v>4366</v>
      </c>
      <c r="D13" t="s">
        <v>3461</v>
      </c>
      <c r="E13" s="9">
        <v>12</v>
      </c>
      <c r="F13" s="9">
        <v>14</v>
      </c>
      <c r="G13" t="s">
        <v>5250</v>
      </c>
      <c r="H13" t="s">
        <v>501</v>
      </c>
      <c r="I13" t="s">
        <v>4402</v>
      </c>
      <c r="J13" t="s">
        <v>7027</v>
      </c>
      <c r="K13" t="s">
        <v>7026</v>
      </c>
      <c r="L13" t="s">
        <v>3461</v>
      </c>
    </row>
    <row r="14" spans="1:13" ht="15" customHeight="1" x14ac:dyDescent="0.25">
      <c r="A14" t="s">
        <v>3855</v>
      </c>
      <c r="B14" t="s">
        <v>6871</v>
      </c>
      <c r="C14" t="s">
        <v>4370</v>
      </c>
      <c r="D14">
        <v>3</v>
      </c>
      <c r="E14" s="9">
        <v>130</v>
      </c>
      <c r="F14" s="9">
        <v>140</v>
      </c>
      <c r="G14" t="s">
        <v>7028</v>
      </c>
      <c r="H14" t="s">
        <v>501</v>
      </c>
      <c r="I14" t="s">
        <v>4385</v>
      </c>
      <c r="J14" t="s">
        <v>7029</v>
      </c>
      <c r="K14" t="s">
        <v>3855</v>
      </c>
      <c r="L14" t="s">
        <v>3461</v>
      </c>
    </row>
    <row r="15" spans="1:13" ht="15" customHeight="1" x14ac:dyDescent="0.25">
      <c r="A15" t="s">
        <v>7030</v>
      </c>
      <c r="B15" t="s">
        <v>6871</v>
      </c>
      <c r="C15" t="s">
        <v>4370</v>
      </c>
      <c r="D15" t="s">
        <v>3461</v>
      </c>
      <c r="E15" s="9">
        <v>130</v>
      </c>
      <c r="F15" s="9">
        <v>140</v>
      </c>
      <c r="G15" t="s">
        <v>7028</v>
      </c>
      <c r="H15" t="s">
        <v>501</v>
      </c>
      <c r="I15" t="s">
        <v>4385</v>
      </c>
      <c r="J15" t="s">
        <v>7031</v>
      </c>
      <c r="K15" t="s">
        <v>7032</v>
      </c>
      <c r="L15" t="s">
        <v>3855</v>
      </c>
    </row>
    <row r="16" spans="1:13" ht="15" customHeight="1" x14ac:dyDescent="0.25">
      <c r="A16" t="s">
        <v>7033</v>
      </c>
      <c r="B16" t="s">
        <v>6871</v>
      </c>
      <c r="C16" t="s">
        <v>5029</v>
      </c>
      <c r="D16">
        <v>5</v>
      </c>
      <c r="E16" s="9">
        <v>100</v>
      </c>
      <c r="F16" s="9">
        <v>110</v>
      </c>
      <c r="G16" t="s">
        <v>7034</v>
      </c>
      <c r="H16" t="s">
        <v>501</v>
      </c>
      <c r="I16" t="s">
        <v>4392</v>
      </c>
      <c r="J16" t="s">
        <v>7035</v>
      </c>
      <c r="K16" t="s">
        <v>7036</v>
      </c>
      <c r="L16" t="s">
        <v>3461</v>
      </c>
    </row>
    <row r="17" spans="1:13" ht="15" customHeight="1" x14ac:dyDescent="0.25">
      <c r="A17" t="s">
        <v>7037</v>
      </c>
      <c r="B17" t="s">
        <v>4002</v>
      </c>
      <c r="C17" t="s">
        <v>4366</v>
      </c>
      <c r="D17">
        <v>1</v>
      </c>
      <c r="E17" s="9">
        <v>30</v>
      </c>
      <c r="F17" s="9">
        <v>34</v>
      </c>
      <c r="G17" t="s">
        <v>5263</v>
      </c>
      <c r="H17" t="s">
        <v>2154</v>
      </c>
      <c r="I17" t="s">
        <v>4399</v>
      </c>
      <c r="J17" t="s">
        <v>7038</v>
      </c>
      <c r="K17" t="s">
        <v>7037</v>
      </c>
      <c r="L17" t="s">
        <v>3461</v>
      </c>
      <c r="M17" t="s">
        <v>3846</v>
      </c>
    </row>
    <row r="18" spans="1:13" ht="15" customHeight="1" x14ac:dyDescent="0.25">
      <c r="A18" t="s">
        <v>7039</v>
      </c>
      <c r="B18" t="s">
        <v>4002</v>
      </c>
      <c r="C18" t="s">
        <v>4370</v>
      </c>
      <c r="D18">
        <v>3</v>
      </c>
      <c r="E18" s="9">
        <v>40</v>
      </c>
      <c r="F18" s="9">
        <v>46</v>
      </c>
      <c r="G18" t="s">
        <v>7040</v>
      </c>
      <c r="H18" t="s">
        <v>2154</v>
      </c>
      <c r="I18" t="s">
        <v>4399</v>
      </c>
      <c r="J18" t="s">
        <v>7041</v>
      </c>
      <c r="K18" t="s">
        <v>7039</v>
      </c>
      <c r="L18" t="s">
        <v>3461</v>
      </c>
    </row>
    <row r="19" spans="1:13" ht="15" customHeight="1" x14ac:dyDescent="0.25">
      <c r="A19" t="s">
        <v>7042</v>
      </c>
      <c r="B19" t="s">
        <v>4002</v>
      </c>
      <c r="C19" t="s">
        <v>4370</v>
      </c>
      <c r="D19">
        <v>4</v>
      </c>
      <c r="E19" s="9">
        <v>60</v>
      </c>
      <c r="F19" s="9">
        <v>66</v>
      </c>
      <c r="G19" t="s">
        <v>5263</v>
      </c>
      <c r="H19" t="s">
        <v>2154</v>
      </c>
      <c r="I19" t="s">
        <v>4399</v>
      </c>
      <c r="J19" t="s">
        <v>7043</v>
      </c>
      <c r="K19" t="s">
        <v>7042</v>
      </c>
      <c r="L19" t="s">
        <v>3461</v>
      </c>
    </row>
    <row r="20" spans="1:13" ht="15" customHeight="1" x14ac:dyDescent="0.25">
      <c r="A20" t="s">
        <v>3974</v>
      </c>
      <c r="B20" t="s">
        <v>4002</v>
      </c>
      <c r="C20" t="s">
        <v>5029</v>
      </c>
      <c r="D20">
        <v>9</v>
      </c>
      <c r="E20" s="9">
        <v>250</v>
      </c>
      <c r="F20" s="9">
        <v>270</v>
      </c>
      <c r="G20" t="s">
        <v>7044</v>
      </c>
      <c r="H20" t="s">
        <v>2154</v>
      </c>
      <c r="I20" t="s">
        <v>4399</v>
      </c>
      <c r="J20" t="s">
        <v>7045</v>
      </c>
      <c r="K20" t="s">
        <v>3974</v>
      </c>
      <c r="L20" t="s">
        <v>3461</v>
      </c>
      <c r="M20" t="s">
        <v>7046</v>
      </c>
    </row>
    <row r="21" spans="1:13" ht="15" customHeight="1" x14ac:dyDescent="0.25">
      <c r="A21" t="s">
        <v>3805</v>
      </c>
      <c r="B21" t="s">
        <v>5026</v>
      </c>
      <c r="C21" t="s">
        <v>4366</v>
      </c>
      <c r="D21">
        <v>2</v>
      </c>
      <c r="E21" s="9">
        <v>48</v>
      </c>
      <c r="F21" s="9">
        <v>54</v>
      </c>
      <c r="G21" t="s">
        <v>3461</v>
      </c>
      <c r="H21" t="s">
        <v>90</v>
      </c>
      <c r="I21" t="s">
        <v>4399</v>
      </c>
      <c r="J21" t="s">
        <v>7047</v>
      </c>
      <c r="K21" t="s">
        <v>3805</v>
      </c>
      <c r="L21" t="s">
        <v>3461</v>
      </c>
    </row>
    <row r="22" spans="1:13" ht="15" customHeight="1" x14ac:dyDescent="0.25">
      <c r="A22" t="s">
        <v>3834</v>
      </c>
      <c r="B22" t="s">
        <v>5026</v>
      </c>
      <c r="C22" t="s">
        <v>4370</v>
      </c>
      <c r="D22">
        <v>6</v>
      </c>
      <c r="E22" s="9">
        <v>114</v>
      </c>
      <c r="F22" s="9">
        <v>120</v>
      </c>
      <c r="G22" t="s">
        <v>3461</v>
      </c>
      <c r="H22" t="s">
        <v>90</v>
      </c>
      <c r="I22" t="s">
        <v>4399</v>
      </c>
      <c r="J22" t="s">
        <v>7048</v>
      </c>
      <c r="K22" t="s">
        <v>3834</v>
      </c>
      <c r="L22" t="s">
        <v>3461</v>
      </c>
    </row>
    <row r="23" spans="1:13" ht="15" customHeight="1" x14ac:dyDescent="0.25">
      <c r="A23" t="s">
        <v>3840</v>
      </c>
      <c r="B23" t="s">
        <v>5026</v>
      </c>
      <c r="C23" t="s">
        <v>5029</v>
      </c>
      <c r="D23">
        <v>9</v>
      </c>
      <c r="E23" s="9">
        <v>999</v>
      </c>
      <c r="F23" s="9">
        <v>999</v>
      </c>
      <c r="G23" t="s">
        <v>5030</v>
      </c>
      <c r="H23" t="s">
        <v>90</v>
      </c>
      <c r="I23" t="s">
        <v>4399</v>
      </c>
      <c r="J23" t="s">
        <v>7049</v>
      </c>
      <c r="K23" t="s">
        <v>3840</v>
      </c>
      <c r="L23" t="s">
        <v>3461</v>
      </c>
    </row>
    <row r="24" spans="1:13" ht="15" customHeight="1" x14ac:dyDescent="0.25">
      <c r="A24" t="s">
        <v>7050</v>
      </c>
      <c r="B24" t="s">
        <v>6871</v>
      </c>
      <c r="C24" t="s">
        <v>4366</v>
      </c>
      <c r="D24">
        <v>1</v>
      </c>
      <c r="E24" s="9">
        <v>20</v>
      </c>
      <c r="F24" s="9">
        <v>24</v>
      </c>
      <c r="G24" t="s">
        <v>7051</v>
      </c>
      <c r="H24" t="s">
        <v>2361</v>
      </c>
      <c r="I24" t="s">
        <v>4378</v>
      </c>
      <c r="J24" t="s">
        <v>7052</v>
      </c>
      <c r="K24" t="s">
        <v>7050</v>
      </c>
      <c r="L24" t="s">
        <v>3461</v>
      </c>
      <c r="M24" t="s">
        <v>3765</v>
      </c>
    </row>
    <row r="25" spans="1:13" ht="15" customHeight="1" x14ac:dyDescent="0.25">
      <c r="A25" t="s">
        <v>7053</v>
      </c>
      <c r="B25" t="s">
        <v>6871</v>
      </c>
      <c r="C25" t="s">
        <v>4370</v>
      </c>
      <c r="D25">
        <v>3</v>
      </c>
      <c r="E25" s="9">
        <v>48</v>
      </c>
      <c r="F25" s="9">
        <v>54</v>
      </c>
      <c r="G25" t="s">
        <v>3461</v>
      </c>
      <c r="H25" t="s">
        <v>2361</v>
      </c>
      <c r="I25" t="s">
        <v>4399</v>
      </c>
      <c r="J25" t="s">
        <v>7054</v>
      </c>
      <c r="K25" t="s">
        <v>7053</v>
      </c>
      <c r="L25" t="s">
        <v>3461</v>
      </c>
    </row>
    <row r="26" spans="1:13" ht="15" customHeight="1" x14ac:dyDescent="0.25">
      <c r="A26" t="s">
        <v>7055</v>
      </c>
      <c r="B26" t="s">
        <v>6871</v>
      </c>
      <c r="C26" t="s">
        <v>5029</v>
      </c>
      <c r="D26">
        <v>3</v>
      </c>
      <c r="E26" s="9">
        <v>60</v>
      </c>
      <c r="F26" s="9">
        <v>66</v>
      </c>
      <c r="G26" t="s">
        <v>7056</v>
      </c>
      <c r="H26" t="s">
        <v>2361</v>
      </c>
      <c r="I26" t="s">
        <v>4399</v>
      </c>
      <c r="J26" t="s">
        <v>7057</v>
      </c>
      <c r="K26" t="s">
        <v>7055</v>
      </c>
      <c r="L26" t="s">
        <v>3461</v>
      </c>
    </row>
    <row r="27" spans="1:13" ht="15" customHeight="1" x14ac:dyDescent="0.25">
      <c r="A27" t="s">
        <v>5032</v>
      </c>
      <c r="B27" t="s">
        <v>5026</v>
      </c>
      <c r="C27" t="s">
        <v>4366</v>
      </c>
      <c r="D27">
        <v>3</v>
      </c>
      <c r="E27" s="9">
        <v>40</v>
      </c>
      <c r="F27" s="9">
        <v>44</v>
      </c>
      <c r="G27" t="s">
        <v>3461</v>
      </c>
      <c r="H27" t="s">
        <v>90</v>
      </c>
      <c r="I27" t="s">
        <v>4399</v>
      </c>
      <c r="J27" t="s">
        <v>7058</v>
      </c>
      <c r="K27" t="s">
        <v>5034</v>
      </c>
      <c r="L27" t="s">
        <v>3461</v>
      </c>
    </row>
    <row r="28" spans="1:13" ht="15" customHeight="1" x14ac:dyDescent="0.25">
      <c r="A28" t="s">
        <v>5035</v>
      </c>
      <c r="B28" t="s">
        <v>5026</v>
      </c>
      <c r="C28" t="s">
        <v>4366</v>
      </c>
      <c r="D28">
        <v>1</v>
      </c>
      <c r="E28" s="9">
        <v>10</v>
      </c>
      <c r="F28" s="9">
        <v>15</v>
      </c>
      <c r="G28" t="s">
        <v>5036</v>
      </c>
      <c r="H28" t="s">
        <v>90</v>
      </c>
      <c r="I28" t="s">
        <v>4399</v>
      </c>
      <c r="J28" t="s">
        <v>7059</v>
      </c>
      <c r="K28" t="s">
        <v>5038</v>
      </c>
      <c r="L28" t="s">
        <v>3461</v>
      </c>
      <c r="M28" t="s">
        <v>4636</v>
      </c>
    </row>
    <row r="29" spans="1:13" ht="15" customHeight="1" x14ac:dyDescent="0.25">
      <c r="A29" t="s">
        <v>5039</v>
      </c>
      <c r="B29" t="s">
        <v>5026</v>
      </c>
      <c r="C29" t="s">
        <v>4366</v>
      </c>
      <c r="D29">
        <v>1</v>
      </c>
      <c r="E29" s="9">
        <v>11</v>
      </c>
      <c r="F29" s="9">
        <v>17</v>
      </c>
      <c r="G29" t="s">
        <v>5036</v>
      </c>
      <c r="H29" t="s">
        <v>90</v>
      </c>
      <c r="I29" t="s">
        <v>4399</v>
      </c>
      <c r="J29" t="s">
        <v>7060</v>
      </c>
      <c r="K29" t="s">
        <v>5041</v>
      </c>
      <c r="L29" t="s">
        <v>3461</v>
      </c>
      <c r="M29" t="s">
        <v>4636</v>
      </c>
    </row>
    <row r="30" spans="1:13" ht="15" customHeight="1" x14ac:dyDescent="0.25">
      <c r="A30" t="s">
        <v>5042</v>
      </c>
      <c r="B30" t="s">
        <v>5026</v>
      </c>
      <c r="C30" t="s">
        <v>4366</v>
      </c>
      <c r="D30">
        <v>4</v>
      </c>
      <c r="E30" s="9">
        <v>65</v>
      </c>
      <c r="F30" s="9">
        <v>69</v>
      </c>
      <c r="G30" t="s">
        <v>5043</v>
      </c>
      <c r="H30" t="s">
        <v>90</v>
      </c>
      <c r="I30" t="s">
        <v>4399</v>
      </c>
      <c r="J30" t="s">
        <v>7061</v>
      </c>
      <c r="K30" t="s">
        <v>5045</v>
      </c>
      <c r="L30" t="s">
        <v>3461</v>
      </c>
      <c r="M30" t="s">
        <v>3830</v>
      </c>
    </row>
    <row r="31" spans="1:13" ht="15" customHeight="1" x14ac:dyDescent="0.25">
      <c r="A31" t="s">
        <v>5046</v>
      </c>
      <c r="B31" t="s">
        <v>5026</v>
      </c>
      <c r="C31" t="s">
        <v>4366</v>
      </c>
      <c r="D31">
        <v>2</v>
      </c>
      <c r="E31" s="9">
        <v>28</v>
      </c>
      <c r="F31" s="9">
        <v>32</v>
      </c>
      <c r="G31" t="s">
        <v>3461</v>
      </c>
      <c r="H31" t="s">
        <v>90</v>
      </c>
      <c r="I31" t="s">
        <v>4399</v>
      </c>
      <c r="J31" t="s">
        <v>7062</v>
      </c>
      <c r="K31" t="s">
        <v>5048</v>
      </c>
      <c r="L31" t="s">
        <v>3461</v>
      </c>
      <c r="M31" t="s">
        <v>3830</v>
      </c>
    </row>
    <row r="32" spans="1:13" ht="15" customHeight="1" x14ac:dyDescent="0.25">
      <c r="A32" t="s">
        <v>5049</v>
      </c>
      <c r="B32" t="s">
        <v>5026</v>
      </c>
      <c r="C32" t="s">
        <v>4366</v>
      </c>
      <c r="D32">
        <v>1</v>
      </c>
      <c r="E32" s="9">
        <v>8</v>
      </c>
      <c r="F32" s="9">
        <v>12</v>
      </c>
      <c r="G32" t="s">
        <v>3461</v>
      </c>
      <c r="H32" t="s">
        <v>90</v>
      </c>
      <c r="I32" t="s">
        <v>4399</v>
      </c>
      <c r="J32" t="s">
        <v>7063</v>
      </c>
      <c r="K32" t="s">
        <v>5051</v>
      </c>
      <c r="L32" t="s">
        <v>3461</v>
      </c>
      <c r="M32" t="s">
        <v>3830</v>
      </c>
    </row>
    <row r="33" spans="1:13" ht="15" customHeight="1" x14ac:dyDescent="0.25">
      <c r="A33" t="s">
        <v>3827</v>
      </c>
      <c r="B33" t="s">
        <v>5026</v>
      </c>
      <c r="C33" t="s">
        <v>4366</v>
      </c>
      <c r="D33">
        <v>4</v>
      </c>
      <c r="E33" s="9">
        <v>64</v>
      </c>
      <c r="F33" s="9">
        <v>70</v>
      </c>
      <c r="G33" t="s">
        <v>5052</v>
      </c>
      <c r="H33" t="s">
        <v>90</v>
      </c>
      <c r="I33" t="s">
        <v>4399</v>
      </c>
      <c r="J33" t="s">
        <v>7064</v>
      </c>
      <c r="K33" t="s">
        <v>3829</v>
      </c>
      <c r="L33" t="s">
        <v>3461</v>
      </c>
      <c r="M33" t="s">
        <v>3830</v>
      </c>
    </row>
    <row r="34" spans="1:13" ht="15" customHeight="1" x14ac:dyDescent="0.25">
      <c r="A34" t="s">
        <v>5054</v>
      </c>
      <c r="B34" t="s">
        <v>5026</v>
      </c>
      <c r="C34" t="s">
        <v>4366</v>
      </c>
      <c r="D34">
        <v>2</v>
      </c>
      <c r="E34" s="9">
        <v>28</v>
      </c>
      <c r="F34" s="9">
        <v>32</v>
      </c>
      <c r="G34" t="s">
        <v>3461</v>
      </c>
      <c r="H34" t="s">
        <v>90</v>
      </c>
      <c r="I34" t="s">
        <v>4399</v>
      </c>
      <c r="J34" t="s">
        <v>7065</v>
      </c>
      <c r="K34" t="s">
        <v>5056</v>
      </c>
      <c r="L34" t="s">
        <v>3461</v>
      </c>
      <c r="M34" t="s">
        <v>3830</v>
      </c>
    </row>
    <row r="35" spans="1:13" ht="15" customHeight="1" x14ac:dyDescent="0.25">
      <c r="A35" t="s">
        <v>5057</v>
      </c>
      <c r="B35" t="s">
        <v>5026</v>
      </c>
      <c r="C35" t="s">
        <v>4366</v>
      </c>
      <c r="D35">
        <v>1</v>
      </c>
      <c r="E35" s="9">
        <v>10</v>
      </c>
      <c r="F35" s="9">
        <v>14</v>
      </c>
      <c r="G35" t="s">
        <v>3461</v>
      </c>
      <c r="H35" t="s">
        <v>90</v>
      </c>
      <c r="I35" t="s">
        <v>4399</v>
      </c>
      <c r="J35" t="s">
        <v>7066</v>
      </c>
      <c r="K35" t="s">
        <v>5059</v>
      </c>
      <c r="L35" t="s">
        <v>3461</v>
      </c>
      <c r="M35" t="s">
        <v>3830</v>
      </c>
    </row>
    <row r="36" spans="1:13" ht="15" customHeight="1" x14ac:dyDescent="0.25">
      <c r="A36" t="s">
        <v>7067</v>
      </c>
      <c r="B36" t="s">
        <v>6871</v>
      </c>
      <c r="C36" t="s">
        <v>5029</v>
      </c>
      <c r="D36">
        <v>1</v>
      </c>
      <c r="E36" s="9">
        <v>20</v>
      </c>
      <c r="F36" s="9">
        <v>24</v>
      </c>
      <c r="G36" t="s">
        <v>3461</v>
      </c>
      <c r="H36" t="s">
        <v>1649</v>
      </c>
      <c r="I36" t="s">
        <v>4378</v>
      </c>
      <c r="J36" t="s">
        <v>7068</v>
      </c>
      <c r="K36" t="s">
        <v>7067</v>
      </c>
      <c r="L36" t="s">
        <v>3461</v>
      </c>
      <c r="M36" t="s">
        <v>7069</v>
      </c>
    </row>
    <row r="37" spans="1:13" ht="15" customHeight="1" x14ac:dyDescent="0.25">
      <c r="A37" t="s">
        <v>7070</v>
      </c>
      <c r="B37" t="s">
        <v>6871</v>
      </c>
      <c r="C37" t="s">
        <v>4366</v>
      </c>
      <c r="D37">
        <v>0.5</v>
      </c>
      <c r="E37" s="9">
        <v>4</v>
      </c>
      <c r="F37" s="9">
        <v>6</v>
      </c>
      <c r="G37" t="s">
        <v>3461</v>
      </c>
      <c r="H37" t="s">
        <v>1649</v>
      </c>
      <c r="I37" t="s">
        <v>3461</v>
      </c>
      <c r="J37" t="s">
        <v>7071</v>
      </c>
      <c r="K37" t="s">
        <v>7070</v>
      </c>
      <c r="L37" t="s">
        <v>3461</v>
      </c>
      <c r="M37" t="s">
        <v>4636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5060</v>
      </c>
      <c r="C1" t="s">
        <v>3737</v>
      </c>
      <c r="D1" t="s">
        <v>5020</v>
      </c>
      <c r="E1" t="s">
        <v>1</v>
      </c>
      <c r="F1" t="s">
        <v>3743</v>
      </c>
      <c r="G1" t="s">
        <v>5021</v>
      </c>
      <c r="H1" t="s">
        <v>5022</v>
      </c>
      <c r="I1" t="s">
        <v>3990</v>
      </c>
      <c r="J1" t="s">
        <v>7072</v>
      </c>
      <c r="K1" t="s">
        <v>5064</v>
      </c>
      <c r="L1" t="s">
        <v>171</v>
      </c>
      <c r="M1" t="s">
        <v>7073</v>
      </c>
      <c r="N1" t="s">
        <v>7074</v>
      </c>
      <c r="O1" t="s">
        <v>3445</v>
      </c>
      <c r="P1" t="s">
        <v>7075</v>
      </c>
      <c r="Q1" t="s">
        <v>3742</v>
      </c>
    </row>
    <row r="2" spans="1:17" ht="15" customHeight="1" x14ac:dyDescent="0.25">
      <c r="A2" t="s">
        <v>7037</v>
      </c>
      <c r="B2" t="s">
        <v>7076</v>
      </c>
      <c r="C2" t="s">
        <v>4366</v>
      </c>
      <c r="D2">
        <v>2</v>
      </c>
      <c r="E2" t="s">
        <v>2154</v>
      </c>
      <c r="G2">
        <v>20</v>
      </c>
      <c r="H2">
        <v>24</v>
      </c>
      <c r="I2">
        <v>0</v>
      </c>
      <c r="J2" t="s">
        <v>7077</v>
      </c>
      <c r="K2" t="s">
        <v>7078</v>
      </c>
      <c r="M2">
        <v>1</v>
      </c>
      <c r="N2">
        <v>3</v>
      </c>
      <c r="O2" t="s">
        <v>7079</v>
      </c>
      <c r="P2" t="s">
        <v>7080</v>
      </c>
    </row>
    <row r="3" spans="1:17" ht="15" customHeight="1" x14ac:dyDescent="0.25">
      <c r="A3" t="s">
        <v>7081</v>
      </c>
      <c r="B3" t="s">
        <v>7082</v>
      </c>
      <c r="C3" t="s">
        <v>4370</v>
      </c>
      <c r="D3">
        <v>2</v>
      </c>
      <c r="E3" t="s">
        <v>2154</v>
      </c>
      <c r="F3" t="s">
        <v>4951</v>
      </c>
      <c r="G3">
        <v>12</v>
      </c>
      <c r="H3">
        <v>18</v>
      </c>
      <c r="I3">
        <v>4</v>
      </c>
      <c r="J3" t="s">
        <v>7083</v>
      </c>
      <c r="K3" t="s">
        <v>7084</v>
      </c>
      <c r="M3">
        <v>2</v>
      </c>
      <c r="N3">
        <v>3</v>
      </c>
      <c r="O3" t="s">
        <v>7085</v>
      </c>
      <c r="P3" t="s">
        <v>7086</v>
      </c>
    </row>
    <row r="4" spans="1:17" ht="15" customHeight="1" x14ac:dyDescent="0.25">
      <c r="A4" t="s">
        <v>7087</v>
      </c>
      <c r="B4" t="s">
        <v>7088</v>
      </c>
      <c r="C4" t="s">
        <v>4366</v>
      </c>
      <c r="D4">
        <v>1</v>
      </c>
      <c r="E4" t="s">
        <v>1795</v>
      </c>
      <c r="F4" t="s">
        <v>7089</v>
      </c>
      <c r="G4">
        <v>5</v>
      </c>
      <c r="H4">
        <v>5</v>
      </c>
      <c r="I4">
        <v>4</v>
      </c>
      <c r="J4" t="s">
        <v>7083</v>
      </c>
      <c r="K4" t="s">
        <v>7090</v>
      </c>
      <c r="L4" t="s">
        <v>7087</v>
      </c>
      <c r="M4">
        <v>1</v>
      </c>
      <c r="N4">
        <v>4</v>
      </c>
      <c r="O4" t="s">
        <v>7091</v>
      </c>
      <c r="P4" t="s">
        <v>7092</v>
      </c>
    </row>
    <row r="5" spans="1:17" ht="15" customHeight="1" x14ac:dyDescent="0.25">
      <c r="A5" t="s">
        <v>7093</v>
      </c>
      <c r="B5" t="s">
        <v>4951</v>
      </c>
      <c r="C5" t="s">
        <v>4366</v>
      </c>
      <c r="D5">
        <v>1</v>
      </c>
      <c r="E5" t="s">
        <v>2154</v>
      </c>
      <c r="F5" t="s">
        <v>4951</v>
      </c>
      <c r="G5">
        <v>8</v>
      </c>
      <c r="H5">
        <v>11</v>
      </c>
      <c r="I5">
        <v>4</v>
      </c>
      <c r="J5" t="s">
        <v>7094</v>
      </c>
      <c r="K5" t="s">
        <v>7095</v>
      </c>
      <c r="M5">
        <v>1</v>
      </c>
      <c r="N5">
        <v>4</v>
      </c>
      <c r="O5" t="s">
        <v>7096</v>
      </c>
      <c r="P5" t="s">
        <v>7097</v>
      </c>
    </row>
    <row r="6" spans="1:17" ht="15" customHeight="1" x14ac:dyDescent="0.25">
      <c r="A6" t="s">
        <v>7042</v>
      </c>
      <c r="B6" t="s">
        <v>7098</v>
      </c>
      <c r="C6" t="s">
        <v>4370</v>
      </c>
      <c r="D6">
        <v>5</v>
      </c>
      <c r="E6" t="s">
        <v>2154</v>
      </c>
      <c r="G6">
        <v>60</v>
      </c>
      <c r="H6">
        <v>66</v>
      </c>
      <c r="I6">
        <v>-4</v>
      </c>
      <c r="J6" t="s">
        <v>7099</v>
      </c>
      <c r="K6" t="s">
        <v>7100</v>
      </c>
      <c r="M6">
        <v>4</v>
      </c>
      <c r="N6">
        <v>1</v>
      </c>
      <c r="O6" t="s">
        <v>7101</v>
      </c>
      <c r="P6" t="s">
        <v>7102</v>
      </c>
      <c r="Q6" t="s">
        <v>7103</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7104</v>
      </c>
      <c r="C1" t="s">
        <v>7105</v>
      </c>
      <c r="D1" t="s">
        <v>7106</v>
      </c>
      <c r="E1" t="s">
        <v>7107</v>
      </c>
      <c r="F1" t="s">
        <v>7108</v>
      </c>
      <c r="G1" t="s">
        <v>7109</v>
      </c>
      <c r="H1" t="s">
        <v>7110</v>
      </c>
      <c r="I1" t="s">
        <v>1</v>
      </c>
    </row>
    <row r="2" spans="1:9" ht="15" customHeight="1" x14ac:dyDescent="0.25">
      <c r="A2" t="s">
        <v>5871</v>
      </c>
      <c r="B2">
        <v>6</v>
      </c>
      <c r="C2" t="s">
        <v>7111</v>
      </c>
      <c r="D2" t="s">
        <v>7112</v>
      </c>
      <c r="E2" t="s">
        <v>7113</v>
      </c>
      <c r="F2" t="s">
        <v>7113</v>
      </c>
      <c r="G2" t="s">
        <v>7111</v>
      </c>
      <c r="H2" t="s">
        <v>7112</v>
      </c>
      <c r="I2" t="s">
        <v>2361</v>
      </c>
    </row>
    <row r="3" spans="1:9" ht="15" customHeight="1" x14ac:dyDescent="0.25">
      <c r="A3" t="s">
        <v>5894</v>
      </c>
      <c r="B3">
        <v>6</v>
      </c>
      <c r="C3" t="s">
        <v>7114</v>
      </c>
      <c r="D3" t="s">
        <v>7115</v>
      </c>
      <c r="E3" t="s">
        <v>7116</v>
      </c>
      <c r="F3" t="s">
        <v>7116</v>
      </c>
      <c r="G3" t="s">
        <v>7117</v>
      </c>
      <c r="H3" t="s">
        <v>4220</v>
      </c>
      <c r="I3" t="s">
        <v>2361</v>
      </c>
    </row>
    <row r="4" spans="1:9" ht="15" customHeight="1" x14ac:dyDescent="0.25">
      <c r="A4" t="s">
        <v>5921</v>
      </c>
      <c r="B4">
        <v>6</v>
      </c>
      <c r="C4" t="s">
        <v>7118</v>
      </c>
      <c r="D4" t="s">
        <v>7119</v>
      </c>
      <c r="E4" t="s">
        <v>7120</v>
      </c>
      <c r="F4" t="s">
        <v>7120</v>
      </c>
      <c r="G4" t="s">
        <v>7121</v>
      </c>
      <c r="H4" t="s">
        <v>5949</v>
      </c>
      <c r="I4" t="s">
        <v>2361</v>
      </c>
    </row>
    <row r="5" spans="1:9" ht="15" customHeight="1" x14ac:dyDescent="0.25">
      <c r="A5" t="s">
        <v>5962</v>
      </c>
      <c r="B5">
        <v>6</v>
      </c>
      <c r="C5" t="s">
        <v>7122</v>
      </c>
      <c r="D5" t="s">
        <v>7123</v>
      </c>
      <c r="E5" t="s">
        <v>7124</v>
      </c>
      <c r="F5" t="s">
        <v>7124</v>
      </c>
      <c r="G5" t="s">
        <v>7125</v>
      </c>
      <c r="H5" t="s">
        <v>5949</v>
      </c>
      <c r="I5" t="s">
        <v>2361</v>
      </c>
    </row>
    <row r="6" spans="1:9" ht="15" customHeight="1" x14ac:dyDescent="0.25">
      <c r="A6" t="s">
        <v>6008</v>
      </c>
      <c r="B6">
        <v>6</v>
      </c>
      <c r="C6" t="s">
        <v>7126</v>
      </c>
      <c r="D6" t="s">
        <v>7126</v>
      </c>
      <c r="E6" t="s">
        <v>7120</v>
      </c>
      <c r="F6" t="s">
        <v>7120</v>
      </c>
      <c r="G6" t="s">
        <v>7121</v>
      </c>
      <c r="H6" t="s">
        <v>7121</v>
      </c>
      <c r="I6" t="s">
        <v>2361</v>
      </c>
    </row>
    <row r="7" spans="1:9" ht="15" customHeight="1" x14ac:dyDescent="0.25">
      <c r="A7" t="s">
        <v>6031</v>
      </c>
      <c r="B7">
        <v>6</v>
      </c>
      <c r="C7" t="s">
        <v>7127</v>
      </c>
      <c r="D7" t="s">
        <v>7115</v>
      </c>
      <c r="E7" t="s">
        <v>5949</v>
      </c>
      <c r="F7" t="s">
        <v>5949</v>
      </c>
      <c r="G7" t="s">
        <v>7128</v>
      </c>
      <c r="H7" t="s">
        <v>5949</v>
      </c>
      <c r="I7" t="s">
        <v>2361</v>
      </c>
    </row>
    <row r="8" spans="1:9" ht="15" customHeight="1" x14ac:dyDescent="0.25">
      <c r="A8" t="s">
        <v>6036</v>
      </c>
      <c r="B8">
        <v>6</v>
      </c>
      <c r="C8" t="s">
        <v>7129</v>
      </c>
      <c r="D8" t="s">
        <v>7130</v>
      </c>
      <c r="E8" t="s">
        <v>7131</v>
      </c>
      <c r="F8" t="s">
        <v>7131</v>
      </c>
      <c r="G8" t="s">
        <v>7119</v>
      </c>
      <c r="H8" t="s">
        <v>5949</v>
      </c>
      <c r="I8" t="s">
        <v>2361</v>
      </c>
    </row>
    <row r="9" spans="1:9" ht="15" customHeight="1" x14ac:dyDescent="0.25">
      <c r="A9" t="s">
        <v>6055</v>
      </c>
      <c r="B9">
        <v>6</v>
      </c>
      <c r="C9" t="s">
        <v>7124</v>
      </c>
      <c r="D9" t="s">
        <v>7132</v>
      </c>
      <c r="E9" t="s">
        <v>7133</v>
      </c>
      <c r="F9" t="s">
        <v>7133</v>
      </c>
      <c r="G9" t="s">
        <v>7132</v>
      </c>
      <c r="H9" t="s">
        <v>5949</v>
      </c>
      <c r="I9" t="s">
        <v>2361</v>
      </c>
    </row>
    <row r="10" spans="1:9" ht="15" customHeight="1" x14ac:dyDescent="0.25">
      <c r="A10" t="s">
        <v>5690</v>
      </c>
      <c r="B10">
        <v>6</v>
      </c>
      <c r="C10" t="s">
        <v>7134</v>
      </c>
      <c r="D10" t="s">
        <v>7135</v>
      </c>
      <c r="E10" t="s">
        <v>7136</v>
      </c>
      <c r="F10" t="s">
        <v>7137</v>
      </c>
      <c r="G10" t="s">
        <v>7138</v>
      </c>
      <c r="H10" t="s">
        <v>7139</v>
      </c>
      <c r="I10" t="s">
        <v>160</v>
      </c>
    </row>
    <row r="11" spans="1:9" ht="15" customHeight="1" x14ac:dyDescent="0.25">
      <c r="A11" t="s">
        <v>6101</v>
      </c>
      <c r="B11">
        <v>6</v>
      </c>
      <c r="C11" t="s">
        <v>7114</v>
      </c>
      <c r="D11" t="s">
        <v>7140</v>
      </c>
      <c r="E11" t="s">
        <v>7141</v>
      </c>
      <c r="F11" t="s">
        <v>7141</v>
      </c>
      <c r="G11" t="s">
        <v>7142</v>
      </c>
      <c r="H11" t="s">
        <v>5949</v>
      </c>
      <c r="I11" t="s">
        <v>2361</v>
      </c>
    </row>
    <row r="12" spans="1:9" ht="15" customHeight="1" x14ac:dyDescent="0.25">
      <c r="A12" t="s">
        <v>6108</v>
      </c>
      <c r="B12">
        <v>6</v>
      </c>
      <c r="C12" t="s">
        <v>7143</v>
      </c>
      <c r="D12" t="s">
        <v>7143</v>
      </c>
      <c r="E12" t="s">
        <v>7111</v>
      </c>
      <c r="F12" t="s">
        <v>7111</v>
      </c>
      <c r="G12" t="s">
        <v>7112</v>
      </c>
      <c r="H12" t="s">
        <v>5949</v>
      </c>
      <c r="I12" t="s">
        <v>2361</v>
      </c>
    </row>
    <row r="13" spans="1:9" ht="15" customHeight="1" x14ac:dyDescent="0.25">
      <c r="A13" t="s">
        <v>6109</v>
      </c>
      <c r="B13">
        <v>6</v>
      </c>
      <c r="C13" t="s">
        <v>7115</v>
      </c>
      <c r="D13" t="s">
        <v>5655</v>
      </c>
      <c r="E13" t="s">
        <v>5949</v>
      </c>
      <c r="F13" t="s">
        <v>5949</v>
      </c>
      <c r="G13" t="s">
        <v>5949</v>
      </c>
      <c r="H13" t="s">
        <v>5949</v>
      </c>
      <c r="I13" t="s">
        <v>2361</v>
      </c>
    </row>
    <row r="14" spans="1:9" ht="15" customHeight="1" x14ac:dyDescent="0.25">
      <c r="A14" t="s">
        <v>6128</v>
      </c>
      <c r="B14">
        <v>6</v>
      </c>
      <c r="C14" t="s">
        <v>7124</v>
      </c>
      <c r="D14" t="s">
        <v>7124</v>
      </c>
      <c r="E14" t="s">
        <v>7132</v>
      </c>
      <c r="F14" t="s">
        <v>7132</v>
      </c>
      <c r="G14" t="s">
        <v>5949</v>
      </c>
      <c r="H14" t="s">
        <v>5949</v>
      </c>
      <c r="I14" t="s">
        <v>2361</v>
      </c>
    </row>
    <row r="15" spans="1:9" ht="15" customHeight="1" x14ac:dyDescent="0.25">
      <c r="A15" t="s">
        <v>6145</v>
      </c>
      <c r="B15">
        <v>6</v>
      </c>
      <c r="C15" t="s">
        <v>7144</v>
      </c>
      <c r="D15" t="s">
        <v>7145</v>
      </c>
      <c r="E15" t="s">
        <v>7145</v>
      </c>
      <c r="F15" t="s">
        <v>7145</v>
      </c>
      <c r="G15" t="s">
        <v>7132</v>
      </c>
      <c r="H15" t="s">
        <v>5949</v>
      </c>
      <c r="I15" t="s">
        <v>2361</v>
      </c>
    </row>
    <row r="16" spans="1:9" ht="15" customHeight="1" x14ac:dyDescent="0.25">
      <c r="A16" t="s">
        <v>6214</v>
      </c>
      <c r="B16">
        <v>6</v>
      </c>
      <c r="C16" t="s">
        <v>7146</v>
      </c>
      <c r="D16" t="s">
        <v>7147</v>
      </c>
      <c r="E16" t="s">
        <v>7147</v>
      </c>
      <c r="F16" t="s">
        <v>7147</v>
      </c>
      <c r="G16" t="s">
        <v>7148</v>
      </c>
      <c r="H16" t="s">
        <v>5949</v>
      </c>
      <c r="I16" t="s">
        <v>2361</v>
      </c>
    </row>
    <row r="17" spans="1:9" ht="15" customHeight="1" x14ac:dyDescent="0.25">
      <c r="A17" t="s">
        <v>6291</v>
      </c>
      <c r="B17">
        <v>6</v>
      </c>
      <c r="C17" t="s">
        <v>7116</v>
      </c>
      <c r="D17" t="s">
        <v>7116</v>
      </c>
      <c r="E17" t="s">
        <v>7126</v>
      </c>
      <c r="F17" t="s">
        <v>7126</v>
      </c>
      <c r="G17" t="s">
        <v>7119</v>
      </c>
      <c r="H17" t="s">
        <v>7119</v>
      </c>
      <c r="I17" t="s">
        <v>2361</v>
      </c>
    </row>
    <row r="18" spans="1:9" ht="15" customHeight="1" x14ac:dyDescent="0.25">
      <c r="A18" t="s">
        <v>6348</v>
      </c>
      <c r="B18">
        <v>6</v>
      </c>
      <c r="C18" t="s">
        <v>7115</v>
      </c>
      <c r="D18" t="s">
        <v>7115</v>
      </c>
      <c r="E18" t="s">
        <v>7116</v>
      </c>
      <c r="F18" t="s">
        <v>7116</v>
      </c>
      <c r="G18" t="s">
        <v>7118</v>
      </c>
      <c r="H18" t="s">
        <v>7118</v>
      </c>
      <c r="I18" t="s">
        <v>2361</v>
      </c>
    </row>
    <row r="19" spans="1:9" ht="15" customHeight="1" x14ac:dyDescent="0.25">
      <c r="A19" t="s">
        <v>6352</v>
      </c>
      <c r="B19">
        <v>6</v>
      </c>
      <c r="C19" t="s">
        <v>5655</v>
      </c>
      <c r="D19" t="s">
        <v>7118</v>
      </c>
      <c r="E19" t="s">
        <v>7126</v>
      </c>
      <c r="F19" t="s">
        <v>7126</v>
      </c>
      <c r="G19" t="s">
        <v>7119</v>
      </c>
      <c r="H19" t="s">
        <v>7121</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7149</v>
      </c>
      <c r="D1" t="s">
        <v>171</v>
      </c>
      <c r="E1" t="s">
        <v>7150</v>
      </c>
    </row>
    <row r="2" spans="1:5" ht="15" customHeight="1" x14ac:dyDescent="0.25">
      <c r="A2" t="s">
        <v>7151</v>
      </c>
      <c r="B2">
        <v>2022</v>
      </c>
      <c r="C2" t="s">
        <v>2619</v>
      </c>
      <c r="D2" t="s">
        <v>7152</v>
      </c>
    </row>
    <row r="3" spans="1:5" ht="15" customHeight="1" x14ac:dyDescent="0.25">
      <c r="A3" t="s">
        <v>7153</v>
      </c>
      <c r="B3">
        <v>2022</v>
      </c>
      <c r="C3" t="s">
        <v>90</v>
      </c>
      <c r="D3" t="s">
        <v>7154</v>
      </c>
    </row>
    <row r="4" spans="1:5" ht="15" customHeight="1" x14ac:dyDescent="0.25">
      <c r="A4" t="s">
        <v>7155</v>
      </c>
      <c r="B4">
        <v>2024</v>
      </c>
      <c r="C4" t="s">
        <v>353</v>
      </c>
      <c r="D4" t="s">
        <v>7156</v>
      </c>
    </row>
    <row r="5" spans="1:5" ht="15" customHeight="1" x14ac:dyDescent="0.25">
      <c r="A5" t="s">
        <v>7157</v>
      </c>
      <c r="B5">
        <v>2020</v>
      </c>
      <c r="C5" t="s">
        <v>2132</v>
      </c>
      <c r="D5" t="s">
        <v>7158</v>
      </c>
    </row>
    <row r="6" spans="1:5" ht="15" customHeight="1" x14ac:dyDescent="0.25">
      <c r="A6" t="s">
        <v>7159</v>
      </c>
      <c r="B6">
        <v>2021</v>
      </c>
      <c r="C6" t="s">
        <v>2136</v>
      </c>
      <c r="D6" t="s">
        <v>7160</v>
      </c>
    </row>
    <row r="7" spans="1:5" ht="15" customHeight="1" x14ac:dyDescent="0.25">
      <c r="A7" t="s">
        <v>7161</v>
      </c>
      <c r="B7">
        <v>2024</v>
      </c>
      <c r="C7" t="s">
        <v>353</v>
      </c>
      <c r="D7" t="s">
        <v>7162</v>
      </c>
    </row>
    <row r="8" spans="1:5" x14ac:dyDescent="0.25">
      <c r="A8" t="s">
        <v>7163</v>
      </c>
      <c r="B8">
        <v>2024</v>
      </c>
      <c r="C8" t="s">
        <v>353</v>
      </c>
      <c r="E8" s="10" t="s">
        <v>7164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3456</v>
      </c>
      <c r="C1" t="s">
        <v>167</v>
      </c>
    </row>
    <row r="2" spans="1:3" ht="15" customHeight="1" x14ac:dyDescent="0.25">
      <c r="A2" t="s">
        <v>7165</v>
      </c>
      <c r="B2" t="s">
        <v>7166</v>
      </c>
      <c r="C2" t="s">
        <v>4017</v>
      </c>
    </row>
    <row r="3" spans="1:3" ht="15" customHeight="1" x14ac:dyDescent="0.25">
      <c r="A3" t="s">
        <v>7167</v>
      </c>
      <c r="B3" t="s">
        <v>7168</v>
      </c>
      <c r="C3" t="s">
        <v>4017</v>
      </c>
    </row>
    <row r="4" spans="1:3" ht="15" customHeight="1" x14ac:dyDescent="0.25">
      <c r="A4" t="s">
        <v>4390</v>
      </c>
      <c r="B4" t="s">
        <v>7169</v>
      </c>
      <c r="C4" t="s">
        <v>4034</v>
      </c>
    </row>
    <row r="5" spans="1:3" ht="15" customHeight="1" x14ac:dyDescent="0.25">
      <c r="A5" t="s">
        <v>3994</v>
      </c>
      <c r="B5" t="s">
        <v>7170</v>
      </c>
      <c r="C5" t="s">
        <v>4017</v>
      </c>
    </row>
    <row r="6" spans="1:3" ht="15" customHeight="1" x14ac:dyDescent="0.25">
      <c r="A6" t="s">
        <v>7171</v>
      </c>
      <c r="B6" t="s">
        <v>7172</v>
      </c>
      <c r="C6" t="s">
        <v>4034</v>
      </c>
    </row>
    <row r="7" spans="1:3" ht="15" customHeight="1" x14ac:dyDescent="0.25">
      <c r="A7" t="s">
        <v>7173</v>
      </c>
      <c r="B7" t="s">
        <v>7174</v>
      </c>
      <c r="C7" t="s">
        <v>4017</v>
      </c>
    </row>
    <row r="8" spans="1:3" ht="15" customHeight="1" x14ac:dyDescent="0.25">
      <c r="A8" t="s">
        <v>7175</v>
      </c>
      <c r="B8" t="s">
        <v>7176</v>
      </c>
      <c r="C8" t="s">
        <v>4017</v>
      </c>
    </row>
    <row r="9" spans="1:3" ht="15" customHeight="1" x14ac:dyDescent="0.25">
      <c r="A9" t="s">
        <v>7177</v>
      </c>
      <c r="B9" t="s">
        <v>7178</v>
      </c>
      <c r="C9" t="s">
        <v>4017</v>
      </c>
    </row>
    <row r="10" spans="1:3" ht="15" customHeight="1" x14ac:dyDescent="0.25">
      <c r="A10" t="s">
        <v>7179</v>
      </c>
      <c r="B10" t="s">
        <v>7180</v>
      </c>
      <c r="C10" t="s">
        <v>4045</v>
      </c>
    </row>
    <row r="11" spans="1:3" ht="15" customHeight="1" x14ac:dyDescent="0.25">
      <c r="A11" t="s">
        <v>7181</v>
      </c>
      <c r="B11" t="s">
        <v>7182</v>
      </c>
      <c r="C11" t="s">
        <v>4017</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7183</v>
      </c>
      <c r="C1" t="s">
        <v>4600</v>
      </c>
      <c r="D1" t="s">
        <v>7184</v>
      </c>
      <c r="E1" t="s">
        <v>3456</v>
      </c>
      <c r="F1" t="s">
        <v>167</v>
      </c>
    </row>
    <row r="2" spans="1:6" ht="15" customHeight="1" x14ac:dyDescent="0.25">
      <c r="A2" t="s">
        <v>7185</v>
      </c>
      <c r="B2" t="s">
        <v>5026</v>
      </c>
      <c r="C2" t="s">
        <v>4366</v>
      </c>
      <c r="D2" t="s">
        <v>7186</v>
      </c>
      <c r="E2" t="s">
        <v>7187</v>
      </c>
      <c r="F2" t="s">
        <v>7188</v>
      </c>
    </row>
    <row r="3" spans="1:6" ht="15" customHeight="1" x14ac:dyDescent="0.25">
      <c r="A3" t="s">
        <v>7189</v>
      </c>
      <c r="B3" t="s">
        <v>5026</v>
      </c>
      <c r="C3" t="s">
        <v>4370</v>
      </c>
      <c r="D3" t="s">
        <v>7186</v>
      </c>
      <c r="E3" t="s">
        <v>7190</v>
      </c>
      <c r="F3" t="s">
        <v>7188</v>
      </c>
    </row>
    <row r="4" spans="1:6" ht="15" customHeight="1" x14ac:dyDescent="0.25">
      <c r="A4" t="s">
        <v>7191</v>
      </c>
      <c r="B4" t="s">
        <v>5026</v>
      </c>
      <c r="C4" t="s">
        <v>5029</v>
      </c>
      <c r="D4" t="s">
        <v>7186</v>
      </c>
      <c r="E4" t="s">
        <v>7192</v>
      </c>
      <c r="F4" t="s">
        <v>7188</v>
      </c>
    </row>
    <row r="5" spans="1:6" ht="15" customHeight="1" x14ac:dyDescent="0.25">
      <c r="A5" t="s">
        <v>7193</v>
      </c>
      <c r="B5" t="s">
        <v>5026</v>
      </c>
      <c r="C5" t="s">
        <v>4366</v>
      </c>
      <c r="D5" t="s">
        <v>7186</v>
      </c>
      <c r="E5" t="s">
        <v>7194</v>
      </c>
      <c r="F5" t="s">
        <v>7188</v>
      </c>
    </row>
    <row r="6" spans="1:6" ht="15" customHeight="1" x14ac:dyDescent="0.25">
      <c r="A6" t="s">
        <v>7195</v>
      </c>
      <c r="B6" t="s">
        <v>5026</v>
      </c>
      <c r="C6" t="s">
        <v>4370</v>
      </c>
      <c r="D6" t="s">
        <v>7186</v>
      </c>
      <c r="E6" t="s">
        <v>7196</v>
      </c>
      <c r="F6" t="s">
        <v>7188</v>
      </c>
    </row>
    <row r="7" spans="1:6" ht="15" customHeight="1" x14ac:dyDescent="0.25">
      <c r="A7" t="s">
        <v>7197</v>
      </c>
      <c r="B7" t="s">
        <v>5026</v>
      </c>
      <c r="C7" t="s">
        <v>5029</v>
      </c>
      <c r="D7" t="s">
        <v>7186</v>
      </c>
      <c r="E7" t="s">
        <v>7198</v>
      </c>
      <c r="F7" t="s">
        <v>7188</v>
      </c>
    </row>
    <row r="8" spans="1:6" ht="15" customHeight="1" x14ac:dyDescent="0.25">
      <c r="A8" t="s">
        <v>7199</v>
      </c>
      <c r="B8" t="s">
        <v>5026</v>
      </c>
      <c r="C8" t="s">
        <v>4366</v>
      </c>
      <c r="D8" t="s">
        <v>7200</v>
      </c>
      <c r="E8" t="s">
        <v>7201</v>
      </c>
      <c r="F8" t="s">
        <v>7188</v>
      </c>
    </row>
    <row r="9" spans="1:6" ht="15" customHeight="1" x14ac:dyDescent="0.25">
      <c r="A9" t="s">
        <v>7202</v>
      </c>
      <c r="B9" t="s">
        <v>5026</v>
      </c>
      <c r="C9" t="s">
        <v>4370</v>
      </c>
      <c r="D9" t="s">
        <v>7186</v>
      </c>
      <c r="E9" t="s">
        <v>7201</v>
      </c>
      <c r="F9" t="s">
        <v>7188</v>
      </c>
    </row>
    <row r="10" spans="1:6" ht="15" customHeight="1" x14ac:dyDescent="0.25">
      <c r="A10" t="s">
        <v>7203</v>
      </c>
      <c r="B10" t="s">
        <v>5026</v>
      </c>
      <c r="C10" t="s">
        <v>5029</v>
      </c>
      <c r="D10" t="s">
        <v>7204</v>
      </c>
      <c r="E10" t="s">
        <v>7201</v>
      </c>
      <c r="F10" t="s">
        <v>7188</v>
      </c>
    </row>
    <row r="11" spans="1:6" ht="15" customHeight="1" x14ac:dyDescent="0.25">
      <c r="A11" t="s">
        <v>7205</v>
      </c>
      <c r="B11" t="s">
        <v>4002</v>
      </c>
      <c r="C11" t="s">
        <v>4366</v>
      </c>
      <c r="D11" t="s">
        <v>7200</v>
      </c>
      <c r="E11" t="s">
        <v>7206</v>
      </c>
      <c r="F11" t="s">
        <v>7188</v>
      </c>
    </row>
    <row r="12" spans="1:6" ht="15" customHeight="1" x14ac:dyDescent="0.25">
      <c r="A12" t="s">
        <v>7207</v>
      </c>
      <c r="B12" t="s">
        <v>4002</v>
      </c>
      <c r="C12" t="s">
        <v>4370</v>
      </c>
      <c r="D12" t="s">
        <v>7200</v>
      </c>
      <c r="E12" t="s">
        <v>7208</v>
      </c>
      <c r="F12" t="s">
        <v>7188</v>
      </c>
    </row>
    <row r="13" spans="1:6" ht="15" customHeight="1" x14ac:dyDescent="0.25">
      <c r="A13" t="s">
        <v>7209</v>
      </c>
      <c r="B13" t="s">
        <v>4002</v>
      </c>
      <c r="C13" t="s">
        <v>5029</v>
      </c>
      <c r="D13" t="s">
        <v>7200</v>
      </c>
      <c r="E13" t="s">
        <v>7210</v>
      </c>
      <c r="F13" t="s">
        <v>7188</v>
      </c>
    </row>
    <row r="14" spans="1:6" ht="15" customHeight="1" x14ac:dyDescent="0.25">
      <c r="A14" t="s">
        <v>7211</v>
      </c>
      <c r="B14" t="s">
        <v>6871</v>
      </c>
      <c r="C14" t="s">
        <v>4366</v>
      </c>
      <c r="D14" t="s">
        <v>7212</v>
      </c>
      <c r="E14" t="s">
        <v>7213</v>
      </c>
      <c r="F14" t="s">
        <v>3835</v>
      </c>
    </row>
    <row r="15" spans="1:6" ht="15" customHeight="1" x14ac:dyDescent="0.25">
      <c r="A15" t="s">
        <v>7214</v>
      </c>
      <c r="B15" t="s">
        <v>6871</v>
      </c>
      <c r="C15" t="s">
        <v>4370</v>
      </c>
      <c r="D15" t="s">
        <v>7215</v>
      </c>
      <c r="E15" t="s">
        <v>7213</v>
      </c>
      <c r="F15" t="s">
        <v>3835</v>
      </c>
    </row>
    <row r="16" spans="1:6" ht="15" customHeight="1" x14ac:dyDescent="0.25">
      <c r="A16" t="s">
        <v>7216</v>
      </c>
      <c r="B16" t="s">
        <v>6871</v>
      </c>
      <c r="C16" t="s">
        <v>5029</v>
      </c>
      <c r="D16" t="s">
        <v>7217</v>
      </c>
      <c r="E16" t="s">
        <v>7213</v>
      </c>
      <c r="F16" t="s">
        <v>3835</v>
      </c>
    </row>
    <row r="17" spans="1:6" ht="15" customHeight="1" x14ac:dyDescent="0.25">
      <c r="A17" t="s">
        <v>7218</v>
      </c>
      <c r="B17" t="s">
        <v>6871</v>
      </c>
      <c r="C17" t="s">
        <v>4366</v>
      </c>
      <c r="D17" t="s">
        <v>7219</v>
      </c>
      <c r="E17" t="s">
        <v>7220</v>
      </c>
      <c r="F17" t="s">
        <v>7221</v>
      </c>
    </row>
    <row r="18" spans="1:6" ht="15" customHeight="1" x14ac:dyDescent="0.25">
      <c r="A18" t="s">
        <v>7222</v>
      </c>
      <c r="B18" t="s">
        <v>6871</v>
      </c>
      <c r="C18" t="s">
        <v>4370</v>
      </c>
      <c r="D18" t="s">
        <v>7219</v>
      </c>
      <c r="E18" t="s">
        <v>7223</v>
      </c>
      <c r="F18" t="s">
        <v>7221</v>
      </c>
    </row>
    <row r="19" spans="1:6" ht="15" customHeight="1" x14ac:dyDescent="0.25">
      <c r="A19" t="s">
        <v>7224</v>
      </c>
      <c r="B19" t="s">
        <v>6871</v>
      </c>
      <c r="C19" t="s">
        <v>5029</v>
      </c>
      <c r="D19" t="s">
        <v>7219</v>
      </c>
      <c r="E19" t="s">
        <v>7225</v>
      </c>
      <c r="F19" t="s">
        <v>7221</v>
      </c>
    </row>
    <row r="20" spans="1:6" ht="15" customHeight="1" x14ac:dyDescent="0.25">
      <c r="A20" t="s">
        <v>7226</v>
      </c>
      <c r="B20" t="s">
        <v>6871</v>
      </c>
      <c r="C20" t="s">
        <v>4366</v>
      </c>
      <c r="D20" t="s">
        <v>7227</v>
      </c>
      <c r="E20" t="s">
        <v>7228</v>
      </c>
      <c r="F20" t="s">
        <v>7221</v>
      </c>
    </row>
    <row r="21" spans="1:6" ht="15" customHeight="1" x14ac:dyDescent="0.25">
      <c r="A21" t="s">
        <v>7229</v>
      </c>
      <c r="B21" t="s">
        <v>6871</v>
      </c>
      <c r="C21" t="s">
        <v>4370</v>
      </c>
      <c r="D21" t="s">
        <v>7230</v>
      </c>
      <c r="E21" t="s">
        <v>7228</v>
      </c>
      <c r="F21" t="s">
        <v>7221</v>
      </c>
    </row>
    <row r="22" spans="1:6" ht="15" customHeight="1" x14ac:dyDescent="0.25">
      <c r="A22" t="s">
        <v>7231</v>
      </c>
      <c r="B22" t="s">
        <v>6871</v>
      </c>
      <c r="C22" t="s">
        <v>5029</v>
      </c>
      <c r="D22" t="s">
        <v>7232</v>
      </c>
      <c r="E22" t="s">
        <v>7228</v>
      </c>
      <c r="F22" t="s">
        <v>7221</v>
      </c>
    </row>
    <row r="23" spans="1:6" ht="15" customHeight="1" x14ac:dyDescent="0.25">
      <c r="A23" t="s">
        <v>7233</v>
      </c>
      <c r="B23" t="s">
        <v>3985</v>
      </c>
      <c r="C23" t="s">
        <v>4366</v>
      </c>
      <c r="D23" t="s">
        <v>7212</v>
      </c>
      <c r="E23" t="s">
        <v>7234</v>
      </c>
      <c r="F23" t="s">
        <v>3835</v>
      </c>
    </row>
    <row r="24" spans="1:6" ht="15" customHeight="1" x14ac:dyDescent="0.25">
      <c r="A24" t="s">
        <v>7235</v>
      </c>
      <c r="B24" t="s">
        <v>3985</v>
      </c>
      <c r="C24" t="s">
        <v>4370</v>
      </c>
      <c r="D24" t="s">
        <v>7212</v>
      </c>
      <c r="E24" t="s">
        <v>7236</v>
      </c>
      <c r="F24" t="s">
        <v>3835</v>
      </c>
    </row>
    <row r="25" spans="1:6" ht="15" customHeight="1" x14ac:dyDescent="0.25">
      <c r="A25" t="s">
        <v>7237</v>
      </c>
      <c r="B25" t="s">
        <v>3985</v>
      </c>
      <c r="C25" t="s">
        <v>5029</v>
      </c>
      <c r="D25" t="s">
        <v>7212</v>
      </c>
      <c r="E25" t="s">
        <v>7238</v>
      </c>
      <c r="F25" t="s">
        <v>3835</v>
      </c>
    </row>
    <row r="26" spans="1:6" ht="15" customHeight="1" x14ac:dyDescent="0.25">
      <c r="A26" t="s">
        <v>7239</v>
      </c>
      <c r="B26" t="s">
        <v>3985</v>
      </c>
      <c r="C26" t="s">
        <v>4366</v>
      </c>
      <c r="D26" t="s">
        <v>7240</v>
      </c>
      <c r="E26" t="s">
        <v>7241</v>
      </c>
      <c r="F26" t="s">
        <v>7221</v>
      </c>
    </row>
    <row r="27" spans="1:6" ht="15" customHeight="1" x14ac:dyDescent="0.25">
      <c r="A27" t="s">
        <v>7242</v>
      </c>
      <c r="B27" t="s">
        <v>3985</v>
      </c>
      <c r="C27" t="s">
        <v>4370</v>
      </c>
      <c r="D27" t="s">
        <v>7243</v>
      </c>
      <c r="E27" t="s">
        <v>7241</v>
      </c>
      <c r="F27" t="s">
        <v>7221</v>
      </c>
    </row>
    <row r="28" spans="1:6" ht="15" customHeight="1" x14ac:dyDescent="0.25">
      <c r="A28" t="s">
        <v>7244</v>
      </c>
      <c r="B28" t="s">
        <v>3985</v>
      </c>
      <c r="C28" t="s">
        <v>5029</v>
      </c>
      <c r="D28" t="s">
        <v>7245</v>
      </c>
      <c r="E28" t="s">
        <v>7241</v>
      </c>
      <c r="F28" t="s">
        <v>7221</v>
      </c>
    </row>
    <row r="29" spans="1:6" ht="15" customHeight="1" x14ac:dyDescent="0.25">
      <c r="A29" t="s">
        <v>7246</v>
      </c>
      <c r="B29" t="s">
        <v>3985</v>
      </c>
      <c r="C29" t="s">
        <v>4366</v>
      </c>
      <c r="D29" t="s">
        <v>7247</v>
      </c>
      <c r="E29" t="s">
        <v>7248</v>
      </c>
      <c r="F29" t="s">
        <v>7221</v>
      </c>
    </row>
    <row r="30" spans="1:6" ht="15" customHeight="1" x14ac:dyDescent="0.25">
      <c r="A30" t="s">
        <v>7249</v>
      </c>
      <c r="B30" t="s">
        <v>3985</v>
      </c>
      <c r="C30" t="s">
        <v>4370</v>
      </c>
      <c r="D30" t="s">
        <v>7250</v>
      </c>
      <c r="E30" t="s">
        <v>7248</v>
      </c>
      <c r="F30" t="s">
        <v>7221</v>
      </c>
    </row>
    <row r="31" spans="1:6" ht="15" customHeight="1" x14ac:dyDescent="0.25">
      <c r="A31" t="s">
        <v>7251</v>
      </c>
      <c r="B31" t="s">
        <v>3985</v>
      </c>
      <c r="C31" t="s">
        <v>5029</v>
      </c>
      <c r="D31" t="s">
        <v>7252</v>
      </c>
      <c r="E31" t="s">
        <v>7248</v>
      </c>
      <c r="F31" t="s">
        <v>7221</v>
      </c>
    </row>
    <row r="32" spans="1:6" ht="15" customHeight="1" x14ac:dyDescent="0.25">
      <c r="A32" t="s">
        <v>7253</v>
      </c>
      <c r="B32" t="s">
        <v>4002</v>
      </c>
      <c r="C32" t="s">
        <v>4366</v>
      </c>
      <c r="D32" t="s">
        <v>7254</v>
      </c>
      <c r="E32" t="s">
        <v>7255</v>
      </c>
      <c r="F32" t="s">
        <v>7221</v>
      </c>
    </row>
    <row r="33" spans="1:6" ht="15" customHeight="1" x14ac:dyDescent="0.25">
      <c r="A33" t="s">
        <v>7256</v>
      </c>
      <c r="B33" t="s">
        <v>4002</v>
      </c>
      <c r="C33" t="s">
        <v>4370</v>
      </c>
      <c r="D33" t="s">
        <v>7254</v>
      </c>
      <c r="E33" t="s">
        <v>7255</v>
      </c>
      <c r="F33" t="s">
        <v>7221</v>
      </c>
    </row>
    <row r="34" spans="1:6" ht="15" customHeight="1" x14ac:dyDescent="0.25">
      <c r="A34" t="s">
        <v>7257</v>
      </c>
      <c r="B34" t="s">
        <v>4002</v>
      </c>
      <c r="C34" t="s">
        <v>5029</v>
      </c>
      <c r="D34" t="s">
        <v>7254</v>
      </c>
      <c r="E34" t="s">
        <v>7255</v>
      </c>
      <c r="F34" t="s">
        <v>7221</v>
      </c>
    </row>
    <row r="35" spans="1:6" ht="15" customHeight="1" x14ac:dyDescent="0.25">
      <c r="A35" t="s">
        <v>7258</v>
      </c>
      <c r="B35" t="s">
        <v>5026</v>
      </c>
      <c r="C35" t="s">
        <v>4366</v>
      </c>
      <c r="D35" t="s">
        <v>7200</v>
      </c>
      <c r="E35" t="s">
        <v>7259</v>
      </c>
      <c r="F35" t="s">
        <v>7188</v>
      </c>
    </row>
    <row r="36" spans="1:6" ht="15" customHeight="1" x14ac:dyDescent="0.25">
      <c r="A36" t="s">
        <v>7260</v>
      </c>
      <c r="B36" t="s">
        <v>5026</v>
      </c>
      <c r="C36" t="s">
        <v>4370</v>
      </c>
      <c r="D36" t="s">
        <v>7186</v>
      </c>
      <c r="E36" t="s">
        <v>7259</v>
      </c>
      <c r="F36" t="s">
        <v>7188</v>
      </c>
    </row>
    <row r="37" spans="1:6" ht="15" customHeight="1" x14ac:dyDescent="0.25">
      <c r="A37" t="s">
        <v>7261</v>
      </c>
      <c r="B37" t="s">
        <v>5026</v>
      </c>
      <c r="C37" t="s">
        <v>5029</v>
      </c>
      <c r="D37" t="s">
        <v>7204</v>
      </c>
      <c r="E37" t="s">
        <v>7259</v>
      </c>
      <c r="F37" t="s">
        <v>7188</v>
      </c>
    </row>
    <row r="38" spans="1:6" ht="15" customHeight="1" x14ac:dyDescent="0.25">
      <c r="A38" t="s">
        <v>7262</v>
      </c>
      <c r="B38" t="s">
        <v>4002</v>
      </c>
      <c r="C38" t="s">
        <v>4366</v>
      </c>
      <c r="D38" t="s">
        <v>7200</v>
      </c>
      <c r="E38" t="s">
        <v>7263</v>
      </c>
      <c r="F38" t="s">
        <v>7188</v>
      </c>
    </row>
    <row r="39" spans="1:6" ht="15" customHeight="1" x14ac:dyDescent="0.25">
      <c r="A39" t="s">
        <v>7264</v>
      </c>
      <c r="B39" t="s">
        <v>4002</v>
      </c>
      <c r="C39" t="s">
        <v>4370</v>
      </c>
      <c r="D39" t="s">
        <v>7186</v>
      </c>
      <c r="E39" t="s">
        <v>7263</v>
      </c>
      <c r="F39" t="s">
        <v>7188</v>
      </c>
    </row>
    <row r="40" spans="1:6" ht="15" customHeight="1" x14ac:dyDescent="0.25">
      <c r="A40" t="s">
        <v>7265</v>
      </c>
      <c r="B40" t="s">
        <v>4002</v>
      </c>
      <c r="C40" t="s">
        <v>5029</v>
      </c>
      <c r="D40" t="s">
        <v>7204</v>
      </c>
      <c r="E40" t="s">
        <v>7263</v>
      </c>
      <c r="F40" t="s">
        <v>7188</v>
      </c>
    </row>
    <row r="41" spans="1:6" ht="15" customHeight="1" x14ac:dyDescent="0.25">
      <c r="A41" t="s">
        <v>7266</v>
      </c>
      <c r="B41" t="s">
        <v>5026</v>
      </c>
      <c r="C41" t="s">
        <v>4366</v>
      </c>
      <c r="D41" t="s">
        <v>7204</v>
      </c>
      <c r="E41" t="s">
        <v>7267</v>
      </c>
      <c r="F41" t="s">
        <v>7188</v>
      </c>
    </row>
    <row r="42" spans="1:6" ht="15" customHeight="1" x14ac:dyDescent="0.25">
      <c r="A42" t="s">
        <v>7268</v>
      </c>
      <c r="B42" t="s">
        <v>5026</v>
      </c>
      <c r="C42" t="s">
        <v>4370</v>
      </c>
      <c r="D42" t="s">
        <v>7204</v>
      </c>
      <c r="E42" t="s">
        <v>7269</v>
      </c>
      <c r="F42" t="s">
        <v>7188</v>
      </c>
    </row>
    <row r="43" spans="1:6" ht="15" customHeight="1" x14ac:dyDescent="0.25">
      <c r="A43" t="s">
        <v>7270</v>
      </c>
      <c r="B43" t="s">
        <v>5026</v>
      </c>
      <c r="C43" t="s">
        <v>5029</v>
      </c>
      <c r="D43" t="s">
        <v>7204</v>
      </c>
      <c r="E43" t="s">
        <v>7271</v>
      </c>
      <c r="F43" t="s">
        <v>7188</v>
      </c>
    </row>
    <row r="44" spans="1:6" ht="15" customHeight="1" x14ac:dyDescent="0.25">
      <c r="A44" t="s">
        <v>7272</v>
      </c>
      <c r="B44" t="s">
        <v>6871</v>
      </c>
      <c r="C44" t="s">
        <v>4366</v>
      </c>
      <c r="D44" t="s">
        <v>7200</v>
      </c>
      <c r="E44" t="s">
        <v>7273</v>
      </c>
      <c r="F44" t="s">
        <v>7188</v>
      </c>
    </row>
    <row r="45" spans="1:6" ht="15" customHeight="1" x14ac:dyDescent="0.25">
      <c r="A45" t="s">
        <v>7274</v>
      </c>
      <c r="B45" t="s">
        <v>6871</v>
      </c>
      <c r="C45" t="s">
        <v>4370</v>
      </c>
      <c r="D45" t="s">
        <v>7186</v>
      </c>
      <c r="E45" t="s">
        <v>7273</v>
      </c>
      <c r="F45" t="s">
        <v>7188</v>
      </c>
    </row>
    <row r="46" spans="1:6" ht="15" customHeight="1" x14ac:dyDescent="0.25">
      <c r="A46" t="s">
        <v>7275</v>
      </c>
      <c r="B46" t="s">
        <v>6871</v>
      </c>
      <c r="C46" t="s">
        <v>5029</v>
      </c>
      <c r="D46" t="s">
        <v>7204</v>
      </c>
      <c r="E46" t="s">
        <v>7273</v>
      </c>
      <c r="F46" t="s">
        <v>7188</v>
      </c>
    </row>
    <row r="47" spans="1:6" ht="15" customHeight="1" x14ac:dyDescent="0.25">
      <c r="A47" t="s">
        <v>7276</v>
      </c>
      <c r="B47" t="s">
        <v>3985</v>
      </c>
      <c r="C47" t="s">
        <v>4366</v>
      </c>
      <c r="D47" t="s">
        <v>7247</v>
      </c>
      <c r="E47" t="s">
        <v>7277</v>
      </c>
      <c r="F47" t="s">
        <v>7221</v>
      </c>
    </row>
    <row r="48" spans="1:6" ht="15" customHeight="1" x14ac:dyDescent="0.25">
      <c r="A48" t="s">
        <v>7278</v>
      </c>
      <c r="B48" t="s">
        <v>3985</v>
      </c>
      <c r="C48" t="s">
        <v>4370</v>
      </c>
      <c r="D48" t="s">
        <v>7250</v>
      </c>
      <c r="E48" t="s">
        <v>7279</v>
      </c>
      <c r="F48" t="s">
        <v>7221</v>
      </c>
    </row>
    <row r="49" spans="1:6" ht="15" customHeight="1" x14ac:dyDescent="0.25">
      <c r="A49" t="s">
        <v>7280</v>
      </c>
      <c r="B49" t="s">
        <v>3985</v>
      </c>
      <c r="C49" t="s">
        <v>5029</v>
      </c>
      <c r="D49" t="s">
        <v>7252</v>
      </c>
      <c r="E49" t="s">
        <v>7281</v>
      </c>
      <c r="F49" t="s">
        <v>7221</v>
      </c>
    </row>
    <row r="50" spans="1:6" ht="15" customHeight="1" x14ac:dyDescent="0.25">
      <c r="A50" t="s">
        <v>7282</v>
      </c>
      <c r="B50" t="s">
        <v>4002</v>
      </c>
      <c r="C50" t="s">
        <v>4366</v>
      </c>
      <c r="D50" t="s">
        <v>7200</v>
      </c>
      <c r="E50" t="s">
        <v>7283</v>
      </c>
      <c r="F50" t="s">
        <v>7188</v>
      </c>
    </row>
    <row r="51" spans="1:6" ht="15" customHeight="1" x14ac:dyDescent="0.25">
      <c r="A51" t="s">
        <v>7284</v>
      </c>
      <c r="B51" t="s">
        <v>4002</v>
      </c>
      <c r="C51" t="s">
        <v>4370</v>
      </c>
      <c r="D51" t="s">
        <v>7186</v>
      </c>
      <c r="E51" t="s">
        <v>7283</v>
      </c>
      <c r="F51" t="s">
        <v>7188</v>
      </c>
    </row>
    <row r="52" spans="1:6" ht="15" customHeight="1" x14ac:dyDescent="0.25">
      <c r="A52" t="s">
        <v>7285</v>
      </c>
      <c r="B52" t="s">
        <v>4002</v>
      </c>
      <c r="C52" t="s">
        <v>5029</v>
      </c>
      <c r="D52" t="s">
        <v>7204</v>
      </c>
      <c r="E52" t="s">
        <v>7283</v>
      </c>
      <c r="F52" t="s">
        <v>7188</v>
      </c>
    </row>
    <row r="53" spans="1:6" ht="15" customHeight="1" x14ac:dyDescent="0.25">
      <c r="A53" t="s">
        <v>7286</v>
      </c>
      <c r="B53" t="s">
        <v>3985</v>
      </c>
      <c r="C53" t="s">
        <v>4366</v>
      </c>
      <c r="D53" t="s">
        <v>7287</v>
      </c>
      <c r="E53" t="s">
        <v>7288</v>
      </c>
      <c r="F53" t="s">
        <v>7221</v>
      </c>
    </row>
    <row r="54" spans="1:6" ht="15" customHeight="1" x14ac:dyDescent="0.25">
      <c r="A54" t="s">
        <v>7289</v>
      </c>
      <c r="B54" t="s">
        <v>3985</v>
      </c>
      <c r="C54" t="s">
        <v>4370</v>
      </c>
      <c r="D54" t="s">
        <v>7290</v>
      </c>
      <c r="E54" t="s">
        <v>7288</v>
      </c>
      <c r="F54" t="s">
        <v>7221</v>
      </c>
    </row>
    <row r="55" spans="1:6" ht="15" customHeight="1" x14ac:dyDescent="0.25">
      <c r="A55" t="s">
        <v>7291</v>
      </c>
      <c r="B55" t="s">
        <v>3985</v>
      </c>
      <c r="C55" t="s">
        <v>5029</v>
      </c>
      <c r="D55" t="s">
        <v>7292</v>
      </c>
      <c r="E55" t="s">
        <v>7288</v>
      </c>
      <c r="F55" t="s">
        <v>7221</v>
      </c>
    </row>
    <row r="56" spans="1:6" ht="15" customHeight="1" x14ac:dyDescent="0.25">
      <c r="A56" t="s">
        <v>7293</v>
      </c>
      <c r="B56" t="s">
        <v>5026</v>
      </c>
      <c r="C56" t="s">
        <v>4366</v>
      </c>
      <c r="D56" t="s">
        <v>7294</v>
      </c>
      <c r="E56" t="s">
        <v>7295</v>
      </c>
      <c r="F56" t="s">
        <v>7221</v>
      </c>
    </row>
    <row r="57" spans="1:6" ht="15" customHeight="1" x14ac:dyDescent="0.25">
      <c r="A57" t="s">
        <v>7296</v>
      </c>
      <c r="B57" t="s">
        <v>5026</v>
      </c>
      <c r="C57" t="s">
        <v>4370</v>
      </c>
      <c r="D57" t="s">
        <v>7297</v>
      </c>
      <c r="E57" t="s">
        <v>7295</v>
      </c>
      <c r="F57" t="s">
        <v>7221</v>
      </c>
    </row>
    <row r="58" spans="1:6" ht="15" customHeight="1" x14ac:dyDescent="0.25">
      <c r="A58" t="s">
        <v>7298</v>
      </c>
      <c r="B58" t="s">
        <v>5026</v>
      </c>
      <c r="C58" t="s">
        <v>5029</v>
      </c>
      <c r="D58" t="s">
        <v>7299</v>
      </c>
      <c r="E58" t="s">
        <v>7295</v>
      </c>
      <c r="F58" t="s">
        <v>7221</v>
      </c>
    </row>
    <row r="59" spans="1:6" ht="15" customHeight="1" x14ac:dyDescent="0.25">
      <c r="A59" t="s">
        <v>7300</v>
      </c>
      <c r="B59" t="s">
        <v>5026</v>
      </c>
      <c r="C59" t="s">
        <v>4366</v>
      </c>
      <c r="D59" t="s">
        <v>7200</v>
      </c>
      <c r="E59" t="s">
        <v>7301</v>
      </c>
      <c r="F59" t="s">
        <v>3835</v>
      </c>
    </row>
    <row r="60" spans="1:6" ht="15" customHeight="1" x14ac:dyDescent="0.25">
      <c r="A60" t="s">
        <v>7302</v>
      </c>
      <c r="B60" t="s">
        <v>5026</v>
      </c>
      <c r="C60" t="s">
        <v>4370</v>
      </c>
      <c r="D60" t="s">
        <v>7186</v>
      </c>
      <c r="E60" t="s">
        <v>7301</v>
      </c>
      <c r="F60" t="s">
        <v>3835</v>
      </c>
    </row>
    <row r="61" spans="1:6" ht="15" customHeight="1" x14ac:dyDescent="0.25">
      <c r="A61" t="s">
        <v>7303</v>
      </c>
      <c r="B61" t="s">
        <v>5026</v>
      </c>
      <c r="C61" t="s">
        <v>5029</v>
      </c>
      <c r="D61" t="s">
        <v>7204</v>
      </c>
      <c r="E61" t="s">
        <v>7301</v>
      </c>
      <c r="F61" t="s">
        <v>3835</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3741</v>
      </c>
      <c r="B1" t="s">
        <v>3737</v>
      </c>
    </row>
    <row r="2" spans="1:2" ht="15" customHeight="1" x14ac:dyDescent="0.25">
      <c r="A2" t="s">
        <v>7304</v>
      </c>
      <c r="B2" t="s">
        <v>4948</v>
      </c>
    </row>
    <row r="3" spans="1:2" ht="15" customHeight="1" x14ac:dyDescent="0.25">
      <c r="A3" t="s">
        <v>7305</v>
      </c>
      <c r="B3" t="s">
        <v>4948</v>
      </c>
    </row>
    <row r="4" spans="1:2" ht="15" customHeight="1" x14ac:dyDescent="0.25">
      <c r="A4" t="s">
        <v>7306</v>
      </c>
      <c r="B4" t="s">
        <v>4948</v>
      </c>
    </row>
    <row r="5" spans="1:2" ht="15" customHeight="1" x14ac:dyDescent="0.25">
      <c r="A5" t="s">
        <v>7307</v>
      </c>
      <c r="B5" t="s">
        <v>4948</v>
      </c>
    </row>
    <row r="6" spans="1:2" ht="15" customHeight="1" x14ac:dyDescent="0.25">
      <c r="A6" t="s">
        <v>3960</v>
      </c>
      <c r="B6" t="s">
        <v>4948</v>
      </c>
    </row>
    <row r="7" spans="1:2" ht="15" customHeight="1" x14ac:dyDescent="0.25">
      <c r="A7" t="s">
        <v>7308</v>
      </c>
      <c r="B7" t="s">
        <v>4948</v>
      </c>
    </row>
    <row r="8" spans="1:2" ht="15" customHeight="1" x14ac:dyDescent="0.25">
      <c r="A8" t="s">
        <v>7309</v>
      </c>
      <c r="B8" t="s">
        <v>4948</v>
      </c>
    </row>
    <row r="9" spans="1:2" ht="15" customHeight="1" x14ac:dyDescent="0.25">
      <c r="A9" t="s">
        <v>7310</v>
      </c>
      <c r="B9" t="s">
        <v>4948</v>
      </c>
    </row>
    <row r="10" spans="1:2" ht="15" customHeight="1" x14ac:dyDescent="0.25">
      <c r="A10" t="s">
        <v>7311</v>
      </c>
      <c r="B10" t="s">
        <v>4948</v>
      </c>
    </row>
    <row r="11" spans="1:2" ht="15" customHeight="1" x14ac:dyDescent="0.25">
      <c r="A11" t="s">
        <v>7312</v>
      </c>
      <c r="B11" t="s">
        <v>4948</v>
      </c>
    </row>
    <row r="12" spans="1:2" ht="15" customHeight="1" x14ac:dyDescent="0.25">
      <c r="A12" t="s">
        <v>7313</v>
      </c>
      <c r="B12" t="s">
        <v>4375</v>
      </c>
    </row>
    <row r="13" spans="1:2" ht="15" customHeight="1" x14ac:dyDescent="0.25">
      <c r="A13" t="s">
        <v>7314</v>
      </c>
      <c r="B13" t="s">
        <v>4375</v>
      </c>
    </row>
    <row r="14" spans="1:2" ht="15" customHeight="1" x14ac:dyDescent="0.25">
      <c r="A14" t="s">
        <v>7315</v>
      </c>
      <c r="B14" t="s">
        <v>4375</v>
      </c>
    </row>
    <row r="15" spans="1:2" ht="15" customHeight="1" x14ac:dyDescent="0.25">
      <c r="A15" t="s">
        <v>7316</v>
      </c>
      <c r="B15" t="s">
        <v>4375</v>
      </c>
    </row>
    <row r="16" spans="1:2" ht="15" customHeight="1" x14ac:dyDescent="0.25">
      <c r="A16" t="s">
        <v>7317</v>
      </c>
      <c r="B16" t="s">
        <v>4375</v>
      </c>
    </row>
    <row r="17" spans="1:2" ht="15" customHeight="1" x14ac:dyDescent="0.25">
      <c r="A17" t="s">
        <v>7318</v>
      </c>
      <c r="B17" t="s">
        <v>4375</v>
      </c>
    </row>
    <row r="18" spans="1:2" ht="15" customHeight="1" x14ac:dyDescent="0.25">
      <c r="A18" t="s">
        <v>7319</v>
      </c>
      <c r="B18" t="s">
        <v>7320</v>
      </c>
    </row>
    <row r="19" spans="1:2" ht="15" customHeight="1" x14ac:dyDescent="0.25">
      <c r="A19" t="s">
        <v>7321</v>
      </c>
      <c r="B19" t="s">
        <v>7320</v>
      </c>
    </row>
    <row r="20" spans="1:2" ht="15" customHeight="1" x14ac:dyDescent="0.25">
      <c r="A20" t="s">
        <v>7322</v>
      </c>
      <c r="B20" t="s">
        <v>7320</v>
      </c>
    </row>
    <row r="21" spans="1:2" ht="15" customHeight="1" x14ac:dyDescent="0.25">
      <c r="A21" t="s">
        <v>7323</v>
      </c>
      <c r="B21" t="s">
        <v>7320</v>
      </c>
    </row>
    <row r="22" spans="1:2" ht="15" customHeight="1" x14ac:dyDescent="0.25">
      <c r="A22" t="s">
        <v>7324</v>
      </c>
      <c r="B22" t="s">
        <v>7320</v>
      </c>
    </row>
    <row r="23" spans="1:2" ht="15" customHeight="1" x14ac:dyDescent="0.25">
      <c r="A23" t="s">
        <v>3957</v>
      </c>
      <c r="B23" t="s">
        <v>7320</v>
      </c>
    </row>
    <row r="24" spans="1:2" ht="15" customHeight="1" x14ac:dyDescent="0.25">
      <c r="A24" t="s">
        <v>7325</v>
      </c>
      <c r="B24" t="s">
        <v>7320</v>
      </c>
    </row>
    <row r="25" spans="1:2" ht="15" customHeight="1" x14ac:dyDescent="0.25">
      <c r="A25" t="s">
        <v>7326</v>
      </c>
      <c r="B25" t="s">
        <v>7320</v>
      </c>
    </row>
    <row r="26" spans="1:2" ht="15" customHeight="1" x14ac:dyDescent="0.25">
      <c r="A26" t="s">
        <v>7327</v>
      </c>
      <c r="B26" t="s">
        <v>7320</v>
      </c>
    </row>
    <row r="27" spans="1:2" ht="15" customHeight="1" x14ac:dyDescent="0.25">
      <c r="A27" t="s">
        <v>7328</v>
      </c>
      <c r="B27" t="s">
        <v>7320</v>
      </c>
    </row>
    <row r="28" spans="1:2" ht="15" customHeight="1" x14ac:dyDescent="0.25">
      <c r="A28" t="s">
        <v>7329</v>
      </c>
      <c r="B28" t="s">
        <v>7320</v>
      </c>
    </row>
    <row r="29" spans="1:2" ht="15" customHeight="1" x14ac:dyDescent="0.25">
      <c r="A29" t="s">
        <v>7330</v>
      </c>
      <c r="B29" t="s">
        <v>7320</v>
      </c>
    </row>
    <row r="30" spans="1:2" ht="15" customHeight="1" x14ac:dyDescent="0.25">
      <c r="A30" t="s">
        <v>7331</v>
      </c>
      <c r="B30" t="s">
        <v>7320</v>
      </c>
    </row>
    <row r="31" spans="1:2" ht="15" customHeight="1" x14ac:dyDescent="0.25">
      <c r="A31" t="s">
        <v>7332</v>
      </c>
      <c r="B31" t="s">
        <v>7320</v>
      </c>
    </row>
    <row r="32" spans="1:2" ht="15" customHeight="1" x14ac:dyDescent="0.25">
      <c r="A32" t="s">
        <v>7333</v>
      </c>
      <c r="B32" t="s">
        <v>7320</v>
      </c>
    </row>
    <row r="33" spans="1:2" ht="15" customHeight="1" x14ac:dyDescent="0.25">
      <c r="A33" t="s">
        <v>7334</v>
      </c>
      <c r="B33" t="s">
        <v>7320</v>
      </c>
    </row>
    <row r="34" spans="1:2" ht="15" customHeight="1" x14ac:dyDescent="0.25">
      <c r="A34" t="s">
        <v>7335</v>
      </c>
      <c r="B34" t="s">
        <v>7320</v>
      </c>
    </row>
    <row r="35" spans="1:2" ht="15" customHeight="1" x14ac:dyDescent="0.25">
      <c r="A35" t="s">
        <v>7336</v>
      </c>
      <c r="B35" t="s">
        <v>7320</v>
      </c>
    </row>
    <row r="36" spans="1:2" ht="15" customHeight="1" x14ac:dyDescent="0.25">
      <c r="A36" t="s">
        <v>7337</v>
      </c>
      <c r="B36" t="s">
        <v>7320</v>
      </c>
    </row>
    <row r="37" spans="1:2" ht="15" customHeight="1" x14ac:dyDescent="0.25">
      <c r="A37" t="s">
        <v>7338</v>
      </c>
      <c r="B37" t="s">
        <v>7320</v>
      </c>
    </row>
    <row r="38" spans="1:2" ht="15" customHeight="1" x14ac:dyDescent="0.25">
      <c r="A38" t="s">
        <v>7339</v>
      </c>
      <c r="B38" t="s">
        <v>7320</v>
      </c>
    </row>
    <row r="39" spans="1:2" ht="15" customHeight="1" x14ac:dyDescent="0.25">
      <c r="A39" t="s">
        <v>7340</v>
      </c>
      <c r="B39" t="s">
        <v>4375</v>
      </c>
    </row>
    <row r="40" spans="1:2" ht="15" customHeight="1" x14ac:dyDescent="0.25">
      <c r="A40" t="s">
        <v>7341</v>
      </c>
      <c r="B40" t="s">
        <v>7320</v>
      </c>
    </row>
    <row r="41" spans="1:2" ht="15" customHeight="1" x14ac:dyDescent="0.25">
      <c r="A41" t="s">
        <v>7342</v>
      </c>
      <c r="B41" t="s">
        <v>7320</v>
      </c>
    </row>
    <row r="42" spans="1:2" ht="15" customHeight="1" x14ac:dyDescent="0.25">
      <c r="A42" t="s">
        <v>7343</v>
      </c>
      <c r="B42" t="s">
        <v>7320</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4310</v>
      </c>
      <c r="E1" s="14" t="s">
        <v>7344</v>
      </c>
      <c r="F1" s="14" t="s">
        <v>7345</v>
      </c>
      <c r="G1" s="14" t="s">
        <v>7346</v>
      </c>
      <c r="H1" s="14" t="s">
        <v>7347</v>
      </c>
      <c r="I1" s="14" t="s">
        <v>7348</v>
      </c>
      <c r="J1" s="14" t="s">
        <v>7349</v>
      </c>
      <c r="K1" s="14" t="s">
        <v>7350</v>
      </c>
      <c r="L1" s="14" t="s">
        <v>7351</v>
      </c>
      <c r="M1" s="14" t="s">
        <v>7352</v>
      </c>
      <c r="N1" s="14" t="s">
        <v>7353</v>
      </c>
      <c r="O1" s="14" t="s">
        <v>7354</v>
      </c>
      <c r="P1" s="14" t="s">
        <v>172</v>
      </c>
      <c r="Q1" s="14" t="s">
        <v>7355</v>
      </c>
      <c r="R1" s="14" t="s">
        <v>4312</v>
      </c>
      <c r="T1" s="14" t="s">
        <v>7356</v>
      </c>
      <c r="U1" s="14" t="s">
        <v>7357</v>
      </c>
      <c r="V1" s="14" t="s">
        <v>7358</v>
      </c>
    </row>
    <row r="2" spans="1:22" x14ac:dyDescent="0.25">
      <c r="A2" t="str">
        <f>IF(games!$A2="","",games!$A2)</f>
        <v>[Redacted]</v>
      </c>
      <c r="B2">
        <f>IF($A2="","",games!$B2)</f>
        <v>2024</v>
      </c>
      <c r="C2" t="str">
        <f>IF($A2="","",games!$C2)</f>
        <v>Action</v>
      </c>
      <c r="D2">
        <f>IF($A2="","",COUNTIF(connections!$A$2:$A$1425,$A2)+COUNTIF(connections!$B$2:$B$1425,$A2))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IF($A3="","",COUNTIF(connections!$A$2:$A$1425,$A3)+COUNTIF(connections!$B$2:$B$1425,$A3))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IF($A4="","",COUNTIF(connections!$A$2:$A$1425,$A4)+COUNTIF(connections!$B$2:$B$1425,$A4))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IF($A5="","",COUNTIF(connections!$A$2:$A$1425,$A5)+COUNTIF(connections!$B$2:$B$1425,$A5))</f>
        <v>5</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5.0000049999999998</v>
      </c>
      <c r="P5" t="str">
        <f>IF(OR($A5="",games!$H5=""),"",games!$H5)</f>
        <v>Yes</v>
      </c>
      <c r="Q5">
        <f t="shared" si="11"/>
        <v>5.0000049999999998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IF($A6="","",COUNTIF(connections!$A$2:$A$1425,$A6)+COUNTIF(connections!$B$2:$B$1425,$A6))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IF($A7="","",COUNTIF(connections!$A$2:$A$1425,$A7)+COUNTIF(connections!$B$2:$B$1425,$A7))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IF($A8="","",COUNTIF(connections!$A$2:$A$1425,$A8)+COUNTIF(connections!$B$2:$B$1425,$A8))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IF($A9="","",COUNTIF(connections!$A$2:$A$1425,$A9)+COUNTIF(connections!$B$2:$B$1425,$A9))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IF($A10="","",COUNTIF(connections!$A$2:$A$1425,$A10)+COUNTIF(connections!$B$2:$B$1425,$A10))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IF($A11="","",COUNTIF(connections!$A$2:$A$1425,$A11)+COUNTIF(connections!$B$2:$B$1425,$A11))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IF($A12="","",COUNTIF(connections!$A$2:$A$1425,$A12)+COUNTIF(connections!$B$2:$B$1425,$A12))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IF($A13="","",COUNTIF(connections!$A$2:$A$1425,$A13)+COUNTIF(connections!$B$2:$B$1425,$A13))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IF($A14="","",COUNTIF(connections!$A$2:$A$1425,$A14)+COUNTIF(connections!$B$2:$B$1425,$A14))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IF($A15="","",COUNTIF(connections!$A$2:$A$1425,$A15)+COUNTIF(connections!$B$2:$B$1425,$A15))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IF($A16="","",COUNTIF(connections!$A$2:$A$1425,$A16)+COUNTIF(connections!$B$2:$B$1425,$A16))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IF($A17="","",COUNTIF(connections!$A$2:$A$1425,$A17)+COUNTIF(connections!$B$2:$B$1425,$A17))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IF($A18="","",COUNTIF(connections!$A$2:$A$1425,$A18)+COUNTIF(connections!$B$2:$B$1425,$A18))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IF($A19="","",COUNTIF(connections!$A$2:$A$1425,$A19)+COUNTIF(connections!$B$2:$B$1425,$A19))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IF($A20="","",COUNTIF(connections!$A$2:$A$1425,$A20)+COUNTIF(connections!$B$2:$B$1425,$A20))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IF($A21="","",COUNTIF(connections!$A$2:$A$1425,$A21)+COUNTIF(connections!$B$2:$B$1425,$A21))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IF($A22="","",COUNTIF(connections!$A$2:$A$1425,$A22)+COUNTIF(connections!$B$2:$B$1425,$A22))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IF($A23="","",COUNTIF(connections!$A$2:$A$1425,$A23)+COUNTIF(connections!$B$2:$B$1425,$A23))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IF($A24="","",COUNTIF(connections!$A$2:$A$1425,$A24)+COUNTIF(connections!$B$2:$B$1425,$A24))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IF($A25="","",COUNTIF(connections!$A$2:$A$1425,$A25)+COUNTIF(connections!$B$2:$B$1425,$A25))</f>
        <v>21</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21.000025000000001</v>
      </c>
      <c r="P25" t="str">
        <f>IF(OR($A25="",games!$H25=""),"",games!$H25)</f>
        <v>Yes</v>
      </c>
      <c r="Q25">
        <f t="shared" si="11"/>
        <v>21.000025000000001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IF($A26="","",COUNTIF(connections!$A$2:$A$1425,$A26)+COUNTIF(connections!$B$2:$B$1425,$A26))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IF($A27="","",COUNTIF(connections!$A$2:$A$1425,$A27)+COUNTIF(connections!$B$2:$B$1425,$A27))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IF($A28="","",COUNTIF(connections!$A$2:$A$1425,$A28)+COUNTIF(connections!$B$2:$B$1425,$A28))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IF($A29="","",COUNTIF(connections!$A$2:$A$1425,$A29)+COUNTIF(connections!$B$2:$B$1425,$A29))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IF($A30="","",COUNTIF(connections!$A$2:$A$1425,$A30)+COUNTIF(connections!$B$2:$B$1425,$A30))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IF($A31="","",COUNTIF(connections!$A$2:$A$1425,$A31)+COUNTIF(connections!$B$2:$B$1425,$A31))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IF($A32="","",COUNTIF(connections!$A$2:$A$1425,$A32)+COUNTIF(connections!$B$2:$B$1425,$A32))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IF($A33="","",COUNTIF(connections!$A$2:$A$1425,$A33)+COUNTIF(connections!$B$2:$B$1425,$A33))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IF($A34="","",COUNTIF(connections!$A$2:$A$1425,$A34)+COUNTIF(connections!$B$2:$B$1425,$A34))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IF($A35="","",COUNTIF(connections!$A$2:$A$1425,$A35)+COUNTIF(connections!$B$2:$B$1425,$A35))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IF($A36="","",COUNTIF(connections!$A$2:$A$1425,$A36)+COUNTIF(connections!$B$2:$B$1425,$A36))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IF($A37="","",COUNTIF(connections!$A$2:$A$1425,$A37)+COUNTIF(connections!$B$2:$B$1425,$A37))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IF($A38="","",COUNTIF(connections!$A$2:$A$1425,$A38)+COUNTIF(connections!$B$2:$B$1425,$A38))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IF($A39="","",COUNTIF(connections!$A$2:$A$1425,$A39)+COUNTIF(connections!$B$2:$B$1425,$A39))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IF($A40="","",COUNTIF(connections!$A$2:$A$1425,$A40)+COUNTIF(connections!$B$2:$B$1425,$A40))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IF($A41="","",COUNTIF(connections!$A$2:$A$1425,$A41)+COUNTIF(connections!$B$2:$B$1425,$A41))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IF($A42="","",COUNTIF(connections!$A$2:$A$1425,$A42)+COUNTIF(connections!$B$2:$B$1425,$A42))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IF($A43="","",COUNTIF(connections!$A$2:$A$1425,$A43)+COUNTIF(connections!$B$2:$B$1425,$A43))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IF($A44="","",COUNTIF(connections!$A$2:$A$1425,$A44)+COUNTIF(connections!$B$2:$B$1425,$A44))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IF($A45="","",COUNTIF(connections!$A$2:$A$1425,$A45)+COUNTIF(connections!$B$2:$B$1425,$A45))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IF($A46="","",COUNTIF(connections!$A$2:$A$1425,$A46)+COUNTIF(connections!$B$2:$B$1425,$A46))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IF($A47="","",COUNTIF(connections!$A$2:$A$1425,$A47)+COUNTIF(connections!$B$2:$B$1425,$A47))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IF($A48="","",COUNTIF(connections!$A$2:$A$1425,$A48)+COUNTIF(connections!$B$2:$B$1425,$A48))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IF($A49="","",COUNTIF(connections!$A$2:$A$1425,$A49)+COUNTIF(connections!$B$2:$B$1425,$A49))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IF($A50="","",COUNTIF(connections!$A$2:$A$1425,$A50)+COUNTIF(connections!$B$2:$B$1425,$A50))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IF($A51="","",COUNTIF(connections!$A$2:$A$1425,$A51)+COUNTIF(connections!$B$2:$B$1425,$A51))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IF($A52="","",COUNTIF(connections!$A$2:$A$1425,$A52)+COUNTIF(connections!$B$2:$B$1425,$A52))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IF($A53="","",COUNTIF(connections!$A$2:$A$1425,$A53)+COUNTIF(connections!$B$2:$B$1425,$A53))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IF($A54="","",COUNTIF(connections!$A$2:$A$1425,$A54)+COUNTIF(connections!$B$2:$B$1425,$A54))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IF($A55="","",COUNTIF(connections!$A$2:$A$1425,$A55)+COUNTIF(connections!$B$2:$B$1425,$A55))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IF($A56="","",COUNTIF(connections!$A$2:$A$1425,$A56)+COUNTIF(connections!$B$2:$B$1425,$A56))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IF($A57="","",COUNTIF(connections!$A$2:$A$1425,$A57)+COUNTIF(connections!$B$2:$B$1425,$A57))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IF($A58="","",COUNTIF(connections!$A$2:$A$1425,$A58)+COUNTIF(connections!$B$2:$B$1425,$A58))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IF($A59="","",COUNTIF(connections!$A$2:$A$1425,$A59)+COUNTIF(connections!$B$2:$B$1425,$A59))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IF($A60="","",COUNTIF(connections!$A$2:$A$1425,$A60)+COUNTIF(connections!$B$2:$B$1425,$A60))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IF($A61="","",COUNTIF(connections!$A$2:$A$1425,$A61)+COUNTIF(connections!$B$2:$B$1425,$A61))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IF($A62="","",COUNTIF(connections!$A$2:$A$1425,$A62)+COUNTIF(connections!$B$2:$B$1425,$A62))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IF($A63="","",COUNTIF(connections!$A$2:$A$1425,$A63)+COUNTIF(connections!$B$2:$B$1425,$A63))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IF($A64="","",COUNTIF(connections!$A$2:$A$1425,$A64)+COUNTIF(connections!$B$2:$B$1425,$A64))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IF($A65="","",COUNTIF(connections!$A$2:$A$1425,$A65)+COUNTIF(connections!$B$2:$B$1425,$A65))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IF($A66="","",COUNTIF(connections!$A$2:$A$1425,$A66)+COUNTIF(connections!$B$2:$B$1425,$A66))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IF($A67="","",COUNTIF(connections!$A$2:$A$1425,$A67)+COUNTIF(connections!$B$2:$B$1425,$A67))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IF($A68="","",COUNTIF(connections!$A$2:$A$1425,$A68)+COUNTIF(connections!$B$2:$B$1425,$A68))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IF($A69="","",COUNTIF(connections!$A$2:$A$1425,$A69)+COUNTIF(connections!$B$2:$B$1425,$A69))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IF($A70="","",COUNTIF(connections!$A$2:$A$1425,$A70)+COUNTIF(connections!$B$2:$B$1425,$A70))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IF($A71="","",COUNTIF(connections!$A$2:$A$1425,$A71)+COUNTIF(connections!$B$2:$B$1425,$A71))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IF($A72="","",COUNTIF(connections!$A$2:$A$1425,$A72)+COUNTIF(connections!$B$2:$B$1425,$A72))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IF($A73="","",COUNTIF(connections!$A$2:$A$1425,$A73)+COUNTIF(connections!$B$2:$B$1425,$A73))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IF($A74="","",COUNTIF(connections!$A$2:$A$1425,$A74)+COUNTIF(connections!$B$2:$B$1425,$A74))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IF($A75="","",COUNTIF(connections!$A$2:$A$1425,$A75)+COUNTIF(connections!$B$2:$B$1425,$A75))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IF($A76="","",COUNTIF(connections!$A$2:$A$1425,$A76)+COUNTIF(connections!$B$2:$B$1425,$A76))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IF($A77="","",COUNTIF(connections!$A$2:$A$1425,$A77)+COUNTIF(connections!$B$2:$B$1425,$A77))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IF($A78="","",COUNTIF(connections!$A$2:$A$1425,$A78)+COUNTIF(connections!$B$2:$B$1425,$A78))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IF($A79="","",COUNTIF(connections!$A$2:$A$1425,$A79)+COUNTIF(connections!$B$2:$B$1425,$A79))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IF($A80="","",COUNTIF(connections!$A$2:$A$1425,$A80)+COUNTIF(connections!$B$2:$B$1425,$A80))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IF($A81="","",COUNTIF(connections!$A$2:$A$1425,$A81)+COUNTIF(connections!$B$2:$B$1425,$A81))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IF($A82="","",COUNTIF(connections!$A$2:$A$1425,$A82)+COUNTIF(connections!$B$2:$B$1425,$A82))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IF($A83="","",COUNTIF(connections!$A$2:$A$1425,$A83)+COUNTIF(connections!$B$2:$B$1425,$A83))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IF($A84="","",COUNTIF(connections!$A$2:$A$1425,$A84)+COUNTIF(connections!$B$2:$B$1425,$A84))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IF($A85="","",COUNTIF(connections!$A$2:$A$1425,$A85)+COUNTIF(connections!$B$2:$B$1425,$A85))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IF($A86="","",COUNTIF(connections!$A$2:$A$1425,$A86)+COUNTIF(connections!$B$2:$B$1425,$A86))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IF($A87="","",COUNTIF(connections!$A$2:$A$1425,$A87)+COUNTIF(connections!$B$2:$B$1425,$A87))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IF($A88="","",COUNTIF(connections!$A$2:$A$1425,$A88)+COUNTIF(connections!$B$2:$B$1425,$A88))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IF($A89="","",COUNTIF(connections!$A$2:$A$1425,$A89)+COUNTIF(connections!$B$2:$B$1425,$A89))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IF($A90="","",COUNTIF(connections!$A$2:$A$1425,$A90)+COUNTIF(connections!$B$2:$B$1425,$A90))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IF($A91="","",COUNTIF(connections!$A$2:$A$1425,$A91)+COUNTIF(connections!$B$2:$B$1425,$A91))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IF($A92="","",COUNTIF(connections!$A$2:$A$1425,$A92)+COUNTIF(connections!$B$2:$B$1425,$A92))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IF($A93="","",COUNTIF(connections!$A$2:$A$1425,$A93)+COUNTIF(connections!$B$2:$B$1425,$A93))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IF($A94="","",COUNTIF(connections!$A$2:$A$1425,$A94)+COUNTIF(connections!$B$2:$B$1425,$A94))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IF($A95="","",COUNTIF(connections!$A$2:$A$1425,$A95)+COUNTIF(connections!$B$2:$B$1425,$A95))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IF($A96="","",COUNTIF(connections!$A$2:$A$1425,$A96)+COUNTIF(connections!$B$2:$B$1425,$A96))</f>
        <v>10</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10.000095999999999</v>
      </c>
      <c r="P96" t="str">
        <f>IF(OR($A96="",games!$H96=""),"",games!$H96)</f>
        <v>Yes</v>
      </c>
      <c r="Q96">
        <f t="shared" si="24"/>
        <v>10.000095999999999</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IF($A97="","",COUNTIF(connections!$A$2:$A$1425,$A97)+COUNTIF(connections!$B$2:$B$1425,$A97))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IF($A98="","",COUNTIF(connections!$A$2:$A$1425,$A98)+COUNTIF(connections!$B$2:$B$1425,$A98))</f>
        <v>19</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19.000098000000001</v>
      </c>
      <c r="P98" t="str">
        <f>IF(OR($A98="",games!$H98=""),"",games!$H98)</f>
        <v>Yes</v>
      </c>
      <c r="Q98">
        <f t="shared" si="24"/>
        <v>19.000098000000001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IF($A99="","",COUNTIF(connections!$A$2:$A$1425,$A99)+COUNTIF(connections!$B$2:$B$1425,$A99))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IF($A100="","",COUNTIF(connections!$A$2:$A$1425,$A100)+COUNTIF(connections!$B$2:$B$1425,$A100))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IF($A101="","",COUNTIF(connections!$A$2:$A$1425,$A101)+COUNTIF(connections!$B$2:$B$1425,$A101))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IF($A102="","",COUNTIF(connections!$A$2:$A$1425,$A102)+COUNTIF(connections!$B$2:$B$1425,$A102))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IF($A103="","",COUNTIF(connections!$A$2:$A$1425,$A103)+COUNTIF(connections!$B$2:$B$1425,$A103))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IF($A104="","",COUNTIF(connections!$A$2:$A$1425,$A104)+COUNTIF(connections!$B$2:$B$1425,$A104))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IF($A105="","",COUNTIF(connections!$A$2:$A$1425,$A105)+COUNTIF(connections!$B$2:$B$1425,$A105))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IF($A106="","",COUNTIF(connections!$A$2:$A$1425,$A106)+COUNTIF(connections!$B$2:$B$1425,$A106))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IF($A107="","",COUNTIF(connections!$A$2:$A$1425,$A107)+COUNTIF(connections!$B$2:$B$1425,$A107))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IF($A108="","",COUNTIF(connections!$A$2:$A$1425,$A108)+COUNTIF(connections!$B$2:$B$1425,$A108))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IF($A109="","",COUNTIF(connections!$A$2:$A$1425,$A109)+COUNTIF(connections!$B$2:$B$1425,$A109))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IF($A110="","",COUNTIF(connections!$A$2:$A$1425,$A110)+COUNTIF(connections!$B$2:$B$1425,$A110))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IF($A111="","",COUNTIF(connections!$A$2:$A$1425,$A111)+COUNTIF(connections!$B$2:$B$1425,$A111))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IF($A112="","",COUNTIF(connections!$A$2:$A$1425,$A112)+COUNTIF(connections!$B$2:$B$1425,$A112))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IF($A113="","",COUNTIF(connections!$A$2:$A$1425,$A113)+COUNTIF(connections!$B$2:$B$1425,$A113))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IF($A114="","",COUNTIF(connections!$A$2:$A$1425,$A114)+COUNTIF(connections!$B$2:$B$1425,$A114))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IF($A115="","",COUNTIF(connections!$A$2:$A$1425,$A115)+COUNTIF(connections!$B$2:$B$1425,$A115))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IF($A116="","",COUNTIF(connections!$A$2:$A$1425,$A116)+COUNTIF(connections!$B$2:$B$1425,$A116))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IF($A117="","",COUNTIF(connections!$A$2:$A$1425,$A117)+COUNTIF(connections!$B$2:$B$1425,$A117))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IF($A118="","",COUNTIF(connections!$A$2:$A$1425,$A118)+COUNTIF(connections!$B$2:$B$1425,$A118))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IF($A119="","",COUNTIF(connections!$A$2:$A$1425,$A119)+COUNTIF(connections!$B$2:$B$1425,$A119))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IF($A120="","",COUNTIF(connections!$A$2:$A$1425,$A120)+COUNTIF(connections!$B$2:$B$1425,$A120))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IF($A121="","",COUNTIF(connections!$A$2:$A$1425,$A121)+COUNTIF(connections!$B$2:$B$1425,$A121))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IF($A122="","",COUNTIF(connections!$A$2:$A$1425,$A122)+COUNTIF(connections!$B$2:$B$1425,$A122))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IF($A123="","",COUNTIF(connections!$A$2:$A$1425,$A123)+COUNTIF(connections!$B$2:$B$1425,$A123))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IF($A124="","",COUNTIF(connections!$A$2:$A$1425,$A124)+COUNTIF(connections!$B$2:$B$1425,$A124))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IF($A125="","",COUNTIF(connections!$A$2:$A$1425,$A125)+COUNTIF(connections!$B$2:$B$1425,$A125))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IF($A126="","",COUNTIF(connections!$A$2:$A$1425,$A126)+COUNTIF(connections!$B$2:$B$1425,$A126))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IF($A127="","",COUNTIF(connections!$A$2:$A$1425,$A127)+COUNTIF(connections!$B$2:$B$1425,$A127))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IF($A128="","",COUNTIF(connections!$A$2:$A$1425,$A128)+COUNTIF(connections!$B$2:$B$1425,$A128))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IF($A129="","",COUNTIF(connections!$A$2:$A$1425,$A129)+COUNTIF(connections!$B$2:$B$1425,$A129))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IF($A130="","",COUNTIF(connections!$A$2:$A$1425,$A130)+COUNTIF(connections!$B$2:$B$1425,$A130))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IF($A131="","",COUNTIF(connections!$A$2:$A$1425,$A131)+COUNTIF(connections!$B$2:$B$1425,$A131))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IF($A132="","",COUNTIF(connections!$A$2:$A$1425,$A132)+COUNTIF(connections!$B$2:$B$1425,$A132))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IF($A133="","",COUNTIF(connections!$A$2:$A$1425,$A133)+COUNTIF(connections!$B$2:$B$1425,$A133))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IF($A134="","",COUNTIF(connections!$A$2:$A$1425,$A134)+COUNTIF(connections!$B$2:$B$1425,$A134))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IF($A135="","",COUNTIF(connections!$A$2:$A$1425,$A135)+COUNTIF(connections!$B$2:$B$1425,$A135))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IF($A136="","",COUNTIF(connections!$A$2:$A$1425,$A136)+COUNTIF(connections!$B$2:$B$1425,$A136))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IF($A137="","",COUNTIF(connections!$A$2:$A$1425,$A137)+COUNTIF(connections!$B$2:$B$1425,$A137))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IF($A138="","",COUNTIF(connections!$A$2:$A$1425,$A138)+COUNTIF(connections!$B$2:$B$1425,$A138))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IF($A139="","",COUNTIF(connections!$A$2:$A$1425,$A139)+COUNTIF(connections!$B$2:$B$1425,$A139))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IF($A140="","",COUNTIF(connections!$A$2:$A$1425,$A140)+COUNTIF(connections!$B$2:$B$1425,$A140))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IF($A141="","",COUNTIF(connections!$A$2:$A$1425,$A141)+COUNTIF(connections!$B$2:$B$1425,$A141))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IF($A142="","",COUNTIF(connections!$A$2:$A$1425,$A142)+COUNTIF(connections!$B$2:$B$1425,$A142))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IF($A143="","",COUNTIF(connections!$A$2:$A$1425,$A143)+COUNTIF(connections!$B$2:$B$1425,$A143))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IF($A144="","",COUNTIF(connections!$A$2:$A$1425,$A144)+COUNTIF(connections!$B$2:$B$1425,$A144))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IF($A145="","",COUNTIF(connections!$A$2:$A$1425,$A145)+COUNTIF(connections!$B$2:$B$1425,$A145))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IF($A146="","",COUNTIF(connections!$A$2:$A$1425,$A146)+COUNTIF(connections!$B$2:$B$1425,$A146))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IF($A147="","",COUNTIF(connections!$A$2:$A$1425,$A147)+COUNTIF(connections!$B$2:$B$1425,$A147))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IF($A148="","",COUNTIF(connections!$A$2:$A$1425,$A148)+COUNTIF(connections!$B$2:$B$1425,$A148))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IF($A149="","",COUNTIF(connections!$A$2:$A$1425,$A149)+COUNTIF(connections!$B$2:$B$1425,$A149))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IF($A150="","",COUNTIF(connections!$A$2:$A$1425,$A150)+COUNTIF(connections!$B$2:$B$1425,$A150))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IF($A151="","",COUNTIF(connections!$A$2:$A$1425,$A151)+COUNTIF(connections!$B$2:$B$1425,$A151))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IF($A152="","",COUNTIF(connections!$A$2:$A$1425,$A152)+COUNTIF(connections!$B$2:$B$1425,$A152))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IF($A153="","",COUNTIF(connections!$A$2:$A$1425,$A153)+COUNTIF(connections!$B$2:$B$1425,$A153))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IF($A154="","",COUNTIF(connections!$A$2:$A$1425,$A154)+COUNTIF(connections!$B$2:$B$1425,$A154))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IF($A155="","",COUNTIF(connections!$A$2:$A$1425,$A155)+COUNTIF(connections!$B$2:$B$1425,$A155))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IF($A156="","",COUNTIF(connections!$A$2:$A$1425,$A156)+COUNTIF(connections!$B$2:$B$1425,$A156))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IF($A157="","",COUNTIF(connections!$A$2:$A$1425,$A157)+COUNTIF(connections!$B$2:$B$1425,$A157))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IF($A158="","",COUNTIF(connections!$A$2:$A$1425,$A158)+COUNTIF(connections!$B$2:$B$1425,$A158))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IF($A159="","",COUNTIF(connections!$A$2:$A$1425,$A159)+COUNTIF(connections!$B$2:$B$1425,$A159))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IF($A160="","",COUNTIF(connections!$A$2:$A$1425,$A160)+COUNTIF(connections!$B$2:$B$1425,$A160))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IF($A161="","",COUNTIF(connections!$A$2:$A$1425,$A161)+COUNTIF(connections!$B$2:$B$1425,$A161))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IF($A162="","",COUNTIF(connections!$A$2:$A$1425,$A162)+COUNTIF(connections!$B$2:$B$1425,$A162))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IF($A163="","",COUNTIF(connections!$A$2:$A$1425,$A163)+COUNTIF(connections!$B$2:$B$1425,$A163))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IF($A164="","",COUNTIF(connections!$A$2:$A$1425,$A164)+COUNTIF(connections!$B$2:$B$1425,$A164))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IF($A165="","",COUNTIF(connections!$A$2:$A$1425,$A165)+COUNTIF(connections!$B$2:$B$1425,$A165))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IF($A166="","",COUNTIF(connections!$A$2:$A$1425,$A166)+COUNTIF(connections!$B$2:$B$1425,$A166))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IF($A167="","",COUNTIF(connections!$A$2:$A$1425,$A167)+COUNTIF(connections!$B$2:$B$1425,$A167))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IF($A168="","",COUNTIF(connections!$A$2:$A$1425,$A168)+COUNTIF(connections!$B$2:$B$1425,$A168))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IF($A169="","",COUNTIF(connections!$A$2:$A$1425,$A169)+COUNTIF(connections!$B$2:$B$1425,$A169))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IF($A170="","",COUNTIF(connections!$A$2:$A$1425,$A170)+COUNTIF(connections!$B$2:$B$1425,$A170))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IF($A171="","",COUNTIF(connections!$A$2:$A$1425,$A171)+COUNTIF(connections!$B$2:$B$1425,$A171))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IF($A172="","",COUNTIF(connections!$A$2:$A$1425,$A172)+COUNTIF(connections!$B$2:$B$1425,$A172))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IF($A173="","",COUNTIF(connections!$A$2:$A$1425,$A173)+COUNTIF(connections!$B$2:$B$1425,$A173))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IF($A174="","",COUNTIF(connections!$A$2:$A$1425,$A174)+COUNTIF(connections!$B$2:$B$1425,$A174))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IF($A175="","",COUNTIF(connections!$A$2:$A$1425,$A175)+COUNTIF(connections!$B$2:$B$1425,$A175))</f>
        <v>27</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27.000174999999999</v>
      </c>
      <c r="P175" t="str">
        <f>IF(OR($A175="",games!$H175=""),"",games!$H175)</f>
        <v>Yes</v>
      </c>
      <c r="Q175">
        <f t="shared" si="37"/>
        <v>27.000174999999999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IF($A176="","",COUNTIF(connections!$A$2:$A$1425,$A176)+COUNTIF(connections!$B$2:$B$1425,$A176))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IF($A177="","",COUNTIF(connections!$A$2:$A$1425,$A177)+COUNTIF(connections!$B$2:$B$1425,$A177))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IF($A178="","",COUNTIF(connections!$A$2:$A$1425,$A178)+COUNTIF(connections!$B$2:$B$1425,$A178))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IF($A179="","",COUNTIF(connections!$A$2:$A$1425,$A179)+COUNTIF(connections!$B$2:$B$1425,$A179))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IF($A180="","",COUNTIF(connections!$A$2:$A$1425,$A180)+COUNTIF(connections!$B$2:$B$1425,$A180))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IF($A181="","",COUNTIF(connections!$A$2:$A$1425,$A181)+COUNTIF(connections!$B$2:$B$1425,$A181))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IF($A182="","",COUNTIF(connections!$A$2:$A$1425,$A182)+COUNTIF(connections!$B$2:$B$1425,$A182))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IF($A183="","",COUNTIF(connections!$A$2:$A$1425,$A183)+COUNTIF(connections!$B$2:$B$1425,$A183))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IF($A184="","",COUNTIF(connections!$A$2:$A$1425,$A184)+COUNTIF(connections!$B$2:$B$1425,$A184))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IF($A185="","",COUNTIF(connections!$A$2:$A$1425,$A185)+COUNTIF(connections!$B$2:$B$1425,$A185))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IF($A186="","",COUNTIF(connections!$A$2:$A$1425,$A186)+COUNTIF(connections!$B$2:$B$1425,$A186))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IF($A187="","",COUNTIF(connections!$A$2:$A$1425,$A187)+COUNTIF(connections!$B$2:$B$1425,$A187))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IF($A188="","",COUNTIF(connections!$A$2:$A$1425,$A188)+COUNTIF(connections!$B$2:$B$1425,$A188))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IF($A189="","",COUNTIF(connections!$A$2:$A$1425,$A189)+COUNTIF(connections!$B$2:$B$1425,$A189))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IF($A190="","",COUNTIF(connections!$A$2:$A$1425,$A190)+COUNTIF(connections!$B$2:$B$1425,$A190))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IF($A191="","",COUNTIF(connections!$A$2:$A$1425,$A191)+COUNTIF(connections!$B$2:$B$1425,$A191))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IF($A192="","",COUNTIF(connections!$A$2:$A$1425,$A192)+COUNTIF(connections!$B$2:$B$1425,$A192))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IF($A193="","",COUNTIF(connections!$A$2:$A$1425,$A193)+COUNTIF(connections!$B$2:$B$1425,$A193))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IF($A194="","",COUNTIF(connections!$A$2:$A$1425,$A194)+COUNTIF(connections!$B$2:$B$1425,$A194))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IF($A195="","",COUNTIF(connections!$A$2:$A$1425,$A195)+COUNTIF(connections!$B$2:$B$1425,$A195))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IF($A196="","",COUNTIF(connections!$A$2:$A$1425,$A196)+COUNTIF(connections!$B$2:$B$1425,$A196))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IF($A197="","",COUNTIF(connections!$A$2:$A$1425,$A197)+COUNTIF(connections!$B$2:$B$1425,$A197))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IF($A198="","",COUNTIF(connections!$A$2:$A$1425,$A198)+COUNTIF(connections!$B$2:$B$1425,$A198))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IF($A199="","",COUNTIF(connections!$A$2:$A$1425,$A199)+COUNTIF(connections!$B$2:$B$1425,$A199))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IF($A200="","",COUNTIF(connections!$A$2:$A$1425,$A200)+COUNTIF(connections!$B$2:$B$1425,$A200))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IF($A201="","",COUNTIF(connections!$A$2:$A$1425,$A201)+COUNTIF(connections!$B$2:$B$1425,$A201))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IF($A202="","",COUNTIF(connections!$A$2:$A$1425,$A202)+COUNTIF(connections!$B$2:$B$1425,$A202))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Despotism 3k</v>
      </c>
      <c r="B203">
        <f>IF($A203="","",games!$B203)</f>
        <v>2018</v>
      </c>
      <c r="C203" t="str">
        <f>IF($A203="","",games!$C203)</f>
        <v>Strategy</v>
      </c>
      <c r="D203">
        <f>IF($A203="","",COUNTIF(connections!$A$2:$A$1425,$A203)+COUNTIF(connections!$B$2:$B$1425,$A203))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Despot's Game</v>
      </c>
      <c r="B204">
        <f>IF($A204="","",games!$B204)</f>
        <v>2021</v>
      </c>
      <c r="C204" t="str">
        <f>IF($A204="","",games!$C204)</f>
        <v>Action</v>
      </c>
      <c r="D204">
        <f>IF($A204="","",COUNTIF(connections!$A$2:$A$1425,$A204)+COUNTIF(connections!$B$2:$B$1425,$A204))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Devil Slayer: Raksasi</v>
      </c>
      <c r="B205">
        <f>IF($A205="","",games!$B205)</f>
        <v>2019</v>
      </c>
      <c r="C205" t="str">
        <f>IF($A205="","",games!$C205)</f>
        <v>Action</v>
      </c>
      <c r="D205">
        <f>IF($A205="","",COUNTIF(connections!$A$2:$A$1425,$A205)+COUNTIF(connections!$B$2:$B$1425,$A205))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Diablo</v>
      </c>
      <c r="B206">
        <f>IF($A206="","",games!$B206)</f>
        <v>1996</v>
      </c>
      <c r="C206" t="str">
        <f>IF($A206="","",games!$C206)</f>
        <v>Action</v>
      </c>
      <c r="D206">
        <f>IF($A206="","",COUNTIF(connections!$A$2:$A$1425,$A206)+COUNTIF(connections!$B$2:$B$1425,$A206))</f>
        <v>27</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27.000205999999999</v>
      </c>
      <c r="P206" t="str">
        <f>IF(OR($A206="",games!$H206=""),"",games!$H206)</f>
        <v>Yes</v>
      </c>
      <c r="Q206">
        <f t="shared" si="50"/>
        <v>27.000205999999999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&amp; Fold</v>
      </c>
      <c r="B207">
        <f>IF($A207="","",games!$B207)</f>
        <v>2024</v>
      </c>
      <c r="C207" t="str">
        <f>IF($A207="","",games!$C207)</f>
        <v>Deckbuilder</v>
      </c>
      <c r="D207">
        <f>IF($A207="","",COUNTIF(connections!$A$2:$A$1425,$A207)+COUNTIF(connections!$B$2:$B$1425,$A207))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A Million</v>
      </c>
      <c r="B208">
        <f>IF($A208="","",games!$B208)</f>
        <v>2026</v>
      </c>
      <c r="C208" t="str">
        <f>IF($A208="","",games!$C208)</f>
        <v>Deckbuilder</v>
      </c>
      <c r="D208">
        <f>IF($A208="","",COUNTIF(connections!$A$2:$A$1425,$A208)+COUNTIF(connections!$B$2:$B$1425,$A208))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Legends</v>
      </c>
      <c r="B209">
        <f>IF($A209="","",games!$B209)</f>
        <v>2025</v>
      </c>
      <c r="C209" t="str">
        <f>IF($A209="","",games!$C209)</f>
        <v>Deckbuilder</v>
      </c>
      <c r="D209">
        <f>IF($A209="","",COUNTIF(connections!$A$2:$A$1425,$A209)+COUNTIF(connections!$B$2:$B$1425,$A209))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 With Death</v>
      </c>
      <c r="B210">
        <f>IF($A210="","",games!$B210)</f>
        <v>2025</v>
      </c>
      <c r="C210" t="str">
        <f>IF($A210="","",games!$C210)</f>
        <v>Strategy</v>
      </c>
      <c r="D210">
        <f>IF($A210="","",COUNTIF(connections!$A$2:$A$1425,$A210)+COUNTIF(connections!$B$2:$B$1425,$A210))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IF($A211="","",COUNTIF(connections!$A$2:$A$1425,$A211)+COUNTIF(connections!$B$2:$B$1425,$A211))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Dicefolk</v>
      </c>
      <c r="B212">
        <f>IF($A212="","",games!$B212)</f>
        <v>2024</v>
      </c>
      <c r="C212" t="str">
        <f>IF($A212="","",games!$C212)</f>
        <v>Deckbuilder</v>
      </c>
      <c r="D212">
        <f>IF($A212="","",COUNTIF(connections!$A$2:$A$1425,$A212)+COUNTIF(connections!$B$2:$B$1425,$A212))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Diceomancer</v>
      </c>
      <c r="B213">
        <f>IF($A213="","",games!$B213)</f>
        <v>2024</v>
      </c>
      <c r="C213" t="str">
        <f>IF($A213="","",games!$C213)</f>
        <v>Deckbuilder</v>
      </c>
      <c r="D213">
        <f>IF($A213="","",COUNTIF(connections!$A$2:$A$1425,$A213)+COUNTIF(connections!$B$2:$B$1425,$A213))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Dicevaders</v>
      </c>
      <c r="B214">
        <f>IF($A214="","",games!$B214)</f>
        <v>2026</v>
      </c>
      <c r="C214" t="str">
        <f>IF($A214="","",games!$C214)</f>
        <v>Deckbuilder</v>
      </c>
      <c r="D214">
        <f>IF($A214="","",COUNTIF(connections!$A$2:$A$1425,$A214)+COUNTIF(connections!$B$2:$B$1425,$A214))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Dicey Dungeons</v>
      </c>
      <c r="B215">
        <f>IF($A215="","",games!$B215)</f>
        <v>2019</v>
      </c>
      <c r="C215" t="str">
        <f>IF($A215="","",games!$C215)</f>
        <v>Deckbuilder</v>
      </c>
      <c r="D215">
        <f>IF($A215="","",COUNTIF(connections!$A$2:$A$1425,$A215)+COUNTIF(connections!$B$2:$B$1425,$A215))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For The Lich</v>
      </c>
      <c r="B216">
        <f>IF($A216="","",games!$B216)</f>
        <v>2025</v>
      </c>
      <c r="C216" t="str">
        <f>IF($A216="","",games!$C216)</f>
        <v>Deckbuilder</v>
      </c>
      <c r="D216">
        <f>IF($A216="","",COUNTIF(connections!$A$2:$A$1425,$A216)+COUNTIF(connections!$B$2:$B$1425,$A216))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Die in the Dungeon</v>
      </c>
      <c r="B217">
        <f>IF($A217="","",games!$B217)</f>
        <v>2025</v>
      </c>
      <c r="C217" t="str">
        <f>IF($A217="","",games!$C217)</f>
        <v>Deckbuilder</v>
      </c>
      <c r="D217">
        <f>IF($A217="","",COUNTIF(connections!$A$2:$A$1425,$A217)+COUNTIF(connections!$B$2:$B$1425,$A217))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DIG: Deep In Galaxies</v>
      </c>
      <c r="B218">
        <f>IF($A218="","",games!$B218)</f>
        <v>2021</v>
      </c>
      <c r="C218" t="str">
        <f>IF($A218="","",games!$C218)</f>
        <v>Action</v>
      </c>
      <c r="D218">
        <f>IF($A218="","",COUNTIF(connections!$A$2:$A$1425,$A218)+COUNTIF(connections!$B$2:$B$1425,$A218))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IF($A219="","",COUNTIF(connections!$A$2:$A$1425,$A219)+COUNTIF(connections!$B$2:$B$1425,$A219))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Disfigure</v>
      </c>
      <c r="B220">
        <f>IF($A220="","",games!$B220)</f>
        <v>2023</v>
      </c>
      <c r="C220" t="str">
        <f>IF($A220="","",games!$C220)</f>
        <v>Action</v>
      </c>
      <c r="D220">
        <f>IF($A220="","",COUNTIF(connections!$A$2:$A$1425,$A220)+COUNTIF(connections!$B$2:$B$1425,$A220))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Dive or Die: Children of Rain</v>
      </c>
      <c r="B221">
        <f>IF($A221="","",games!$B221)</f>
        <v>2026</v>
      </c>
      <c r="C221" t="str">
        <f>IF($A221="","",games!$C221)</f>
        <v>Action</v>
      </c>
      <c r="D221">
        <f>IF($A221="","",COUNTIF(connections!$A$2:$A$1425,$A221)+COUNTIF(connections!$B$2:$B$1425,$A221))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and Goblin</v>
      </c>
      <c r="B222">
        <f>IF($A222="","",games!$B222)</f>
        <v>2024</v>
      </c>
      <c r="C222" t="str">
        <f>IF($A222="","",games!$C222)</f>
        <v>Deckbuilder</v>
      </c>
      <c r="D222">
        <f>IF($A222="","",COUNTIF(connections!$A$2:$A$1425,$A222)+COUNTIF(connections!$B$2:$B$1425,$A222))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 Witch</v>
      </c>
      <c r="B223">
        <f>IF($A223="","",games!$B223)</f>
        <v>2025</v>
      </c>
      <c r="C223" t="str">
        <f>IF($A223="","",games!$C223)</f>
        <v>Deckbuilder</v>
      </c>
      <c r="D223">
        <f>IF($A223="","",COUNTIF(connections!$A$2:$A$1425,$A223)+COUNTIF(connections!$B$2:$B$1425,$A223))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Dogpile</v>
      </c>
      <c r="B224">
        <f>IF($A224="","",games!$B224)</f>
        <v>2025</v>
      </c>
      <c r="C224" t="str">
        <f>IF($A224="","",games!$C224)</f>
        <v>Deckbuilder</v>
      </c>
      <c r="D224">
        <f>IF($A224="","",COUNTIF(connections!$A$2:$A$1425,$A224)+COUNTIF(connections!$B$2:$B$1425,$A224))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Dome Keeper</v>
      </c>
      <c r="B225">
        <f>IF($A225="","",games!$B225)</f>
        <v>2022</v>
      </c>
      <c r="C225" t="str">
        <f>IF($A225="","",games!$C225)</f>
        <v>Strategy</v>
      </c>
      <c r="D225">
        <f>IF($A225="","",COUNTIF(connections!$A$2:$A$1425,$A225)+COUNTIF(connections!$B$2:$B$1425,$A225))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Let It Starve</v>
      </c>
      <c r="B226">
        <f>IF($A226="","",games!$B226)</f>
        <v>2026</v>
      </c>
      <c r="C226" t="str">
        <f>IF($A226="","",games!$C226)</f>
        <v>Strategy</v>
      </c>
      <c r="D226">
        <f>IF($A226="","",COUNTIF(connections!$A$2:$A$1425,$A226)+COUNTIF(connections!$B$2:$B$1425,$A226))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Lose Aggro</v>
      </c>
      <c r="B227">
        <f>IF($A227="","",games!$B227)</f>
        <v>2026</v>
      </c>
      <c r="C227" t="str">
        <f>IF($A227="","",games!$C227)</f>
        <v>Action</v>
      </c>
      <c r="D227">
        <f>IF($A227="","",COUNTIF(connections!$A$2:$A$1425,$A227)+COUNTIF(connections!$B$2:$B$1425,$A227))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v>
      </c>
      <c r="B228">
        <f>IF($A228="","",games!$B228)</f>
        <v>2013</v>
      </c>
      <c r="C228" t="str">
        <f>IF($A228="","",games!$C228)</f>
        <v>Action</v>
      </c>
      <c r="D228">
        <f>IF($A228="","",COUNTIF(connections!$A$2:$A$1425,$A228)+COUNTIF(connections!$B$2:$B$1425,$A228))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Don't Starve Together</v>
      </c>
      <c r="B229">
        <f>IF($A229="","",games!$B229)</f>
        <v>2014</v>
      </c>
      <c r="C229" t="str">
        <f>IF($A229="","",games!$C229)</f>
        <v>Action</v>
      </c>
      <c r="D229">
        <f>IF($A229="","",COUNTIF(connections!$A$2:$A$1425,$A229)+COUNTIF(connections!$B$2:$B$1425,$A229))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DoomRL</v>
      </c>
      <c r="B230">
        <f>IF($A230="","",games!$B230)</f>
        <v>2002</v>
      </c>
      <c r="C230" t="str">
        <f>IF($A230="","",games!$C230)</f>
        <v>Traditional</v>
      </c>
      <c r="D230">
        <f>IF($A230="","",COUNTIF(connections!$A$2:$A$1425,$A230)+COUNTIF(connections!$B$2:$B$1425,$A230))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Dota Auto Chess</v>
      </c>
      <c r="B231">
        <f>IF($A231="","",games!$B231)</f>
        <v>2019</v>
      </c>
      <c r="C231" t="str">
        <f>IF($A231="","",games!$C231)</f>
        <v>Strategy</v>
      </c>
      <c r="D231">
        <f>IF($A231="","",COUNTIF(connections!$A$2:$A$1425,$A231)+COUNTIF(connections!$B$2:$B$1425,$A231))</f>
        <v>6</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6.0002310000000003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Double Dragon Gaiden: Rise Of The Dragons</v>
      </c>
      <c r="B232">
        <f>IF($A232="","",games!$B232)</f>
        <v>2023</v>
      </c>
      <c r="C232" t="str">
        <f>IF($A232="","",games!$C232)</f>
        <v>Action</v>
      </c>
      <c r="D232">
        <f>IF($A232="","",COUNTIF(connections!$A$2:$A$1425,$A232)+COUNTIF(connections!$B$2:$B$1425,$A232))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Downwell</v>
      </c>
      <c r="B233">
        <f>IF($A233="","",games!$B233)</f>
        <v>2015</v>
      </c>
      <c r="C233" t="str">
        <f>IF($A233="","",games!$C233)</f>
        <v>Action</v>
      </c>
      <c r="D233">
        <f>IF($A233="","",COUNTIF(connections!$A$2:$A$1425,$A233)+COUNTIF(connections!$B$2:$B$1425,$A233))</f>
        <v>9</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9.0002329999999997</v>
      </c>
      <c r="P233" t="str">
        <f>IF(OR($A233="",games!$H233=""),"",games!$H233)</f>
        <v>Yes</v>
      </c>
      <c r="Q233">
        <f t="shared" si="50"/>
        <v>9.0002329999999997</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Crystal</v>
      </c>
      <c r="B234">
        <f>IF($A234="","",games!$B234)</f>
        <v>1990</v>
      </c>
      <c r="C234" t="str">
        <f>IF($A234="","",games!$C234)</f>
        <v>Traditional</v>
      </c>
      <c r="D234">
        <f>IF($A234="","",COUNTIF(connections!$A$2:$A$1425,$A234)+COUNTIF(connections!$B$2:$B$1425,$A234))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Heroes: Torneko‘s Mystery Dungeon Classic HD</v>
      </c>
      <c r="B235">
        <f>IF($A235="","",games!$B235)</f>
        <v>2026</v>
      </c>
      <c r="C235" t="str">
        <f>IF($A235="","",games!$C235)</f>
        <v>Traditional</v>
      </c>
      <c r="D235">
        <f>IF($A235="","",COUNTIF(connections!$A$2:$A$1425,$A235)+COUNTIF(connections!$B$2:$B$1425,$A235))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 Quest: Young Yangus and the Mystery Dungeon</v>
      </c>
      <c r="B236">
        <f>IF($A236="","",games!$B236)</f>
        <v>2006</v>
      </c>
      <c r="C236" t="str">
        <f>IF($A236="","",games!$C236)</f>
        <v>Traditional</v>
      </c>
      <c r="D236">
        <f>IF($A236="","",COUNTIF(connections!$A$2:$A$1425,$A236)+COUNTIF(connections!$B$2:$B$1425,$A236))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Dragonslayer</v>
      </c>
      <c r="B237">
        <f>IF($A237="","",games!$B237)</f>
        <v>2003</v>
      </c>
      <c r="C237" t="str">
        <f>IF($A237="","",games!$C237)</f>
        <v>Traditional</v>
      </c>
      <c r="D237">
        <f>IF($A237="","",COUNTIF(connections!$A$2:$A$1425,$A237)+COUNTIF(connections!$B$2:$B$1425,$A237))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Drapline</v>
      </c>
      <c r="B238">
        <f>IF($A238="","",games!$B238)</f>
        <v>2025</v>
      </c>
      <c r="C238" t="str">
        <f>IF($A238="","",games!$C238)</f>
        <v>Strategy</v>
      </c>
      <c r="D238">
        <f>IF($A238="","",COUNTIF(connections!$A$2:$A$1425,$A238)+COUNTIF(connections!$B$2:$B$1425,$A238))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 Quest</v>
      </c>
      <c r="B239">
        <f>IF($A239="","",games!$B239)</f>
        <v>2014</v>
      </c>
      <c r="C239" t="str">
        <f>IF($A239="","",games!$C239)</f>
        <v>Deckbuilder</v>
      </c>
      <c r="D239">
        <f>IF($A239="","",COUNTIF(connections!$A$2:$A$1425,$A239)+COUNTIF(connections!$B$2:$B$1425,$A239))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Dreamscaper</v>
      </c>
      <c r="B240">
        <f>IF($A240="","",games!$B240)</f>
        <v>2020</v>
      </c>
      <c r="C240" t="str">
        <f>IF($A240="","",games!$C240)</f>
        <v>Action</v>
      </c>
      <c r="D240">
        <f>IF($A240="","",COUNTIF(connections!$A$2:$A$1425,$A240)+COUNTIF(connections!$B$2:$B$1425,$A240))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Drill Core</v>
      </c>
      <c r="B241">
        <f>IF($A241="","",games!$B241)</f>
        <v>2024</v>
      </c>
      <c r="C241" t="str">
        <f>IF($A241="","",games!$C241)</f>
        <v>Strategy</v>
      </c>
      <c r="D241">
        <f>IF($A241="","",COUNTIF(connections!$A$2:$A$1425,$A241)+COUNTIF(connections!$B$2:$B$1425,$A241))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Driving Rogue</v>
      </c>
      <c r="B242">
        <f>IF($A242="","",games!$B242)</f>
        <v>2026</v>
      </c>
      <c r="C242" t="str">
        <f>IF($A242="","",games!$C242)</f>
        <v>Action</v>
      </c>
      <c r="D242">
        <f>IF($A242="","",COUNTIF(connections!$A$2:$A$1425,$A242)+COUNTIF(connections!$B$2:$B$1425,$A242))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Duchy</v>
      </c>
      <c r="B243">
        <f>IF($A243="","",games!$B243)</f>
        <v>2025</v>
      </c>
      <c r="C243" t="str">
        <f>IF($A243="","",games!$C243)</f>
        <v>Strategy</v>
      </c>
      <c r="D243">
        <f>IF($A243="","",COUNTIF(connections!$A$2:$A$1425,$A243)+COUNTIF(connections!$B$2:$B$1425,$A243))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Drop Pockets</v>
      </c>
      <c r="B244">
        <f>IF($A244="","",games!$B244)</f>
        <v>2025</v>
      </c>
      <c r="C244" t="str">
        <f>IF($A244="","",games!$C244)</f>
        <v>Strategy</v>
      </c>
      <c r="D244">
        <f>IF($A244="","",COUNTIF(connections!$A$2:$A$1425,$A244)+COUNTIF(connections!$B$2:$B$1425,$A244))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Clawler</v>
      </c>
      <c r="B245">
        <f>IF($A245="","",games!$B245)</f>
        <v>2024</v>
      </c>
      <c r="C245" t="str">
        <f>IF($A245="","",games!$C245)</f>
        <v>Deckbuilder</v>
      </c>
      <c r="D245">
        <f>IF($A245="","",COUNTIF(connections!$A$2:$A$1425,$A245)+COUNTIF(connections!$B$2:$B$1425,$A245))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Crawl Stone Soup</v>
      </c>
      <c r="B246">
        <f>IF($A246="","",games!$B246)</f>
        <v>2006</v>
      </c>
      <c r="C246" t="str">
        <f>IF($A246="","",games!$C246)</f>
        <v>Traditional</v>
      </c>
      <c r="D246">
        <f>IF($A246="","",COUNTIF(connections!$A$2:$A$1425,$A246)+COUNTIF(connections!$B$2:$B$1425,$A246))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Deathball</v>
      </c>
      <c r="B247">
        <f>IF($A247="","",games!$B247)</f>
        <v>2021</v>
      </c>
      <c r="C247" t="str">
        <f>IF($A247="","",games!$C247)</f>
        <v>Strategy</v>
      </c>
      <c r="D247">
        <f>IF($A247="","",COUNTIF(connections!$A$2:$A$1425,$A247)+COUNTIF(connections!$B$2:$B$1425,$A247))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Drafters</v>
      </c>
      <c r="B248">
        <f>IF($A248="","",games!$B248)</f>
        <v>2023</v>
      </c>
      <c r="C248" t="str">
        <f>IF($A248="","",games!$C248)</f>
        <v>Traditional</v>
      </c>
      <c r="D248">
        <f>IF($A248="","",COUNTIF(connections!$A$2:$A$1425,$A248)+COUNTIF(connections!$B$2:$B$1425,$A248))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Hack</v>
      </c>
      <c r="B249">
        <f>IF($A249="","",games!$B249)</f>
        <v>1993</v>
      </c>
      <c r="C249" t="str">
        <f>IF($A249="","",games!$C249)</f>
        <v>Action</v>
      </c>
      <c r="D249">
        <f>IF($A249="","",COUNTIF(connections!$A$2:$A$1425,$A249)+COUNTIF(connections!$B$2:$B$1425,$A249))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of Windaria</v>
      </c>
      <c r="B250">
        <f>IF($A250="","",games!$B250)</f>
        <v>2008</v>
      </c>
      <c r="C250" t="str">
        <f>IF($A250="","",games!$C250)</f>
        <v>Traditional</v>
      </c>
      <c r="D250">
        <f>IF($A250="","",COUNTIF(connections!$A$2:$A$1425,$A250)+COUNTIF(connections!$B$2:$B$1425,$A250))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 Rushers</v>
      </c>
      <c r="B251">
        <f>IF($A251="","",games!$B251)</f>
        <v>2016</v>
      </c>
      <c r="C251" t="str">
        <f>IF($A251="","",games!$C251)</f>
        <v>Strategy</v>
      </c>
      <c r="D251">
        <f>IF($A251="","",COUNTIF(connections!$A$2:$A$1425,$A251)+COUNTIF(connections!$B$2:$B$1425,$A251))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Dungeonmans</v>
      </c>
      <c r="B252">
        <f>IF($A252="","",games!$B252)</f>
        <v>2010</v>
      </c>
      <c r="C252" t="str">
        <f>IF($A252="","",games!$C252)</f>
        <v>Traditional</v>
      </c>
      <c r="D252">
        <f>IF($A252="","",COUNTIF(connections!$A$2:$A$1425,$A252)+COUNTIF(connections!$B$2:$B$1425,$A252))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&amp; Degenerate Gamblers</v>
      </c>
      <c r="B253">
        <f>IF($A253="","",games!$B253)</f>
        <v>2024</v>
      </c>
      <c r="C253" t="str">
        <f>IF($A253="","",games!$C253)</f>
        <v>Deckbuilder</v>
      </c>
      <c r="D253">
        <f>IF($A253="","",COUNTIF(connections!$A$2:$A$1425,$A253)+COUNTIF(connections!$B$2:$B$1425,$A253))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Blood and Dream</v>
      </c>
      <c r="B254">
        <f>IF($A254="","",games!$B254)</f>
        <v>2024</v>
      </c>
      <c r="C254" t="str">
        <f>IF($A254="","",games!$C254)</f>
        <v>Action</v>
      </c>
      <c r="D254">
        <f>IF($A254="","",COUNTIF(connections!$A$2:$A$1425,$A254)+COUNTIF(connections!$B$2:$B$1425,$A254))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Dungeons of Dredmor</v>
      </c>
      <c r="B255">
        <f>IF($A255="","",games!$B255)</f>
        <v>2011</v>
      </c>
      <c r="C255" t="str">
        <f>IF($A255="","",games!$C255)</f>
        <v>Traditional</v>
      </c>
      <c r="D255">
        <f>IF($A255="","",COUNTIF(connections!$A$2:$A$1425,$A255)+COUNTIF(connections!$B$2:$B$1425,$A255))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Dungreed</v>
      </c>
      <c r="B256">
        <f>IF($A256="","",games!$B256)</f>
        <v>2018</v>
      </c>
      <c r="C256" t="str">
        <f>IF($A256="","",games!$C256)</f>
        <v>Action</v>
      </c>
      <c r="D256">
        <f>IF($A256="","",COUNTIF(connections!$A$2:$A$1425,$A256)+COUNTIF(connections!$B$2:$B$1425,$A256))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Dunjungle</v>
      </c>
      <c r="B257">
        <f>IF($A257="","",games!$B257)</f>
        <v>2025</v>
      </c>
      <c r="C257" t="str">
        <f>IF($A257="","",games!$C257)</f>
        <v>Action</v>
      </c>
      <c r="D257">
        <f>IF($A257="","",COUNTIF(connections!$A$2:$A$1425,$A257)+COUNTIF(connections!$B$2:$B$1425,$A257))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Dwarf Fortress</v>
      </c>
      <c r="B258">
        <f>IF($A258="","",games!$B258)</f>
        <v>2006</v>
      </c>
      <c r="C258" t="str">
        <f>IF($A258="","",games!$C258)</f>
        <v>Strategy</v>
      </c>
      <c r="D258">
        <f>IF($A258="","",COUNTIF(connections!$A$2:$A$1425,$A258)+COUNTIF(connections!$B$2:$B$1425,$A258))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Dwarves: Glory, Death and Loot</v>
      </c>
      <c r="B259">
        <f>IF($A259="","",games!$B259)</f>
        <v>2023</v>
      </c>
      <c r="C259" t="str">
        <f>IF($A259="","",games!$C259)</f>
        <v>Strategy</v>
      </c>
      <c r="D259">
        <f>IF($A259="","",COUNTIF(connections!$A$2:$A$1425,$A259)+COUNTIF(connections!$B$2:$B$1425,$A259))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Elden Ring Nightreign</v>
      </c>
      <c r="B260">
        <f>IF($A260="","",games!$B260)</f>
        <v>2025</v>
      </c>
      <c r="C260" t="str">
        <f>IF($A260="","",games!$C260)</f>
        <v>Action</v>
      </c>
      <c r="D260">
        <f>IF($A260="","",COUNTIF(connections!$A$2:$A$1425,$A260)+COUNTIF(connections!$B$2:$B$1425,$A260))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Eldritch</v>
      </c>
      <c r="B261">
        <f>IF($A261="","",games!$B261)</f>
        <v>2013</v>
      </c>
      <c r="C261" t="str">
        <f>IF($A261="","",games!$C261)</f>
        <v>Action</v>
      </c>
      <c r="D261">
        <f>IF($A261="","",COUNTIF(connections!$A$2:$A$1425,$A261)+COUNTIF(connections!$B$2:$B$1425,$A261))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Elemental Survivors</v>
      </c>
      <c r="B262">
        <f>IF($A262="","",games!$B262)</f>
        <v>2023</v>
      </c>
      <c r="C262" t="str">
        <f>IF($A262="","",games!$C262)</f>
        <v>Action</v>
      </c>
      <c r="D262">
        <f>IF($A262="","",COUNTIF(connections!$A$2:$A$1425,$A262)+COUNTIF(connections!$B$2:$B$1425,$A262))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Elewar: Fused Survivors</v>
      </c>
      <c r="B263">
        <f>IF($A263="","",games!$B263)</f>
        <v>2023</v>
      </c>
      <c r="C263" t="str">
        <f>IF($A263="","",games!$C263)</f>
        <v>Action</v>
      </c>
      <c r="D263">
        <f>IF($A263="","",COUNTIF(connections!$A$2:$A$1425,$A263)+COUNTIF(connections!$B$2:$B$1425,$A263))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Elin</v>
      </c>
      <c r="B264">
        <f>IF($A264="","",games!$B264)</f>
        <v>2024</v>
      </c>
      <c r="C264" t="str">
        <f>IF($A264="","",games!$C264)</f>
        <v>Traditional</v>
      </c>
      <c r="D264">
        <f>IF($A264="","",COUNTIF(connections!$A$2:$A$1425,$A264)+COUNTIF(connections!$B$2:$B$1425,$A264))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IF($A265="","",COUNTIF(connections!$A$2:$A$1425,$A265)+COUNTIF(connections!$B$2:$B$1425,$A265))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 Knights</v>
      </c>
      <c r="B266">
        <f>IF($A266="","",games!$B266)</f>
        <v>2022</v>
      </c>
      <c r="C266" t="str">
        <f>IF($A266="","",games!$C266)</f>
        <v>Action</v>
      </c>
      <c r="D266">
        <f>IF($A266="","",COUNTIF(connections!$A$2:$A$1425,$A266)+COUNTIF(connections!$B$2:$B$1425,$A266))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Emberward</v>
      </c>
      <c r="B267">
        <f>IF($A267="","",games!$B267)</f>
        <v>2024</v>
      </c>
      <c r="C267" t="str">
        <f>IF($A267="","",games!$C267)</f>
        <v>Strategy</v>
      </c>
      <c r="D267">
        <f>IF($A267="","",COUNTIF(connections!$A$2:$A$1425,$A267)+COUNTIF(connections!$B$2:$B$1425,$A267))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Endgame of Devil</v>
      </c>
      <c r="B268">
        <f>IF($A268="","",games!$B268)</f>
        <v>2023</v>
      </c>
      <c r="C268" t="str">
        <f>IF($A268="","",games!$C268)</f>
        <v>Deckbuilder</v>
      </c>
      <c r="D268">
        <f>IF($A268="","",COUNTIF(connections!$A$2:$A$1425,$A268)+COUNTIF(connections!$B$2:$B$1425,$A268))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Endless Alice</v>
      </c>
      <c r="B269">
        <f>IF($A269="","",games!$B269)</f>
        <v>2025</v>
      </c>
      <c r="C269" t="str">
        <f>IF($A269="","",games!$C269)</f>
        <v>Action</v>
      </c>
      <c r="D269">
        <f>IF($A269="","",COUNTIF(connections!$A$2:$A$1425,$A269)+COUNTIF(connections!$B$2:$B$1425,$A269))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Enter the Gungeon</v>
      </c>
      <c r="B270">
        <f>IF($A270="","",games!$B270)</f>
        <v>2016</v>
      </c>
      <c r="C270" t="str">
        <f>IF($A270="","",games!$C270)</f>
        <v>Action</v>
      </c>
      <c r="D270">
        <f>IF($A270="","",COUNTIF(connections!$A$2:$A$1425,$A270)+COUNTIF(connections!$B$2:$B$1425,$A270))</f>
        <v>33</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33.00027</v>
      </c>
      <c r="P270" t="str">
        <f>IF(OR($A270="",games!$H270=""),"",games!$H270)</f>
        <v>Yes</v>
      </c>
      <c r="Q270">
        <f t="shared" si="63"/>
        <v>33.00027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Escape The Mad Empire</v>
      </c>
      <c r="B271">
        <f>IF($A271="","",games!$B271)</f>
        <v>2025</v>
      </c>
      <c r="C271" t="str">
        <f>IF($A271="","",games!$C271)</f>
        <v>Strategy</v>
      </c>
      <c r="D271">
        <f>IF($A271="","",COUNTIF(connections!$A$2:$A$1425,$A271)+COUNTIF(connections!$B$2:$B$1425,$A271))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Eternal Quest</v>
      </c>
      <c r="B272">
        <f>IF($A272="","",games!$B272)</f>
        <v>2004</v>
      </c>
      <c r="C272" t="str">
        <f>IF($A272="","",games!$C272)</f>
        <v>Traditional</v>
      </c>
      <c r="D272">
        <f>IF($A272="","",COUNTIF(connections!$A$2:$A$1425,$A272)+COUNTIF(connections!$B$2:$B$1425,$A272))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v>
      </c>
      <c r="B273">
        <f>IF($A273="","",games!$B273)</f>
        <v>2015</v>
      </c>
      <c r="C273" t="str">
        <f>IF($A273="","",games!$C273)</f>
        <v>Traditional</v>
      </c>
      <c r="D273">
        <f>IF($A273="","",COUNTIF(connections!$A$2:$A$1425,$A273)+COUNTIF(connections!$B$2:$B$1425,$A273))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Etrian Mystery Dungeon 2</v>
      </c>
      <c r="B274">
        <f>IF($A274="","",games!$B274)</f>
        <v>2017</v>
      </c>
      <c r="C274" t="str">
        <f>IF($A274="","",games!$C274)</f>
        <v>Traditional</v>
      </c>
      <c r="D274">
        <f>IF($A274="","",COUNTIF(connections!$A$2:$A$1425,$A274)+COUNTIF(connections!$B$2:$B$1425,$A274))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Everything is Crab</v>
      </c>
      <c r="B275">
        <f>IF($A275="","",games!$B275)</f>
        <v>2026</v>
      </c>
      <c r="C275" t="str">
        <f>IF($A275="","",games!$C275)</f>
        <v>Action</v>
      </c>
      <c r="D275">
        <f>IF($A275="","",COUNTIF(connections!$A$2:$A$1425,$A275)+COUNTIF(connections!$B$2:$B$1425,$A275))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Evolings</v>
      </c>
      <c r="B276">
        <f>IF($A276="","",games!$B276)</f>
        <v>2023</v>
      </c>
      <c r="C276" t="str">
        <f>IF($A276="","",games!$C276)</f>
        <v>Action</v>
      </c>
      <c r="D276">
        <f>IF($A276="","",COUNTIF(connections!$A$2:$A$1425,$A276)+COUNTIF(connections!$B$2:$B$1425,$A276))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Exit the Gungeon</v>
      </c>
      <c r="B277">
        <f>IF($A277="","",games!$B277)</f>
        <v>2020</v>
      </c>
      <c r="C277" t="str">
        <f>IF($A277="","",games!$C277)</f>
        <v>Action</v>
      </c>
      <c r="D277">
        <f>IF($A277="","",COUNTIF(connections!$A$2:$A$1425,$A277)+COUNTIF(connections!$B$2:$B$1425,$A277))</f>
        <v>1</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Facehand</v>
      </c>
      <c r="B278">
        <f>IF($A278="","",games!$B278)</f>
        <v>2024</v>
      </c>
      <c r="C278" t="str">
        <f>IF($A278="","",games!$C278)</f>
        <v>Deckbuilder</v>
      </c>
      <c r="D278">
        <f>IF($A278="","",COUNTIF(connections!$A$2:$A$1425,$A278)+COUNTIF(connections!$B$2:$B$1425,$A278))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Fairy Tail: Dungeons</v>
      </c>
      <c r="B279">
        <f>IF($A279="","",games!$B279)</f>
        <v>2024</v>
      </c>
      <c r="C279" t="str">
        <f>IF($A279="","",games!$C279)</f>
        <v>Deckbuilder</v>
      </c>
      <c r="D279">
        <f>IF($A279="","",COUNTIF(connections!$A$2:$A$1425,$A279)+COUNTIF(connections!$B$2:$B$1425,$A279))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Fatal Labyrinth</v>
      </c>
      <c r="B280">
        <f>IF($A280="","",games!$B280)</f>
        <v>1990</v>
      </c>
      <c r="C280" t="str">
        <f>IF($A280="","",games!$C280)</f>
        <v>Traditional</v>
      </c>
      <c r="D280">
        <f>IF($A280="","",COUNTIF(connections!$A$2:$A$1425,$A280)+COUNTIF(connections!$B$2:$B$1425,$A280))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Fear &amp; Hunger</v>
      </c>
      <c r="B281">
        <f>IF($A281="","",games!$B281)</f>
        <v>2018</v>
      </c>
      <c r="C281" t="str">
        <f>IF($A281="","",games!$C281)</f>
        <v>Strategy</v>
      </c>
      <c r="D281">
        <f>IF($A281="","",COUNTIF(connections!$A$2:$A$1425,$A281)+COUNTIF(connections!$B$2:$B$1425,$A281))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Feed the Deep</v>
      </c>
      <c r="B282">
        <f>IF($A282="","",games!$B282)</f>
        <v>2024</v>
      </c>
      <c r="C282" t="str">
        <f>IF($A282="","",games!$C282)</f>
        <v>Strategy</v>
      </c>
      <c r="D282">
        <f>IF($A282="","",COUNTIF(connections!$A$2:$A$1425,$A282)+COUNTIF(connections!$B$2:$B$1425,$A282))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Fights in Tight Spaces</v>
      </c>
      <c r="B283">
        <f>IF($A283="","",games!$B283)</f>
        <v>2021</v>
      </c>
      <c r="C283" t="str">
        <f>IF($A283="","",games!$C283)</f>
        <v>Deckbuilder</v>
      </c>
      <c r="D283">
        <f>IF($A283="","",COUNTIF(connections!$A$2:$A$1425,$A283)+COUNTIF(connections!$B$2:$B$1425,$A283))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Final Fantasy Fables: Chocobo's Dungeon</v>
      </c>
      <c r="B284">
        <f>IF($A284="","",games!$B284)</f>
        <v>2007</v>
      </c>
      <c r="C284" t="str">
        <f>IF($A284="","",games!$C284)</f>
        <v>Traditional</v>
      </c>
      <c r="D284">
        <f>IF($A284="","",COUNTIF(connections!$A$2:$A$1425,$A284)+COUNTIF(connections!$B$2:$B$1425,$A284))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Fish Fear Me</v>
      </c>
      <c r="B285">
        <f>IF($A285="","",games!$B285)</f>
        <v>2024</v>
      </c>
      <c r="C285" t="str">
        <f>IF($A285="","",games!$C285)</f>
        <v>Action</v>
      </c>
      <c r="D285">
        <f>IF($A285="","",COUNTIF(connections!$A$2:$A$1425,$A285)+COUNTIF(connections!$B$2:$B$1425,$A285))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FLERP</v>
      </c>
      <c r="B286">
        <f>IF($A286="","",games!$B286)</f>
        <v>2022</v>
      </c>
      <c r="C286" t="str">
        <f>IF($A286="","",games!$C286)</f>
        <v>Action</v>
      </c>
      <c r="D286">
        <f>IF($A286="","",COUNTIF(connections!$A$2:$A$1425,$A286)+COUNTIF(connections!$B$2:$B$1425,$A286))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Flick Shot Rogues</v>
      </c>
      <c r="B287">
        <f>IF($A287="","",games!$B287)</f>
        <v>2025</v>
      </c>
      <c r="C287" t="str">
        <f>IF($A287="","",games!$C287)</f>
        <v>Strategy</v>
      </c>
      <c r="D287">
        <f>IF($A287="","",COUNTIF(connections!$A$2:$A$1425,$A287)+COUNTIF(connections!$B$2:$B$1425,$A287))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Flinthook</v>
      </c>
      <c r="B288">
        <f>IF($A288="","",games!$B288)</f>
        <v>2017</v>
      </c>
      <c r="C288" t="str">
        <f>IF($A288="","",games!$C288)</f>
        <v>Action</v>
      </c>
      <c r="D288">
        <f>IF($A288="","",COUNTIF(connections!$A$2:$A$1425,$A288)+COUNTIF(connections!$B$2:$B$1425,$A288))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Fogpiercer</v>
      </c>
      <c r="B289">
        <f>IF($A289="","",games!$B289)</f>
        <v>2026</v>
      </c>
      <c r="C289" t="str">
        <f>IF($A289="","",games!$C289)</f>
        <v>Deckbuilder</v>
      </c>
      <c r="D289">
        <f>IF($A289="","",COUNTIF(connections!$A$2:$A$1425,$A289)+COUNTIF(connections!$B$2:$B$1425,$A289))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Footgun: Underground</v>
      </c>
      <c r="B290">
        <f>IF($A290="","",games!$B290)</f>
        <v>2024</v>
      </c>
      <c r="C290" t="str">
        <f>IF($A290="","",games!$C290)</f>
        <v>Action</v>
      </c>
      <c r="D290">
        <f>IF($A290="","",COUNTIF(connections!$A$2:$A$1425,$A290)+COUNTIF(connections!$B$2:$B$1425,$A290))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v>
      </c>
      <c r="B291">
        <f>IF($A291="","",games!$B291)</f>
        <v>2018</v>
      </c>
      <c r="C291" t="str">
        <f>IF($A291="","",games!$C291)</f>
        <v>Strategy</v>
      </c>
      <c r="D291">
        <f>IF($A291="","",COUNTIF(connections!$A$2:$A$1425,$A291)+COUNTIF(connections!$B$2:$B$1425,$A291))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King 2</v>
      </c>
      <c r="B292">
        <f>IF($A292="","",games!$B292)</f>
        <v>2023</v>
      </c>
      <c r="C292" t="str">
        <f>IF($A292="","",games!$C292)</f>
        <v>Strategy</v>
      </c>
      <c r="D292">
        <f>IF($A292="","",COUNTIF(connections!$A$2:$A$1425,$A292)+COUNTIF(connections!$B$2:$B$1425,$A292))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 The Warp</v>
      </c>
      <c r="B293">
        <f>IF($A293="","",games!$B293)</f>
        <v>2020</v>
      </c>
      <c r="C293" t="str">
        <f>IF($A293="","",games!$C293)</f>
        <v>Deckbuilder</v>
      </c>
      <c r="D293">
        <f>IF($A293="","",COUNTIF(connections!$A$2:$A$1425,$A293)+COUNTIF(connections!$B$2:$B$1425,$A293))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Forestrike</v>
      </c>
      <c r="B294">
        <f>IF($A294="","",games!$B294)</f>
        <v>2025</v>
      </c>
      <c r="C294" t="str">
        <f>IF($A294="","",games!$C294)</f>
        <v>Action</v>
      </c>
      <c r="D294">
        <f>IF($A294="","",COUNTIF(connections!$A$2:$A$1425,$A294)+COUNTIF(connections!$B$2:$B$1425,$A294))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Forward: Escape the Fold</v>
      </c>
      <c r="B295">
        <f>IF($A295="","",games!$B295)</f>
        <v>2022</v>
      </c>
      <c r="C295" t="str">
        <f>IF($A295="","",games!$C295)</f>
        <v>Strategy</v>
      </c>
      <c r="D295">
        <f>IF($A295="","",COUNTIF(connections!$A$2:$A$1425,$A295)+COUNTIF(connections!$B$2:$B$1425,$A295))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Freaky Awesome</v>
      </c>
      <c r="B296">
        <f>IF($A296="","",games!$B296)</f>
        <v>2017</v>
      </c>
      <c r="C296" t="str">
        <f>IF($A296="","",games!$C296)</f>
        <v>Action</v>
      </c>
      <c r="D296">
        <f>IF($A296="","",COUNTIF(connections!$A$2:$A$1425,$A296)+COUNTIF(connections!$B$2:$B$1425,$A296))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From The Top</v>
      </c>
      <c r="B297">
        <f>IF($A297="","",games!$B297)</f>
        <v>2025</v>
      </c>
      <c r="C297" t="str">
        <f>IF($A297="","",games!$C297)</f>
        <v>Action</v>
      </c>
      <c r="D297">
        <f>IF($A297="","",COUNTIF(connections!$A$2:$A$1425,$A297)+COUNTIF(connections!$B$2:$B$1425,$A297))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Frozen Depths</v>
      </c>
      <c r="B298">
        <f>IF($A298="","",games!$B298)</f>
        <v>2006</v>
      </c>
      <c r="C298" t="str">
        <f>IF($A298="","",games!$C298)</f>
        <v>Traditional</v>
      </c>
      <c r="D298">
        <f>IF($A298="","",COUNTIF(connections!$A$2:$A$1425,$A298)+COUNTIF(connections!$B$2:$B$1425,$A298))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FTL</v>
      </c>
      <c r="B299">
        <f>IF($A299="","",games!$B299)</f>
        <v>2012</v>
      </c>
      <c r="C299" t="str">
        <f>IF($A299="","",games!$C299)</f>
        <v>Strategy</v>
      </c>
      <c r="D299">
        <f>IF($A299="","",COUNTIF(connections!$A$2:$A$1425,$A299)+COUNTIF(connections!$B$2:$B$1425,$A299))</f>
        <v>42</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42.000298999999998</v>
      </c>
      <c r="P299" t="str">
        <f>IF(OR($A299="",games!$H299=""),"",games!$H299)</f>
        <v>Yes</v>
      </c>
      <c r="Q299">
        <f t="shared" si="63"/>
        <v>42.000298999999998</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Full Mojo Rampage</v>
      </c>
      <c r="B300">
        <f>IF($A300="","",games!$B300)</f>
        <v>2013</v>
      </c>
      <c r="C300" t="str">
        <f>IF($A300="","",games!$C300)</f>
        <v>Action</v>
      </c>
      <c r="D300">
        <f>IF($A300="","",COUNTIF(connections!$A$2:$A$1425,$A300)+COUNTIF(connections!$B$2:$B$1425,$A300))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Fury Unleashed</v>
      </c>
      <c r="B301">
        <f>IF($A301="","",games!$B301)</f>
        <v>2020</v>
      </c>
      <c r="C301" t="str">
        <f>IF($A301="","",games!$C301)</f>
        <v>Action</v>
      </c>
      <c r="D301">
        <f>IF($A301="","",COUNTIF(connections!$A$2:$A$1425,$A301)+COUNTIF(connections!$B$2:$B$1425,$A301))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v>
      </c>
      <c r="B302">
        <f>IF($A302="","",games!$B302)</f>
        <v>2010</v>
      </c>
      <c r="C302" t="str">
        <f>IF($A302="","",games!$C302)</f>
        <v>Traditional</v>
      </c>
      <c r="D302">
        <f>IF($A302="","",COUNTIF(connections!$A$2:$A$1425,$A302)+COUNTIF(connections!$B$2:$B$1425,$A302))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Fushigi no Gensoukyou 3</v>
      </c>
      <c r="B303">
        <f>IF($A303="","",games!$B303)</f>
        <v>2014</v>
      </c>
      <c r="C303" t="str">
        <f>IF($A303="","",games!$C303)</f>
        <v>Traditional</v>
      </c>
      <c r="D303">
        <f>IF($A303="","",COUNTIF(connections!$A$2:$A$1425,$A303)+COUNTIF(connections!$B$2:$B$1425,$A303))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Galactic Glitch</v>
      </c>
      <c r="B304">
        <f>IF($A304="","",games!$B304)</f>
        <v>2024</v>
      </c>
      <c r="C304" t="str">
        <f>IF($A304="","",games!$C304)</f>
        <v>Action</v>
      </c>
      <c r="D304">
        <f>IF($A304="","",COUNTIF(connections!$A$2:$A$1425,$A304)+COUNTIF(connections!$B$2:$B$1425,$A304))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Gambonanza</v>
      </c>
      <c r="B305">
        <f>IF($A305="","",games!$B305)</f>
        <v>2026</v>
      </c>
      <c r="C305" t="str">
        <f>IF($A305="","",games!$C305)</f>
        <v>Deckbuilder</v>
      </c>
      <c r="D305">
        <f>IF($A305="","",COUNTIF(connections!$A$2:$A$1425,$A305)+COUNTIF(connections!$B$2:$B$1425,$A305))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Garden of Witches</v>
      </c>
      <c r="B306">
        <f>IF($A306="","",games!$B306)</f>
        <v>2025</v>
      </c>
      <c r="C306" t="str">
        <f>IF($A306="","",games!$C306)</f>
        <v>Action</v>
      </c>
      <c r="D306">
        <f>IF($A306="","",COUNTIF(connections!$A$2:$A$1425,$A306)+COUNTIF(connections!$B$2:$B$1425,$A306))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Gatekeeper</v>
      </c>
      <c r="B307">
        <f>IF($A307="","",games!$B307)</f>
        <v>2024</v>
      </c>
      <c r="C307" t="str">
        <f>IF($A307="","",games!$C307)</f>
        <v>Action</v>
      </c>
      <c r="D307">
        <f>IF($A307="","",COUNTIF(connections!$A$2:$A$1425,$A307)+COUNTIF(connections!$B$2:$B$1425,$A307))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v>
      </c>
      <c r="B308">
        <f>IF($A308="","",games!$B308)</f>
        <v>2002</v>
      </c>
      <c r="C308" t="str">
        <f>IF($A308="","",games!$C308)</f>
        <v>Traditional</v>
      </c>
      <c r="D308">
        <f>IF($A308="","",COUNTIF(connections!$A$2:$A$1425,$A308)+COUNTIF(connections!$B$2:$B$1425,$A308))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2</v>
      </c>
      <c r="B309">
        <f>IF($A309="","",games!$B309)</f>
        <v>2007</v>
      </c>
      <c r="C309" t="str">
        <f>IF($A309="","",games!$C309)</f>
        <v>Traditional</v>
      </c>
      <c r="D309">
        <f>IF($A309="","",COUNTIF(connections!$A$2:$A$1425,$A309)+COUNTIF(connections!$B$2:$B$1425,$A309))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GearHead Caramel</v>
      </c>
      <c r="B310">
        <f>IF($A310="","",games!$B310)</f>
        <v>2022</v>
      </c>
      <c r="C310" t="str">
        <f>IF($A310="","",games!$C310)</f>
        <v>Traditional</v>
      </c>
      <c r="D310">
        <f>IF($A310="","",COUNTIF(connections!$A$2:$A$1425,$A310)+COUNTIF(connections!$B$2:$B$1425,$A310))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v>
      </c>
      <c r="B311">
        <f>IF($A311="","",games!$B311)</f>
        <v>2024</v>
      </c>
      <c r="C311" t="str">
        <f>IF($A311="","",games!$C311)</f>
        <v>Action</v>
      </c>
      <c r="D311">
        <f>IF($A311="","",COUNTIF(connections!$A$2:$A$1425,$A311)+COUNTIF(connections!$B$2:$B$1425,$A311))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Genome Guardian 2</v>
      </c>
      <c r="B312">
        <f>IF($A312="","",games!$B312)</f>
        <v>2026</v>
      </c>
      <c r="C312" t="str">
        <f>IF($A312="","",games!$C312)</f>
        <v>Action</v>
      </c>
      <c r="D312">
        <f>IF($A312="","",COUNTIF(connections!$A$2:$A$1425,$A312)+COUNTIF(connections!$B$2:$B$1425,$A312))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v>
      </c>
      <c r="B313">
        <f>IF($A313="","",games!$B313)</f>
        <v>2020</v>
      </c>
      <c r="C313" t="str">
        <f>IF($A313="","",games!$C313)</f>
        <v>Action</v>
      </c>
      <c r="D313">
        <f>IF($A313="","",COUNTIF(connections!$A$2:$A$1425,$A313)+COUNTIF(connections!$B$2:$B$1425,$A313))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Geometry Arena 2</v>
      </c>
      <c r="B314">
        <f>IF($A314="","",games!$B314)</f>
        <v>2023</v>
      </c>
      <c r="C314" t="str">
        <f>IF($A314="","",games!$C314)</f>
        <v>Action</v>
      </c>
      <c r="D314">
        <f>IF($A314="","",COUNTIF(connections!$A$2:$A$1425,$A314)+COUNTIF(connections!$B$2:$B$1425,$A314))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Glyphica: Typing Survival</v>
      </c>
      <c r="B315">
        <f>IF($A315="","",games!$B315)</f>
        <v>2024</v>
      </c>
      <c r="C315" t="str">
        <f>IF($A315="","",games!$C315)</f>
        <v>Action</v>
      </c>
      <c r="D315">
        <f>IF($A315="","",COUNTIF(connections!$A$2:$A$1425,$A315)+COUNTIF(connections!$B$2:$B$1425,$A315))</f>
        <v>1</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GnollHack</v>
      </c>
      <c r="B316">
        <f>IF($A316="","",games!$B316)</f>
        <v>2020</v>
      </c>
      <c r="C316" t="str">
        <f>IF($A316="","",games!$C316)</f>
        <v>Traditional</v>
      </c>
      <c r="D316">
        <f>IF($A316="","",COUNTIF(connections!$A$2:$A$1425,$A316)+COUNTIF(connections!$B$2:$B$1425,$A316))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Gnomes</v>
      </c>
      <c r="B317">
        <f>IF($A317="","",games!$B317)</f>
        <v>2025</v>
      </c>
      <c r="C317" t="str">
        <f>IF($A317="","",games!$C317)</f>
        <v>Strategy</v>
      </c>
      <c r="D317">
        <f>IF($A317="","",COUNTIF(connections!$A$2:$A$1425,$A317)+COUNTIF(connections!$B$2:$B$1425,$A317))</f>
        <v>0</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 Mecha Ball</v>
      </c>
      <c r="B318">
        <f>IF($A318="","",games!$B318)</f>
        <v>2024</v>
      </c>
      <c r="C318" t="str">
        <f>IF($A318="","",games!$C318)</f>
        <v>Action</v>
      </c>
      <c r="D318">
        <f>IF($A318="","",COUNTIF(connections!$A$2:$A$1425,$A318)+COUNTIF(connections!$B$2:$B$1425,$A318))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Goblin Sushi</v>
      </c>
      <c r="B319">
        <f>IF($A319="","",games!$B319)</f>
        <v>2026</v>
      </c>
      <c r="C319" t="str">
        <f>IF($A319="","",games!$C319)</f>
        <v>Deckbuilder</v>
      </c>
      <c r="D319">
        <f>IF($A319="","",COUNTIF(connections!$A$2:$A$1425,$A319)+COUNTIF(connections!$B$2:$B$1425,$A319))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 of Weapons</v>
      </c>
      <c r="B320">
        <f>IF($A320="","",games!$B320)</f>
        <v>2023</v>
      </c>
      <c r="C320" t="str">
        <f>IF($A320="","",games!$C320)</f>
        <v>Action</v>
      </c>
      <c r="D320">
        <f>IF($A320="","",COUNTIF(connections!$A$2:$A$1425,$A320)+COUNTIF(connections!$B$2:$B$1425,$A320))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Godbreakers</v>
      </c>
      <c r="B321">
        <f>IF($A321="","",games!$B321)</f>
        <v>2025</v>
      </c>
      <c r="C321" t="str">
        <f>IF($A321="","",games!$C321)</f>
        <v>Action</v>
      </c>
      <c r="D321">
        <f>IF($A321="","",COUNTIF(connections!$A$2:$A$1425,$A321)+COUNTIF(connections!$B$2:$B$1425,$A321))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Going Under</v>
      </c>
      <c r="B322">
        <f>IF($A322="","",games!$B322)</f>
        <v>2020</v>
      </c>
      <c r="C322" t="str">
        <f>IF($A322="","",games!$C322)</f>
        <v>Action</v>
      </c>
      <c r="D322">
        <f>IF($A322="","",COUNTIF(connections!$A$2:$A$1425,$A322)+COUNTIF(connections!$B$2:$B$1425,$A322))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Krone Hotel</v>
      </c>
      <c r="B323">
        <f>IF($A323="","",games!$B323)</f>
        <v>2014</v>
      </c>
      <c r="C323" t="str">
        <f>IF($A323="","",games!$C323)</f>
        <v>Traditional</v>
      </c>
      <c r="D323">
        <f>IF($A323="","",COUNTIF(connections!$A$2:$A$1425,$A323)+COUNTIF(connections!$B$2:$B$1425,$A323))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Golden Light</v>
      </c>
      <c r="B324">
        <f>IF($A324="","",games!$B324)</f>
        <v>2020</v>
      </c>
      <c r="C324" t="str">
        <f>IF($A324="","",games!$C324)</f>
        <v>Action</v>
      </c>
      <c r="D324">
        <f>IF($A324="","",COUNTIF(connections!$A$2:$A$1425,$A324)+COUNTIF(connections!$B$2:$B$1425,$A324))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Golfie</v>
      </c>
      <c r="B325">
        <f>IF($A325="","",games!$B325)</f>
        <v>2022</v>
      </c>
      <c r="C325" t="str">
        <f>IF($A325="","",games!$C325)</f>
        <v>Action</v>
      </c>
      <c r="D325">
        <f>IF($A325="","",COUNTIF(connections!$A$2:$A$1425,$A325)+COUNTIF(connections!$B$2:$B$1425,$A325))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v>
      </c>
      <c r="B326">
        <f>IF($A326="","",games!$B326)</f>
        <v>2016</v>
      </c>
      <c r="C326" t="str">
        <f>IF($A326="","",games!$C326)</f>
        <v>Action</v>
      </c>
      <c r="D326">
        <f>IF($A326="","",COUNTIF(connections!$A$2:$A$1425,$A326)+COUNTIF(connections!$B$2:$B$1425,$A326))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GONNER2</v>
      </c>
      <c r="B327">
        <f>IF($A327="","",games!$B327)</f>
        <v>2020</v>
      </c>
      <c r="C327" t="str">
        <f>IF($A327="","",games!$C327)</f>
        <v>Action</v>
      </c>
      <c r="D327">
        <f>IF($A327="","",COUNTIF(connections!$A$2:$A$1425,$A327)+COUNTIF(connections!$B$2:$B$1425,$A327))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Goobies</v>
      </c>
      <c r="B328">
        <f>IF($A328="","",games!$B328)</f>
        <v>2023</v>
      </c>
      <c r="C328" t="str">
        <f>IF($A328="","",games!$C328)</f>
        <v>Action</v>
      </c>
      <c r="D328">
        <f>IF($A328="","",COUNTIF(connections!$A$2:$A$1425,$A328)+COUNTIF(connections!$B$2:$B$1425,$A328))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Gordian Quest</v>
      </c>
      <c r="B329">
        <f>IF($A329="","",games!$B329)</f>
        <v>2020</v>
      </c>
      <c r="C329" t="str">
        <f>IF($A329="","",games!$C329)</f>
        <v>Deckbuilder</v>
      </c>
      <c r="D329">
        <f>IF($A329="","",COUNTIF(connections!$A$2:$A$1425,$A329)+COUNTIF(connections!$B$2:$B$1425,$A329))</f>
        <v>1</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Granvir</v>
      </c>
      <c r="B330">
        <f>IF($A330="","",games!$B330)</f>
        <v>2025</v>
      </c>
      <c r="C330" t="str">
        <f>IF($A330="","",games!$C330)</f>
        <v>Action</v>
      </c>
      <c r="D330">
        <f>IF($A330="","",COUNTIF(connections!$A$2:$A$1425,$A330)+COUNTIF(connections!$B$2:$B$1425,$A330))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Greedland</v>
      </c>
      <c r="B331">
        <f>IF($A331="","",games!$B331)</f>
        <v>2023</v>
      </c>
      <c r="C331" t="str">
        <f>IF($A331="","",games!$C331)</f>
        <v>Action</v>
      </c>
      <c r="D331">
        <f>IF($A331="","",COUNTIF(connections!$A$2:$A$1425,$A331)+COUNTIF(connections!$B$2:$B$1425,$A331))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Griftlands</v>
      </c>
      <c r="B332">
        <f>IF($A332="","",games!$B332)</f>
        <v>2020</v>
      </c>
      <c r="C332" t="str">
        <f>IF($A332="","",games!$C332)</f>
        <v>Deckbuilder</v>
      </c>
      <c r="D332">
        <f>IF($A332="","",COUNTIF(connections!$A$2:$A$1425,$A332)+COUNTIF(connections!$B$2:$B$1425,$A332))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v>
      </c>
      <c r="B333">
        <f>IF($A333="","",games!$B333)</f>
        <v>2021</v>
      </c>
      <c r="C333" t="str">
        <f>IF($A333="","",games!$C333)</f>
        <v>Action</v>
      </c>
      <c r="D333">
        <f>IF($A333="","",COUNTIF(connections!$A$2:$A$1425,$A333)+COUNTIF(connections!$B$2:$B$1425,$A333))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Guidus Zero</v>
      </c>
      <c r="B334">
        <f>IF($A334="","",games!$B334)</f>
        <v>2024</v>
      </c>
      <c r="C334" t="str">
        <f>IF($A334="","",games!$C334)</f>
        <v>Action</v>
      </c>
      <c r="D334">
        <f>IF($A334="","",COUNTIF(connections!$A$2:$A$1425,$A334)+COUNTIF(connections!$B$2:$B$1425,$A334))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Guild of Dungeoneering</v>
      </c>
      <c r="B335">
        <f>IF($A335="","",games!$B335)</f>
        <v>2015</v>
      </c>
      <c r="C335" t="str">
        <f>IF($A335="","",games!$C335)</f>
        <v>Deckbuilder</v>
      </c>
      <c r="D335">
        <f>IF($A335="","",COUNTIF(connections!$A$2:$A$1425,$A335)+COUNTIF(connections!$B$2:$B$1425,$A335))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Gumballs &amp; Dungeons</v>
      </c>
      <c r="B336">
        <f>IF($A336="","",games!$B336)</f>
        <v>2017</v>
      </c>
      <c r="C336" t="str">
        <f>IF($A336="","",games!$C336)</f>
        <v>Strategy</v>
      </c>
      <c r="D336">
        <f>IF($A336="","",COUNTIF(connections!$A$2:$A$1425,$A336)+COUNTIF(connections!$B$2:$B$1425,$A336))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Gunfire Reborn</v>
      </c>
      <c r="B337">
        <f>IF($A337="","",games!$B337)</f>
        <v>2020</v>
      </c>
      <c r="C337" t="str">
        <f>IF($A337="","",games!$C337)</f>
        <v>Action</v>
      </c>
      <c r="D337">
        <f>IF($A337="","",COUNTIF(connections!$A$2:$A$1425,$A337)+COUNTIF(connections!$B$2:$B$1425,$A337))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v>
      </c>
      <c r="B338">
        <f>IF($A338="","",games!$B338)</f>
        <v>2022</v>
      </c>
      <c r="C338" t="str">
        <f>IF($A338="","",games!$C338)</f>
        <v>Action</v>
      </c>
      <c r="D338">
        <f>IF($A338="","",COUNTIF(connections!$A$2:$A$1425,$A338)+COUNTIF(connections!$B$2:$B$1425,$A338))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Gunlocked 2</v>
      </c>
      <c r="B339">
        <f>IF($A339="","",games!$B339)</f>
        <v>2025</v>
      </c>
      <c r="C339" t="str">
        <f>IF($A339="","",games!$C339)</f>
        <v>Action</v>
      </c>
      <c r="D339">
        <f>IF($A339="","",COUNTIF(connections!$A$2:$A$1425,$A339)+COUNTIF(connections!$B$2:$B$1425,$A339))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Guntouchables</v>
      </c>
      <c r="B340">
        <f>IF($A340="","",games!$B340)</f>
        <v>2025</v>
      </c>
      <c r="C340" t="str">
        <f>IF($A340="","",games!$C340)</f>
        <v>Action</v>
      </c>
      <c r="D340">
        <f>IF($A340="","",COUNTIF(connections!$A$2:$A$1425,$A340)+COUNTIF(connections!$B$2:$B$1425,$A340))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v>
      </c>
      <c r="B341">
        <f>IF($A341="","",games!$B341)</f>
        <v>1984</v>
      </c>
      <c r="C341" t="str">
        <f>IF($A341="","",games!$C341)</f>
        <v>Traditional</v>
      </c>
      <c r="D341">
        <f>IF($A341="","",COUNTIF(connections!$A$2:$A$1425,$A341)+COUNTIF(connections!$B$2:$B$1425,$A341))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Hack'EM</v>
      </c>
      <c r="B342">
        <f>IF($A342="","",games!$B342)</f>
        <v>2022</v>
      </c>
      <c r="C342" t="str">
        <f>IF($A342="","",games!$C342)</f>
        <v>Traditional</v>
      </c>
      <c r="D342">
        <f>IF($A342="","",COUNTIF(connections!$A$2:$A$1425,$A342)+COUNTIF(connections!$B$2:$B$1425,$A342))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Hadean Tactics</v>
      </c>
      <c r="B343">
        <f>IF($A343="","",games!$B343)</f>
        <v>2021</v>
      </c>
      <c r="C343" t="str">
        <f>IF($A343="","",games!$C343)</f>
        <v>Deckbuilder</v>
      </c>
      <c r="D343">
        <f>IF($A343="","",COUNTIF(connections!$A$2:$A$1425,$A343)+COUNTIF(connections!$B$2:$B$1425,$A343))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v>
      </c>
      <c r="B344">
        <f>IF($A344="","",games!$B344)</f>
        <v>2019</v>
      </c>
      <c r="C344" t="str">
        <f>IF($A344="","",games!$C344)</f>
        <v>Action</v>
      </c>
      <c r="D344">
        <f>IF($A344="","",COUNTIF(connections!$A$2:$A$1425,$A344)+COUNTIF(connections!$B$2:$B$1425,$A344))</f>
        <v>62</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62.000343999999998</v>
      </c>
      <c r="P344" t="str">
        <f>IF(OR($A344="",games!$H344=""),"",games!$H344)</f>
        <v>Yes</v>
      </c>
      <c r="Q344">
        <f t="shared" si="76"/>
        <v>62.000343999999998</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Hades II</v>
      </c>
      <c r="B345">
        <f>IF($A345="","",games!$B345)</f>
        <v>2024</v>
      </c>
      <c r="C345" t="str">
        <f>IF($A345="","",games!$C345)</f>
        <v>Action</v>
      </c>
      <c r="D345">
        <f>IF($A345="","",COUNTIF(connections!$A$2:$A$1425,$A345)+COUNTIF(connections!$B$2:$B$1425,$A345))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Halls of Torment</v>
      </c>
      <c r="B346">
        <f>IF($A346="","",games!$B346)</f>
        <v>2023</v>
      </c>
      <c r="C346" t="str">
        <f>IF($A346="","",games!$C346)</f>
        <v>Action</v>
      </c>
      <c r="D346">
        <f>IF($A346="","",COUNTIF(connections!$A$2:$A$1425,$A346)+COUNTIF(connections!$B$2:$B$1425,$A346))</f>
        <v>6</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6.0003460000000004</v>
      </c>
      <c r="P346" t="str">
        <f>IF(OR($A346="",games!$H346=""),"",games!$H346)</f>
        <v>Yes</v>
      </c>
      <c r="Q346">
        <f t="shared" si="76"/>
        <v>6.0003460000000004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v>
      </c>
      <c r="B347">
        <f>IF($A347="","",games!$B347)</f>
        <v>2014</v>
      </c>
      <c r="C347" t="str">
        <f>IF($A347="","",games!$C347)</f>
        <v>Deckbuilder</v>
      </c>
      <c r="D347">
        <f>IF($A347="","",COUNTIF(connections!$A$2:$A$1425,$A347)+COUNTIF(connections!$B$2:$B$1425,$A347))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2</v>
      </c>
      <c r="B348">
        <f>IF($A348="","",games!$B348)</f>
        <v>2017</v>
      </c>
      <c r="C348" t="str">
        <f>IF($A348="","",games!$C348)</f>
        <v>Deckbuilder</v>
      </c>
      <c r="D348">
        <f>IF($A348="","",COUNTIF(connections!$A$2:$A$1425,$A348)+COUNTIF(connections!$B$2:$B$1425,$A348))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 of Fate: Hordes</v>
      </c>
      <c r="B349">
        <f>IF($A349="","",games!$B349)</f>
        <v>2026</v>
      </c>
      <c r="C349" t="str">
        <f>IF($A349="","",games!$C349)</f>
        <v>Action</v>
      </c>
      <c r="D349">
        <f>IF($A349="","",COUNTIF(connections!$A$2:$A$1425,$A349)+COUNTIF(connections!$B$2:$B$1425,$A349))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Handmancers</v>
      </c>
      <c r="B350">
        <f>IF($A350="","",games!$B350)</f>
        <v>2026</v>
      </c>
      <c r="C350" t="str">
        <f>IF($A350="","",games!$C350)</f>
        <v>Deckbuilder</v>
      </c>
      <c r="D350">
        <f>IF($A350="","",COUNTIF(connections!$A$2:$A$1425,$A350)+COUNTIF(connections!$B$2:$B$1425,$A350))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Hangtime!</v>
      </c>
      <c r="B351">
        <f>IF($A351="","",games!$B351)</f>
        <v>2025</v>
      </c>
      <c r="C351" t="str">
        <f>IF($A351="","",games!$C351)</f>
        <v>Action</v>
      </c>
      <c r="D351">
        <f>IF($A351="","",COUNTIF(connections!$A$2:$A$1425,$A351)+COUNTIF(connections!$B$2:$B$1425,$A351))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Haque</v>
      </c>
      <c r="B352">
        <f>IF($A352="","",games!$B352)</f>
        <v>2017</v>
      </c>
      <c r="C352" t="str">
        <f>IF($A352="","",games!$C352)</f>
        <v>Traditional</v>
      </c>
      <c r="D352">
        <f>IF($A352="","",COUNTIF(connections!$A$2:$A$1425,$A352)+COUNTIF(connections!$B$2:$B$1425,$A352))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Has-Been Heroes</v>
      </c>
      <c r="B353">
        <f>IF($A353="","",games!$B353)</f>
        <v>2017</v>
      </c>
      <c r="C353" t="str">
        <f>IF($A353="","",games!$C353)</f>
        <v>Action</v>
      </c>
      <c r="D353">
        <f>IF($A353="","",COUNTIF(connections!$A$2:$A$1425,$A353)+COUNTIF(connections!$B$2:$B$1425,$A353))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Haste</v>
      </c>
      <c r="B354">
        <f>IF($A354="","",games!$B354)</f>
        <v>2025</v>
      </c>
      <c r="C354" t="str">
        <f>IF($A354="","",games!$C354)</f>
        <v>Action</v>
      </c>
      <c r="D354">
        <f>IF($A354="","",COUNTIF(connections!$A$2:$A$1425,$A354)+COUNTIF(connections!$B$2:$B$1425,$A354))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Have a Nice Death</v>
      </c>
      <c r="B355">
        <f>IF($A355="","",games!$B355)</f>
        <v>2022</v>
      </c>
      <c r="C355" t="str">
        <f>IF($A355="","",games!$C355)</f>
        <v>Action</v>
      </c>
      <c r="D355">
        <f>IF($A355="","",COUNTIF(connections!$A$2:$A$1425,$A355)+COUNTIF(connections!$B$2:$B$1425,$A355))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 is Coming</v>
      </c>
      <c r="B356">
        <f>IF($A356="","",games!$B356)</f>
        <v>2025</v>
      </c>
      <c r="C356" t="str">
        <f>IF($A356="","",games!$C356)</f>
        <v>Deckbuilder</v>
      </c>
      <c r="D356">
        <f>IF($A356="","",COUNTIF(connections!$A$2:$A$1425,$A356)+COUNTIF(connections!$B$2:$B$1425,$A356))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Heading Out</v>
      </c>
      <c r="B357">
        <f>IF($A357="","",games!$B357)</f>
        <v>2023</v>
      </c>
      <c r="C357" t="str">
        <f>IF($A357="","",games!$C357)</f>
        <v>Action</v>
      </c>
      <c r="D357">
        <f>IF($A357="","",COUNTIF(connections!$A$2:$A$1425,$A357)+COUNTIF(connections!$B$2:$B$1425,$A357))</f>
        <v>0</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
      </c>
      <c r="Q357" t="str">
        <f t="shared" si="76"/>
        <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Heat Signature</v>
      </c>
      <c r="B358">
        <f>IF($A358="","",games!$B358)</f>
        <v>2017</v>
      </c>
      <c r="C358" t="str">
        <f>IF($A358="","",games!$C358)</f>
        <v>Action</v>
      </c>
      <c r="D358">
        <f>IF($A358="","",COUNTIF(connections!$A$2:$A$1425,$A358)+COUNTIF(connections!$B$2:$B$1425,$A358))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Heavy Bullets</v>
      </c>
      <c r="B359">
        <f>IF($A359="","",games!$B359)</f>
        <v>2014</v>
      </c>
      <c r="C359" t="str">
        <f>IF($A359="","",games!$C359)</f>
        <v>Action</v>
      </c>
      <c r="D359">
        <f>IF($A359="","",COUNTIF(connections!$A$2:$A$1425,$A359)+COUNTIF(connections!$B$2:$B$1425,$A359))</f>
        <v>0</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3.59E-4</v>
      </c>
      <c r="P359" t="str">
        <f>IF(OR($A359="",games!$H359=""),"",games!$H359)</f>
        <v>Yes</v>
      </c>
      <c r="Q359">
        <f t="shared" si="76"/>
        <v>3.59E-4</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Clock</v>
      </c>
      <c r="B360">
        <f>IF($A360="","",games!$B360)</f>
        <v>2025</v>
      </c>
      <c r="C360" t="str">
        <f>IF($A360="","",games!$C360)</f>
        <v>Action</v>
      </c>
      <c r="D360">
        <f>IF($A360="","",COUNTIF(connections!$A$2:$A$1425,$A360)+COUNTIF(connections!$B$2:$B$1425,$A360))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 Maiden</v>
      </c>
      <c r="B361">
        <f>IF($A361="","",games!$B361)</f>
        <v>2026</v>
      </c>
      <c r="C361" t="str">
        <f>IF($A361="","",games!$C361)</f>
        <v>Action</v>
      </c>
      <c r="D361">
        <f>IF($A361="","",COUNTIF(connections!$A$2:$A$1425,$A361)+COUNTIF(connections!$B$2:$B$1425,$A361))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Hellboy Web of Wyrd</v>
      </c>
      <c r="B362">
        <f>IF($A362="","",games!$B362)</f>
        <v>2023</v>
      </c>
      <c r="C362" t="str">
        <f>IF($A362="","",games!$C362)</f>
        <v>Action</v>
      </c>
      <c r="D362">
        <f>IF($A362="","",COUNTIF(connections!$A$2:$A$1425,$A362)+COUNTIF(connections!$B$2:$B$1425,$A362))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Hellcard</v>
      </c>
      <c r="B363">
        <f>IF($A363="","",games!$B363)</f>
        <v>2023</v>
      </c>
      <c r="C363" t="str">
        <f>IF($A363="","",games!$C363)</f>
        <v>Deckbuilder</v>
      </c>
      <c r="D363">
        <f>IF($A363="","",COUNTIF(connections!$A$2:$A$1425,$A363)+COUNTIF(connections!$B$2:$B$1425,$A363))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Helskate</v>
      </c>
      <c r="B364">
        <f>IF($A364="","",games!$B364)</f>
        <v>2025</v>
      </c>
      <c r="C364" t="str">
        <f>IF($A364="","",games!$C364)</f>
        <v>Action</v>
      </c>
      <c r="D364">
        <f>IF($A364="","",COUNTIF(connections!$A$2:$A$1425,$A364)+COUNTIF(connections!$B$2:$B$1425,$A364))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Heretic's Fork</v>
      </c>
      <c r="B365">
        <f>IF($A365="","",games!$B365)</f>
        <v>2023</v>
      </c>
      <c r="C365" t="str">
        <f>IF($A365="","",games!$C365)</f>
        <v>Action</v>
      </c>
      <c r="D365">
        <f>IF($A365="","",COUNTIF(connections!$A$2:$A$1425,$A365)+COUNTIF(connections!$B$2:$B$1425,$A365))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v>
      </c>
      <c r="B366">
        <f>IF($A366="","",games!$B366)</f>
        <v>2018</v>
      </c>
      <c r="C366" t="str">
        <f>IF($A366="","",games!$C366)</f>
        <v>Action</v>
      </c>
      <c r="D366">
        <f>IF($A366="","",COUNTIF(connections!$A$2:$A$1425,$A366)+COUNTIF(connections!$B$2:$B$1425,$A366))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Heroes of Hammerwatch II</v>
      </c>
      <c r="B367">
        <f>IF($A367="","",games!$B367)</f>
        <v>2025</v>
      </c>
      <c r="C367" t="str">
        <f>IF($A367="","",games!$C367)</f>
        <v>Action</v>
      </c>
      <c r="D367">
        <f>IF($A367="","",COUNTIF(connections!$A$2:$A$1425,$A367)+COUNTIF(connections!$B$2:$B$1425,$A367))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Hexagod</v>
      </c>
      <c r="B368">
        <f>IF($A368="","",games!$B368)</f>
        <v>2025</v>
      </c>
      <c r="C368" t="str">
        <f>IF($A368="","",games!$C368)</f>
        <v>Strategy</v>
      </c>
      <c r="D368">
        <f>IF($A368="","",COUNTIF(connections!$A$2:$A$1425,$A368)+COUNTIF(connections!$B$2:$B$1425,$A368))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Hive Blight</v>
      </c>
      <c r="B369">
        <f>IF($A369="","",games!$B369)</f>
        <v>2026</v>
      </c>
      <c r="C369" t="str">
        <f>IF($A369="","",games!$C369)</f>
        <v>Strategy</v>
      </c>
      <c r="D369">
        <f>IF($A369="","",COUNTIF(connections!$A$2:$A$1425,$A369)+COUNTIF(connections!$B$2:$B$1425,$A369))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HoloCure: Save the Fans!</v>
      </c>
      <c r="B370">
        <f>IF($A370="","",games!$B370)</f>
        <v>2023</v>
      </c>
      <c r="C370" t="str">
        <f>IF($A370="","",games!$C370)</f>
        <v>Action</v>
      </c>
      <c r="D370">
        <f>IF($A370="","",COUNTIF(connections!$A$2:$A$1425,$A370)+COUNTIF(connections!$B$2:$B$1425,$A370))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HoloDungeon: Koyori vs HollowLive in Honsha Tower</v>
      </c>
      <c r="B371">
        <f>IF($A371="","",games!$B371)</f>
        <v>2026</v>
      </c>
      <c r="C371" t="str">
        <f>IF($A371="","",games!$C371)</f>
        <v>Traditional</v>
      </c>
      <c r="D371">
        <f>IF($A371="","",COUNTIF(connections!$A$2:$A$1425,$A371)+COUNTIF(connections!$B$2:$B$1425,$A371))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Hoplite</v>
      </c>
      <c r="B372">
        <f>IF($A372="","",games!$B372)</f>
        <v>2013</v>
      </c>
      <c r="C372" t="str">
        <f>IF($A372="","",games!$C372)</f>
        <v>Traditional</v>
      </c>
      <c r="D372">
        <f>IF($A372="","",COUNTIF(connections!$A$2:$A$1425,$A372)+COUNTIF(connections!$B$2:$B$1425,$A372))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3.000372</v>
      </c>
      <c r="P372" t="str">
        <f>IF(OR($A372="",games!$H372=""),"",games!$H372)</f>
        <v>Yes</v>
      </c>
      <c r="Q372">
        <f t="shared" si="76"/>
        <v>3.000372</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House of Necrosis</v>
      </c>
      <c r="B373">
        <f>IF($A373="","",games!$B373)</f>
        <v>2025</v>
      </c>
      <c r="C373" t="str">
        <f>IF($A373="","",games!$C373)</f>
        <v>Traditional</v>
      </c>
      <c r="D373">
        <f>IF($A373="","",COUNTIF(connections!$A$2:$A$1425,$A373)+COUNTIF(connections!$B$2:$B$1425,$A373))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How Many Dudes?</v>
      </c>
      <c r="B374">
        <f>IF($A374="","",games!$B374)</f>
        <v>2026</v>
      </c>
      <c r="C374" t="str">
        <f>IF($A374="","",games!$C374)</f>
        <v>Action</v>
      </c>
      <c r="D374">
        <f>IF($A374="","",COUNTIF(connections!$A$2:$A$1425,$A374)+COUNTIF(connections!$B$2:$B$1425,$A374))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Hungry Horrors</v>
      </c>
      <c r="B375">
        <f>IF($A375="","",games!$B375)</f>
        <v>2026</v>
      </c>
      <c r="C375" t="str">
        <f>IF($A375="","",games!$C375)</f>
        <v>Deckbuilder</v>
      </c>
      <c r="D375">
        <f>IF($A375="","",COUNTIF(connections!$A$2:$A$1425,$A375)+COUNTIF(connections!$B$2:$B$1425,$A375))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Hunter X Hunter: Nen X Survivor</v>
      </c>
      <c r="B376">
        <f>IF($A376="","",games!$B376)</f>
        <v>2026</v>
      </c>
      <c r="C376" t="str">
        <f>IF($A376="","",games!$C376)</f>
        <v>Action</v>
      </c>
      <c r="D376">
        <f>IF($A376="","",COUNTIF(connections!$A$2:$A$1425,$A376)+COUNTIF(connections!$B$2:$B$1425,$A376))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HyperRogue</v>
      </c>
      <c r="B377">
        <f>IF($A377="","",games!$B377)</f>
        <v>2012</v>
      </c>
      <c r="C377" t="str">
        <f>IF($A377="","",games!$C377)</f>
        <v>Traditional</v>
      </c>
      <c r="D377">
        <f>IF($A377="","",COUNTIF(connections!$A$2:$A$1425,$A377)+COUNTIF(connections!$B$2:$B$1425,$A377))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Legion: Stand Survivors</v>
      </c>
      <c r="B378">
        <f>IF($A378="","",games!$B378)</f>
        <v>2025</v>
      </c>
      <c r="C378" t="str">
        <f>IF($A378="","",games!$C378)</f>
        <v>Action</v>
      </c>
      <c r="D378">
        <f>IF($A378="","",COUNTIF(connections!$A$2:$A$1425,$A378)+COUNTIF(connections!$B$2:$B$1425,$A378))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 Am Overburdened</v>
      </c>
      <c r="B379">
        <f>IF($A379="","",games!$B379)</f>
        <v>2017</v>
      </c>
      <c r="C379" t="str">
        <f>IF($A379="","",games!$C379)</f>
        <v>Traditional</v>
      </c>
      <c r="D379">
        <f>IF($A379="","",COUNTIF(connections!$A$2:$A$1425,$A379)+COUNTIF(connections!$B$2:$B$1425,$A379))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Icewall</v>
      </c>
      <c r="B380">
        <f>IF($A380="","",games!$B380)</f>
        <v>2022</v>
      </c>
      <c r="C380" t="str">
        <f>IF($A380="","",games!$C380)</f>
        <v>Action</v>
      </c>
      <c r="D380">
        <f>IF($A380="","",COUNTIF(connections!$A$2:$A$1425,$A380)+COUNTIF(connections!$B$2:$B$1425,$A380))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Immortal Redneck</v>
      </c>
      <c r="B381">
        <f>IF($A381="","",games!$B381)</f>
        <v>2017</v>
      </c>
      <c r="C381" t="str">
        <f>IF($A381="","",games!$C381)</f>
        <v>Action</v>
      </c>
      <c r="D381">
        <f>IF($A381="","",COUNTIF(connections!$A$2:$A$1425,$A381)+COUNTIF(connections!$B$2:$B$1425,$A381))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 Celebration of Violence</v>
      </c>
      <c r="B382">
        <f>IF($A382="","",games!$B382)</f>
        <v>2016</v>
      </c>
      <c r="C382" t="str">
        <f>IF($A382="","",games!$C382)</f>
        <v>Action</v>
      </c>
      <c r="D382">
        <f>IF($A382="","",COUNTIF(connections!$A$2:$A$1425,$A382)+COUNTIF(connections!$B$2:$B$1425,$A382))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Incursion</v>
      </c>
      <c r="B383">
        <f>IF($A383="","",games!$B383)</f>
        <v>2007</v>
      </c>
      <c r="C383" t="str">
        <f>IF($A383="","",games!$C383)</f>
        <v>Traditional</v>
      </c>
      <c r="D383">
        <f>IF($A383="","",COUNTIF(connections!$A$2:$A$1425,$A383)+COUNTIF(connections!$B$2:$B$1425,$A383))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Infinite Space III: Sea of Stars</v>
      </c>
      <c r="B384">
        <f>IF($A384="","",games!$B384)</f>
        <v>2015</v>
      </c>
      <c r="C384" t="str">
        <f>IF($A384="","",games!$C384)</f>
        <v>Strategy</v>
      </c>
      <c r="D384">
        <f>IF($A384="","",COUNTIF(connections!$A$2:$A$1425,$A384)+COUNTIF(connections!$B$2:$B$1425,$A384))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Infra Arcana</v>
      </c>
      <c r="B385">
        <f>IF($A385="","",games!$B385)</f>
        <v>2011</v>
      </c>
      <c r="C385" t="str">
        <f>IF($A385="","",games!$C385)</f>
        <v>Traditional</v>
      </c>
      <c r="D385">
        <f>IF($A385="","",COUNTIF(connections!$A$2:$A$1425,$A385)+COUNTIF(connections!$B$2:$B$1425,$A385))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Inkbound</v>
      </c>
      <c r="B386">
        <f>IF($A386="","",games!$B386)</f>
        <v>2023</v>
      </c>
      <c r="C386" t="str">
        <f>IF($A386="","",games!$C386)</f>
        <v>Strategy</v>
      </c>
      <c r="D386">
        <f>IF($A386="","",COUNTIF(connections!$A$2:$A$1425,$A386)+COUNTIF(connections!$B$2:$B$1425,$A386))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Inkshade</v>
      </c>
      <c r="B387">
        <f>IF($A387="","",games!$B387)</f>
        <v>2025</v>
      </c>
      <c r="C387" t="str">
        <f>IF($A387="","",games!$C387)</f>
        <v>Strategy</v>
      </c>
      <c r="D387">
        <f>IF($A387="","",COUNTIF(connections!$A$2:$A$1425,$A387)+COUNTIF(connections!$B$2:$B$1425,$A387))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Inscryption</v>
      </c>
      <c r="B388">
        <f>IF($A388="","",games!$B388)</f>
        <v>2021</v>
      </c>
      <c r="C388" t="str">
        <f>IF($A388="","",games!$C388)</f>
        <v>Deckbuilder</v>
      </c>
      <c r="D388">
        <f>IF($A388="","",COUNTIF(connections!$A$2:$A$1425,$A388)+COUNTIF(connections!$B$2:$B$1425,$A388))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Insider Trading</v>
      </c>
      <c r="B389">
        <f>IF($A389="","",games!$B389)</f>
        <v>2026</v>
      </c>
      <c r="C389" t="str">
        <f>IF($A389="","",games!$C389)</f>
        <v>Deckbuilder</v>
      </c>
      <c r="D389">
        <f>IF($A389="","",COUNTIF(connections!$A$2:$A$1425,$A389)+COUNTIF(connections!$B$2:$B$1425,$A389))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Insurmountable</v>
      </c>
      <c r="B390">
        <f>IF($A390="","",games!$B390)</f>
        <v>2021</v>
      </c>
      <c r="C390" t="str">
        <f>IF($A390="","",games!$C390)</f>
        <v>Strategy</v>
      </c>
      <c r="D390">
        <f>IF($A390="","",COUNTIF(connections!$A$2:$A$1425,$A390)+COUNTIF(connections!$B$2:$B$1425,$A390))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Breach</v>
      </c>
      <c r="B391">
        <f>IF($A391="","",games!$B391)</f>
        <v>2018</v>
      </c>
      <c r="C391" t="str">
        <f>IF($A391="","",games!$C391)</f>
        <v>Strategy</v>
      </c>
      <c r="D391">
        <f>IF($A391="","",COUNTIF(connections!$A$2:$A$1425,$A391)+COUNTIF(connections!$B$2:$B$1425,$A391))</f>
        <v>26</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26.000391</v>
      </c>
      <c r="P391" t="str">
        <f>IF(OR($A391="",games!$H391=""),"",games!$H391)</f>
        <v>Yes</v>
      </c>
      <c r="Q391">
        <f t="shared" si="89"/>
        <v>26.000391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Into The Grid</v>
      </c>
      <c r="B392">
        <f>IF($A392="","",games!$B392)</f>
        <v>2025</v>
      </c>
      <c r="C392" t="str">
        <f>IF($A392="","",games!$C392)</f>
        <v>Deckbuilder</v>
      </c>
      <c r="D392">
        <f>IF($A392="","",COUNTIF(connections!$A$2:$A$1425,$A392)+COUNTIF(connections!$B$2:$B$1425,$A392))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Iratus: Lord of the Dead</v>
      </c>
      <c r="B393">
        <f>IF($A393="","",games!$B393)</f>
        <v>2019</v>
      </c>
      <c r="C393" t="str">
        <f>IF($A393="","",games!$C393)</f>
        <v>Strategy</v>
      </c>
      <c r="D393">
        <f>IF($A393="","",COUNTIF(connections!$A$2:$A$1425,$A393)+COUNTIF(connections!$B$2:$B$1425,$A393))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Iter Vehemens Ad Necem</v>
      </c>
      <c r="B394">
        <f>IF($A394="","",games!$B394)</f>
        <v>2001</v>
      </c>
      <c r="C394" t="str">
        <f>IF($A394="","",games!$C394)</f>
        <v>Traditional</v>
      </c>
      <c r="D394">
        <f>IF($A394="","",COUNTIF(connections!$A$2:$A$1425,$A394)+COUNTIF(connections!$B$2:$B$1425,$A394))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2: The Unemployed Ninja Returns</v>
      </c>
      <c r="B395">
        <f>IF($A395="","",games!$B395)</f>
        <v>2007</v>
      </c>
      <c r="C395" t="str">
        <f>IF($A395="","",games!$C395)</f>
        <v>Traditional</v>
      </c>
      <c r="D395">
        <f>IF($A395="","",COUNTIF(connections!$A$2:$A$1425,$A395)+COUNTIF(connections!$B$2:$B$1425,$A395))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Izuna: Legend of the Unemployed Ninja</v>
      </c>
      <c r="B396">
        <f>IF($A396="","",games!$B396)</f>
        <v>2006</v>
      </c>
      <c r="C396" t="str">
        <f>IF($A396="","",games!$C396)</f>
        <v>Traditional</v>
      </c>
      <c r="D396">
        <f>IF($A396="","",COUNTIF(connections!$A$2:$A$1425,$A396)+COUNTIF(connections!$B$2:$B$1425,$A396))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Jotunnslayer: Hordes of Hel</v>
      </c>
      <c r="B397">
        <f>IF($A397="","",games!$B397)</f>
        <v>2025</v>
      </c>
      <c r="C397" t="str">
        <f>IF($A397="","",games!$C397)</f>
        <v>Action</v>
      </c>
      <c r="D397">
        <f>IF($A397="","",COUNTIF(connections!$A$2:$A$1425,$A397)+COUNTIF(connections!$B$2:$B$1425,$A397))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Juicy Realm</v>
      </c>
      <c r="B398">
        <f>IF($A398="","",games!$B398)</f>
        <v>2018</v>
      </c>
      <c r="C398" t="str">
        <f>IF($A398="","",games!$C398)</f>
        <v>Action</v>
      </c>
      <c r="D398">
        <f>IF($A398="","",COUNTIF(connections!$A$2:$A$1425,$A398)+COUNTIF(connections!$B$2:$B$1425,$A398))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IF($A399="","",COUNTIF(connections!$A$2:$A$1425,$A399)+COUNTIF(connections!$B$2:$B$1425,$A399))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Just King</v>
      </c>
      <c r="B400">
        <f>IF($A400="","",games!$B400)</f>
        <v>2023</v>
      </c>
      <c r="C400" t="str">
        <f>IF($A400="","",games!$C400)</f>
        <v>Action</v>
      </c>
      <c r="D400">
        <f>IF($A400="","",COUNTIF(connections!$A$2:$A$1425,$A400)+COUNTIF(connections!$B$2:$B$1425,$A400))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Kādomon: Hyper Auto Battlers</v>
      </c>
      <c r="B401">
        <f>IF($A401="","",games!$B401)</f>
        <v>2024</v>
      </c>
      <c r="C401" t="str">
        <f>IF($A401="","",games!$C401)</f>
        <v>Strategy</v>
      </c>
      <c r="D401">
        <f>IF($A401="","",COUNTIF(connections!$A$2:$A$1425,$A401)+COUNTIF(connections!$B$2:$B$1425,$A401))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Katanaut</v>
      </c>
      <c r="B402">
        <f>IF($A402="","",games!$B402)</f>
        <v>2025</v>
      </c>
      <c r="C402" t="str">
        <f>IF($A402="","",games!$C402)</f>
        <v>Action</v>
      </c>
      <c r="D402">
        <f>IF($A402="","",COUNTIF(connections!$A$2:$A$1425,$A402)+COUNTIF(connections!$B$2:$B$1425,$A402))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KeeperRL</v>
      </c>
      <c r="B403">
        <f>IF($A403="","",games!$B403)</f>
        <v>2015</v>
      </c>
      <c r="C403" t="str">
        <f>IF($A403="","",games!$C403)</f>
        <v>Traditional</v>
      </c>
      <c r="D403">
        <f>IF($A403="","",COUNTIF(connections!$A$2:$A$1425,$A403)+COUNTIF(connections!$B$2:$B$1425,$A403))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Keeper's Toll</v>
      </c>
      <c r="B404">
        <f>IF($A404="","",games!$B404)</f>
        <v>2023</v>
      </c>
      <c r="C404" t="str">
        <f>IF($A404="","",games!$C404)</f>
        <v>Action</v>
      </c>
      <c r="D404">
        <f>IF($A404="","",COUNTIF(connections!$A$2:$A$1425,$A404)+COUNTIF(connections!$B$2:$B$1425,$A404))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Kernel Hearts</v>
      </c>
      <c r="B405">
        <f>IF($A405="","",games!$B405)</f>
        <v>2026</v>
      </c>
      <c r="C405" t="str">
        <f>IF($A405="","",games!$C405)</f>
        <v>Action</v>
      </c>
      <c r="D405">
        <f>IF($A405="","",COUNTIF(connections!$A$2:$A$1425,$A405)+COUNTIF(connections!$B$2:$B$1425,$A405))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Brickman</v>
      </c>
      <c r="B406">
        <f>IF($A406="","",games!$B406)</f>
        <v>2025</v>
      </c>
      <c r="C406" t="str">
        <f>IF($A406="","",games!$C406)</f>
        <v>Strategy</v>
      </c>
      <c r="D406">
        <f>IF($A406="","",COUNTIF(connections!$A$2:$A$1425,$A406)+COUNTIF(connections!$B$2:$B$1425,$A406))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Kill The Music</v>
      </c>
      <c r="B407">
        <f>IF($A407="","",games!$B407)</f>
        <v>2025</v>
      </c>
      <c r="C407" t="str">
        <f>IF($A407="","",games!$C407)</f>
        <v>Action</v>
      </c>
      <c r="D407">
        <f>IF($A407="","",COUNTIF(connections!$A$2:$A$1425,$A407)+COUNTIF(connections!$B$2:$B$1425,$A407))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Kingdom: New Lands</v>
      </c>
      <c r="B408">
        <f>IF($A408="","",games!$B408)</f>
        <v>2016</v>
      </c>
      <c r="C408" t="str">
        <f>IF($A408="","",games!$C408)</f>
        <v>Strategy</v>
      </c>
      <c r="D408">
        <f>IF($A408="","",COUNTIF(connections!$A$2:$A$1425,$A408)+COUNTIF(connections!$B$2:$B$1425,$A408))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Kitty Survivors: Rogues of Catmere</v>
      </c>
      <c r="B409">
        <f>IF($A409="","",games!$B409)</f>
        <v>2023</v>
      </c>
      <c r="C409" t="str">
        <f>IF($A409="","",games!$C409)</f>
        <v>Action</v>
      </c>
      <c r="D409">
        <f>IF($A409="","",COUNTIF(connections!$A$2:$A$1425,$A409)+COUNTIF(connections!$B$2:$B$1425,$A409))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Knightica</v>
      </c>
      <c r="B410">
        <f>IF($A410="","",games!$B410)</f>
        <v>2025</v>
      </c>
      <c r="C410" t="str">
        <f>IF($A410="","",games!$C410)</f>
        <v>Strategy</v>
      </c>
      <c r="D410">
        <f>IF($A410="","",COUNTIF(connections!$A$2:$A$1425,$A410)+COUNTIF(connections!$B$2:$B$1425,$A410))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Knights in Tight Spaces</v>
      </c>
      <c r="B411">
        <f>IF($A411="","",games!$B411)</f>
        <v>2025</v>
      </c>
      <c r="C411" t="str">
        <f>IF($A411="","",games!$C411)</f>
        <v>Deckbuilder</v>
      </c>
      <c r="D411">
        <f>IF($A411="","",COUNTIF(connections!$A$2:$A$1425,$A411)+COUNTIF(connections!$B$2:$B$1425,$A411))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Knock on the Coffin Lid</v>
      </c>
      <c r="B412">
        <f>IF($A412="","",games!$B412)</f>
        <v>2020</v>
      </c>
      <c r="C412" t="str">
        <f>IF($A412="","",games!$C412)</f>
        <v>Deckbuilder</v>
      </c>
      <c r="D412">
        <f>IF($A412="","",COUNTIF(connections!$A$2:$A$1425,$A412)+COUNTIF(connections!$B$2:$B$1425,$A412))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Labyrinth of Legendary Loot</v>
      </c>
      <c r="B413">
        <f>IF($A413="","",games!$B413)</f>
        <v>2020</v>
      </c>
      <c r="C413" t="str">
        <f>IF($A413="","",games!$C413)</f>
        <v>Traditional</v>
      </c>
      <c r="D413">
        <f>IF($A413="","",COUNTIF(connections!$A$2:$A$1425,$A413)+COUNTIF(connections!$B$2:$B$1425,$A413))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Lake of Creatures</v>
      </c>
      <c r="B414">
        <f>IF($A414="","",games!$B414)</f>
        <v>2024</v>
      </c>
      <c r="C414" t="str">
        <f>IF($A414="","",games!$C414)</f>
        <v>Action</v>
      </c>
      <c r="D414">
        <f>IF($A414="","",COUNTIF(connections!$A$2:$A$1425,$A414)+COUNTIF(connections!$B$2:$B$1425,$A414))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LambdaRogue: The Book of Stars</v>
      </c>
      <c r="B415">
        <f>IF($A415="","",games!$B415)</f>
        <v>2006</v>
      </c>
      <c r="C415" t="str">
        <f>IF($A415="","",games!$C415)</f>
        <v>Traditional</v>
      </c>
      <c r="D415">
        <f>IF($A415="","",COUNTIF(connections!$A$2:$A$1425,$A415)+COUNTIF(connections!$B$2:$B$1425,$A415))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Larn</v>
      </c>
      <c r="B416">
        <f>IF($A416="","",games!$B416)</f>
        <v>1986</v>
      </c>
      <c r="C416" t="str">
        <f>IF($A416="","",games!$C416)</f>
        <v>Traditional</v>
      </c>
      <c r="D416">
        <f>IF($A416="","",COUNTIF(connections!$A$2:$A$1425,$A416)+COUNTIF(connections!$B$2:$B$1425,$A416))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Dungeon</v>
      </c>
      <c r="B417">
        <f>IF($A417="","",games!$B417)</f>
        <v>2013</v>
      </c>
      <c r="C417" t="str">
        <f>IF($A417="","",games!$C417)</f>
        <v>Action</v>
      </c>
      <c r="D417">
        <f>IF($A417="","",COUNTIF(connections!$A$2:$A$1425,$A417)+COUNTIF(connections!$B$2:$B$1425,$A417))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Legend of Keepers: Career of a Dungeon Manager</v>
      </c>
      <c r="B418">
        <f>IF($A418="","",games!$B418)</f>
        <v>2019</v>
      </c>
      <c r="C418" t="str">
        <f>IF($A418="","",games!$C418)</f>
        <v>Strategy</v>
      </c>
      <c r="D418">
        <f>IF($A418="","",COUNTIF(connections!$A$2:$A$1425,$A418)+COUNTIF(connections!$B$2:$B$1425,$A418))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Legionbound</v>
      </c>
      <c r="B419">
        <f>IF($A419="","",games!$B419)</f>
        <v>2026</v>
      </c>
      <c r="C419" t="str">
        <f>IF($A419="","",games!$C419)</f>
        <v>Strategy</v>
      </c>
      <c r="D419">
        <f>IF($A419="","",COUNTIF(connections!$A$2:$A$1425,$A419)+COUNTIF(connections!$B$2:$B$1425,$A419))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 Him Cook</v>
      </c>
      <c r="B420">
        <f>IF($A420="","",games!$B420)</f>
        <v>2024</v>
      </c>
      <c r="C420" t="str">
        <f>IF($A420="","",games!$C420)</f>
        <v>Action</v>
      </c>
      <c r="D420">
        <f>IF($A420="","",COUNTIF(connections!$A$2:$A$1425,$A420)+COUNTIF(connections!$B$2:$B$1425,$A420))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Lethal Dungeon</v>
      </c>
      <c r="B421">
        <f>IF($A421="","",games!$B421)</f>
        <v>2026</v>
      </c>
      <c r="C421" t="str">
        <f>IF($A421="","",games!$C421)</f>
        <v>Deckbuilder</v>
      </c>
      <c r="D421">
        <f>IF($A421="","",COUNTIF(connections!$A$2:$A$1425,$A421)+COUNTIF(connections!$B$2:$B$1425,$A421))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Let's! Revolution!</v>
      </c>
      <c r="B422">
        <f>IF($A422="","",games!$B422)</f>
        <v>2023</v>
      </c>
      <c r="C422" t="str">
        <f>IF($A422="","",games!$C422)</f>
        <v>Strategy</v>
      </c>
      <c r="D422">
        <f>IF($A422="","",COUNTIF(connections!$A$2:$A$1425,$A422)+COUNTIF(connections!$B$2:$B$1425,$A422))</f>
        <v>0</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4.2200000000000001E-4</v>
      </c>
      <c r="P422" t="str">
        <f>IF(OR($A422="",games!$H422=""),"",games!$H422)</f>
        <v>Yes</v>
      </c>
      <c r="Q422">
        <f t="shared" si="89"/>
        <v>4.2200000000000001E-4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Lexispell</v>
      </c>
      <c r="B423">
        <f>IF($A423="","",games!$B423)</f>
        <v>2026</v>
      </c>
      <c r="C423" t="str">
        <f>IF($A423="","",games!$C423)</f>
        <v>Deckbuilder</v>
      </c>
      <c r="D423">
        <f>IF($A423="","",COUNTIF(connections!$A$2:$A$1425,$A423)+COUNTIF(connections!$B$2:$B$1425,$A423))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Linley's Dungeon Crawl</v>
      </c>
      <c r="B424">
        <f>IF($A424="","",games!$B424)</f>
        <v>1995</v>
      </c>
      <c r="C424" t="str">
        <f>IF($A424="","",games!$C424)</f>
        <v>Traditional</v>
      </c>
      <c r="D424">
        <f>IF($A424="","",COUNTIF(connections!$A$2:$A$1425,$A424)+COUNTIF(connections!$B$2:$B$1425,$A424))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 Ruin</v>
      </c>
      <c r="B425">
        <f>IF($A425="","",games!$B425)</f>
        <v>2023</v>
      </c>
      <c r="C425" t="str">
        <f>IF($A425="","",games!$C425)</f>
        <v>Action</v>
      </c>
      <c r="D425">
        <f>IF($A425="","",COUNTIF(connections!$A$2:$A$1425,$A425)+COUNTIF(connections!$B$2:$B$1425,$A425))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LoneStar</v>
      </c>
      <c r="B426">
        <f>IF($A426="","",games!$B426)</f>
        <v>2024</v>
      </c>
      <c r="C426" t="str">
        <f>IF($A426="","",games!$C426)</f>
        <v>Strategy</v>
      </c>
      <c r="D426">
        <f>IF($A426="","",COUNTIF(connections!$A$2:$A$1425,$A426)+COUNTIF(connections!$B$2:$B$1425,$A426))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Loop Hero</v>
      </c>
      <c r="B427">
        <f>IF($A427="","",games!$B427)</f>
        <v>2021</v>
      </c>
      <c r="C427" t="str">
        <f>IF($A427="","",games!$C427)</f>
        <v>Strategy</v>
      </c>
      <c r="D427">
        <f>IF($A427="","",COUNTIF(connections!$A$2:$A$1425,$A427)+COUNTIF(connections!$B$2:$B$1425,$A427))</f>
        <v>3</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3.0004270000000002</v>
      </c>
      <c r="P427" t="str">
        <f>IF(OR($A427="",games!$H427=""),"",games!$H427)</f>
        <v>Yes</v>
      </c>
      <c r="Q427">
        <f t="shared" si="89"/>
        <v>3.0004270000000002</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Rascals</v>
      </c>
      <c r="B428">
        <f>IF($A428="","",games!$B428)</f>
        <v>2017</v>
      </c>
      <c r="C428" t="str">
        <f>IF($A428="","",games!$C428)</f>
        <v>Strategy</v>
      </c>
      <c r="D428">
        <f>IF($A428="","",COUNTIF(connections!$A$2:$A$1425,$A428)+COUNTIF(connections!$B$2:$B$1425,$A428))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 River</v>
      </c>
      <c r="B429">
        <f>IF($A429="","",games!$B429)</f>
        <v>2022</v>
      </c>
      <c r="C429" t="str">
        <f>IF($A429="","",games!$C429)</f>
        <v>Strategy</v>
      </c>
      <c r="D429">
        <f>IF($A429="","",COUNTIF(connections!$A$2:$A$1425,$A429)+COUNTIF(connections!$B$2:$B$1425,$A429))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Lootplot</v>
      </c>
      <c r="B430">
        <f>IF($A430="","",games!$B430)</f>
        <v>2025</v>
      </c>
      <c r="C430" t="str">
        <f>IF($A430="","",games!$C430)</f>
        <v>Strategy</v>
      </c>
      <c r="D430">
        <f>IF($A430="","",COUNTIF(connections!$A$2:$A$1425,$A430)+COUNTIF(connections!$B$2:$B$1425,$A430))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Lort</v>
      </c>
      <c r="B431">
        <f>IF($A431="","",games!$B431)</f>
        <v>2026</v>
      </c>
      <c r="C431" t="str">
        <f>IF($A431="","",games!$C431)</f>
        <v>Action</v>
      </c>
      <c r="D431">
        <f>IF($A431="","",COUNTIF(connections!$A$2:$A$1425,$A431)+COUNTIF(connections!$B$2:$B$1425,$A431))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Flame</v>
      </c>
      <c r="B432">
        <f>IF($A432="","",games!$B432)</f>
        <v>2019</v>
      </c>
      <c r="C432" t="str">
        <f>IF($A432="","",games!$C432)</f>
        <v>Traditional</v>
      </c>
      <c r="D432">
        <f>IF($A432="","",COUNTIF(connections!$A$2:$A$1425,$A432)+COUNTIF(connections!$B$2:$B$1425,$A432))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For Swords</v>
      </c>
      <c r="B433">
        <f>IF($A433="","",games!$B433)</f>
        <v>2023</v>
      </c>
      <c r="C433" t="str">
        <f>IF($A433="","",games!$C433)</f>
        <v>Deckbuilder</v>
      </c>
      <c r="D433">
        <f>IF($A433="","",COUNTIF(connections!$A$2:$A$1425,$A433)+COUNTIF(connections!$B$2:$B$1425,$A433))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Fantaland</v>
      </c>
      <c r="B434">
        <f>IF($A434="","",games!$B434)</f>
        <v>2022</v>
      </c>
      <c r="C434" t="str">
        <f>IF($A434="","",games!$C434)</f>
        <v>Deckbuilder</v>
      </c>
      <c r="D434">
        <f>IF($A434="","",COUNTIF(connections!$A$2:$A$1425,$A434)+COUNTIF(connections!$B$2:$B$1425,$A434))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in Random: The Eternal Die</v>
      </c>
      <c r="B435">
        <f>IF($A435="","",games!$B435)</f>
        <v>2025</v>
      </c>
      <c r="C435" t="str">
        <f>IF($A435="","",games!$C435)</f>
        <v>Action</v>
      </c>
      <c r="D435">
        <f>IF($A435="","",COUNTIF(connections!$A$2:$A$1425,$A435)+COUNTIF(connections!$B$2:$B$1425,$A435))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Lost Labyrinth</v>
      </c>
      <c r="B436">
        <f>IF($A436="","",games!$B436)</f>
        <v>2001</v>
      </c>
      <c r="C436" t="str">
        <f>IF($A436="","",games!$C436)</f>
        <v>Traditional</v>
      </c>
      <c r="D436">
        <f>IF($A436="","",COUNTIF(connections!$A$2:$A$1425,$A436)+COUNTIF(connections!$B$2:$B$1425,$A436))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&amp; Loot</v>
      </c>
      <c r="B437">
        <f>IF($A437="","",games!$B437)</f>
        <v>2024</v>
      </c>
      <c r="C437" t="str">
        <f>IF($A437="","",games!$C437)</f>
        <v>Deckbuilder</v>
      </c>
      <c r="D437">
        <f>IF($A437="","",COUNTIF(connections!$A$2:$A$1425,$A437)+COUNTIF(connections!$B$2:$B$1425,$A437))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 be a Landlord</v>
      </c>
      <c r="B438">
        <f>IF($A438="","",games!$B438)</f>
        <v>2021</v>
      </c>
      <c r="C438" t="str">
        <f>IF($A438="","",games!$C438)</f>
        <v>Deckbuilder</v>
      </c>
      <c r="D438">
        <f>IF($A438="","",COUNTIF(connections!$A$2:$A$1425,$A438)+COUNTIF(connections!$B$2:$B$1425,$A438))</f>
        <v>26</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26.000437999999999</v>
      </c>
      <c r="P438" t="str">
        <f>IF(OR($A438="",games!$H438=""),"",games!$H438)</f>
        <v>Yes</v>
      </c>
      <c r="Q438">
        <f t="shared" si="89"/>
        <v>26.000437999999999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Hero</v>
      </c>
      <c r="B439">
        <f>IF($A439="","",games!$B439)</f>
        <v>2023</v>
      </c>
      <c r="C439" t="str">
        <f>IF($A439="","",games!$C439)</f>
        <v>Deckbuilder</v>
      </c>
      <c r="D439">
        <f>IF($A439="","",COUNTIF(connections!$A$2:$A$1425,$A439)+COUNTIF(connections!$B$2:$B$1425,$A439))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Lucky Shot</v>
      </c>
      <c r="B440">
        <f>IF($A440="","",games!$B440)</f>
        <v>2026</v>
      </c>
      <c r="C440" t="str">
        <f>IF($A440="","",games!$C440)</f>
        <v>Action</v>
      </c>
      <c r="D440">
        <f>IF($A440="","",COUNTIF(connections!$A$2:$A$1425,$A440)+COUNTIF(connections!$B$2:$B$1425,$A440))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Lunchbreak Tactics</v>
      </c>
      <c r="B441">
        <f>IF($A441="","",games!$B441)</f>
        <v>2026</v>
      </c>
      <c r="C441" t="str">
        <f>IF($A441="","",games!$C441)</f>
        <v>Strategy</v>
      </c>
      <c r="D441">
        <f>IF($A441="","",COUNTIF(connections!$A$2:$A$1425,$A441)+COUNTIF(connections!$B$2:$B$1425,$A441))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Mad King Redemption</v>
      </c>
      <c r="B442">
        <f>IF($A442="","",games!$B442)</f>
        <v>2026</v>
      </c>
      <c r="C442" t="str">
        <f>IF($A442="","",games!$C442)</f>
        <v>Action</v>
      </c>
      <c r="D442">
        <f>IF($A442="","",COUNTIF(connections!$A$2:$A$1425,$A442)+COUNTIF(connections!$B$2:$B$1425,$A442))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 Survival</v>
      </c>
      <c r="B443">
        <f>IF($A443="","",games!$B443)</f>
        <v>2019</v>
      </c>
      <c r="C443" t="str">
        <f>IF($A443="","",games!$C443)</f>
        <v>Action</v>
      </c>
      <c r="D443">
        <f>IF($A443="","",COUNTIF(connections!$A$2:$A$1425,$A443)+COUNTIF(connections!$B$2:$B$1425,$A443))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Magicraft</v>
      </c>
      <c r="B444">
        <f>IF($A444="","",games!$B444)</f>
        <v>2023</v>
      </c>
      <c r="C444" t="str">
        <f>IF($A444="","",games!$C444)</f>
        <v>Action</v>
      </c>
      <c r="D444">
        <f>IF($A444="","",COUNTIF(connections!$A$2:$A$1425,$A444)+COUNTIF(connections!$B$2:$B$1425,$A444))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Maid Survivors: Little Angels</v>
      </c>
      <c r="B445">
        <f>IF($A445="","",games!$B445)</f>
        <v>2025</v>
      </c>
      <c r="C445" t="str">
        <f>IF($A445="","",games!$C445)</f>
        <v>Action</v>
      </c>
      <c r="D445">
        <f>IF($A445="","",COUNTIF(connections!$A$2:$A$1425,$A445)+COUNTIF(connections!$B$2:$B$1425,$A445))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Mainframe Defenders</v>
      </c>
      <c r="B446">
        <f>IF($A446="","",games!$B446)</f>
        <v>2020</v>
      </c>
      <c r="C446" t="str">
        <f>IF($A446="","",games!$C446)</f>
        <v>Traditional</v>
      </c>
      <c r="D446">
        <f>IF($A446="","",COUNTIF(connections!$A$2:$A$1425,$A446)+COUNTIF(connections!$B$2:$B$1425,$A446))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Mana Spark</v>
      </c>
      <c r="B447">
        <f>IF($A447="","",games!$B447)</f>
        <v>2018</v>
      </c>
      <c r="C447" t="str">
        <f>IF($A447="","",games!$C447)</f>
        <v>Action</v>
      </c>
      <c r="D447">
        <f>IF($A447="","",COUNTIF(connections!$A$2:$A$1425,$A447)+COUNTIF(connections!$B$2:$B$1425,$A447))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Masks of the Void: Origins</v>
      </c>
      <c r="B448">
        <f>IF($A448="","",games!$B448)</f>
        <v>2025</v>
      </c>
      <c r="C448" t="str">
        <f>IF($A448="","",games!$C448)</f>
        <v>Action</v>
      </c>
      <c r="D448">
        <f>IF($A448="","",COUNTIF(connections!$A$2:$A$1425,$A448)+COUNTIF(connections!$B$2:$B$1425,$A448))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Master of Piece</v>
      </c>
      <c r="B449">
        <f>IF($A449="","",games!$B449)</f>
        <v>2026</v>
      </c>
      <c r="C449" t="str">
        <f>IF($A449="","",games!$C449)</f>
        <v>Deckbuilder</v>
      </c>
      <c r="D449">
        <f>IF($A449="","",COUNTIF(connections!$A$2:$A$1425,$A449)+COUNTIF(connections!$B$2:$B$1425,$A449))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Maze Mice</v>
      </c>
      <c r="B450">
        <f>IF($A450="","",games!$B450)</f>
        <v>2025</v>
      </c>
      <c r="C450" t="str">
        <f>IF($A450="","",games!$C450)</f>
        <v>Action</v>
      </c>
      <c r="D450">
        <f>IF($A450="","",COUNTIF(connections!$A$2:$A$1425,$A450)+COUNTIF(connections!$B$2:$B$1425,$A450))</f>
        <v>1</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Mechanibot</v>
      </c>
      <c r="B451">
        <f>IF($A451="","",games!$B451)</f>
        <v>2022</v>
      </c>
      <c r="C451" t="str">
        <f>IF($A451="","",games!$C451)</f>
        <v>Strategy</v>
      </c>
      <c r="D451">
        <f>IF($A451="","",COUNTIF(connections!$A$2:$A$1425,$A451)+COUNTIF(connections!$B$2:$B$1425,$A451))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Megabonk</v>
      </c>
      <c r="B452">
        <f>IF($A452="","",games!$B452)</f>
        <v>2025</v>
      </c>
      <c r="C452" t="str">
        <f>IF($A452="","",games!$C452)</f>
        <v>Action</v>
      </c>
      <c r="D452">
        <f>IF($A452="","",COUNTIF(connections!$A$2:$A$1425,$A452)+COUNTIF(connections!$B$2:$B$1425,$A452))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Meme Mayhem</v>
      </c>
      <c r="B453">
        <f>IF($A453="","",games!$B453)</f>
        <v>2024</v>
      </c>
      <c r="C453" t="str">
        <f>IF($A453="","",games!$C453)</f>
        <v>Deckbuilder</v>
      </c>
      <c r="D453">
        <f>IF($A453="","",COUNTIF(connections!$A$2:$A$1425,$A453)+COUNTIF(connections!$B$2:$B$1425,$A453))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Menace from the Deep</v>
      </c>
      <c r="B454">
        <f>IF($A454="","",games!$B454)</f>
        <v>2024</v>
      </c>
      <c r="C454" t="str">
        <f>IF($A454="","",games!$C454)</f>
        <v>Deckbuilder</v>
      </c>
      <c r="D454">
        <f>IF($A454="","",COUNTIF(connections!$A$2:$A$1425,$A454)+COUNTIF(connections!$B$2:$B$1425,$A454))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Menherarium</v>
      </c>
      <c r="B455">
        <f>IF($A455="","",games!$B455)</f>
        <v>2026</v>
      </c>
      <c r="C455" t="str">
        <f>IF($A455="","",games!$C455)</f>
        <v>Deckbuilder</v>
      </c>
      <c r="D455">
        <f>IF($A455="","",COUNTIF(connections!$A$2:$A$1425,$A455)+COUNTIF(connections!$B$2:$B$1425,$A455))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Merge Maestro</v>
      </c>
      <c r="B456">
        <f>IF($A456="","",games!$B456)</f>
        <v>2025</v>
      </c>
      <c r="C456" t="str">
        <f>IF($A456="","",games!$C456)</f>
        <v>Deckbuilder</v>
      </c>
      <c r="D456">
        <f>IF($A456="","",COUNTIF(connections!$A$2:$A$1425,$A456)+COUNTIF(connections!$B$2:$B$1425,$A456))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Slug Tactics</v>
      </c>
      <c r="B457">
        <f>IF($A457="","",games!$B457)</f>
        <v>2024</v>
      </c>
      <c r="C457" t="str">
        <f>IF($A457="","",games!$C457)</f>
        <v>Strategy</v>
      </c>
      <c r="D457">
        <f>IF($A457="","",COUNTIF(connections!$A$2:$A$1425,$A457)+COUNTIF(connections!$B$2:$B$1425,$A457))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 Unit</v>
      </c>
      <c r="B458">
        <f>IF($A458="","",games!$B458)</f>
        <v>2020</v>
      </c>
      <c r="C458" t="str">
        <f>IF($A458="","",games!$C458)</f>
        <v>Action</v>
      </c>
      <c r="D458">
        <f>IF($A458="","",COUNTIF(connections!$A$2:$A$1425,$A458)+COUNTIF(connections!$B$2:$B$1425,$A458))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Metallic Child</v>
      </c>
      <c r="B459">
        <f>IF($A459="","",games!$B459)</f>
        <v>2021</v>
      </c>
      <c r="C459" t="str">
        <f>IF($A459="","",games!$C459)</f>
        <v>Action</v>
      </c>
      <c r="D459">
        <f>IF($A459="","",COUNTIF(connections!$A$2:$A$1425,$A459)+COUNTIF(connections!$B$2:$B$1425,$A459))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Mewgenics</v>
      </c>
      <c r="B460">
        <f>IF($A460="","",games!$B460)</f>
        <v>2026</v>
      </c>
      <c r="C460" t="str">
        <f>IF($A460="","",games!$C460)</f>
        <v>Strategy</v>
      </c>
      <c r="D460">
        <f>IF($A460="","",COUNTIF(connections!$A$2:$A$1425,$A460)+COUNTIF(connections!$B$2:$B$1425,$A460))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Million Depth</v>
      </c>
      <c r="B461">
        <f>IF($A461="","",games!$B461)</f>
        <v>2025</v>
      </c>
      <c r="C461" t="str">
        <f>IF($A461="","",games!$C461)</f>
        <v>Action</v>
      </c>
      <c r="D461">
        <f>IF($A461="","",COUNTIF(connections!$A$2:$A$1425,$A461)+COUNTIF(connections!$B$2:$B$1425,$A461))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Mimic Logic</v>
      </c>
      <c r="B462">
        <f>IF($A462="","",games!$B462)</f>
        <v>2024</v>
      </c>
      <c r="C462" t="str">
        <f>IF($A462="","",games!$C462)</f>
        <v>Strategy</v>
      </c>
      <c r="D462">
        <f>IF($A462="","",COUNTIF(connections!$A$2:$A$1425,$A462)+COUNTIF(connections!$B$2:$B$1425,$A462))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Chou Party: Sanae to Tenshi no Gensou Labyrinth</v>
      </c>
      <c r="B463">
        <f>IF($A463="","",games!$B463)</f>
        <v>2012</v>
      </c>
      <c r="C463" t="str">
        <f>IF($A463="","",games!$C463)</f>
        <v>Traditional</v>
      </c>
      <c r="D463">
        <f>IF($A463="","",COUNTIF(connections!$A$2:$A$1425,$A463)+COUNTIF(connections!$B$2:$B$1425,$A463))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Miracle Party: Fushigi no Gensoukyou 2</v>
      </c>
      <c r="B464">
        <f>IF($A464="","",games!$B464)</f>
        <v>2011</v>
      </c>
      <c r="C464" t="str">
        <f>IF($A464="","",games!$C464)</f>
        <v>Traditional</v>
      </c>
      <c r="D464">
        <f>IF($A464="","",COUNTIF(connections!$A$2:$A$1425,$A464)+COUNTIF(connections!$B$2:$B$1425,$A464))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Mission: Thunderbolt</v>
      </c>
      <c r="B465">
        <f>IF($A465="","",games!$B465)</f>
        <v>1987</v>
      </c>
      <c r="C465" t="str">
        <f>IF($A465="","",games!$C465)</f>
        <v>Traditional</v>
      </c>
      <c r="D465">
        <f>IF($A465="","",COUNTIF(connections!$A$2:$A$1425,$A465)+COUNTIF(connections!$B$2:$B$1425,$A465))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Mistrogue: Mist and the Living Dungeons</v>
      </c>
      <c r="B466">
        <f>IF($A466="","",games!$B466)</f>
        <v>2023</v>
      </c>
      <c r="C466" t="str">
        <f>IF($A466="","",games!$C466)</f>
        <v>Action</v>
      </c>
      <c r="D466">
        <f>IF($A466="","",COUNTIF(connections!$A$2:$A$1425,$A466)+COUNTIF(connections!$B$2:$B$1425,$A466))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Mobmania</v>
      </c>
      <c r="B467">
        <f>IF($A467="","",games!$B467)</f>
        <v>2022</v>
      </c>
      <c r="C467" t="str">
        <f>IF($A467="","",games!$C467)</f>
        <v>Action</v>
      </c>
      <c r="D467">
        <f>IF($A467="","",COUNTIF(connections!$A$2:$A$1425,$A467)+COUNTIF(connections!$B$2:$B$1425,$A467))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Monmusu Gladiator</v>
      </c>
      <c r="B468">
        <f>IF($A468="","",games!$B468)</f>
        <v>2021</v>
      </c>
      <c r="C468" t="str">
        <f>IF($A468="","",games!$C468)</f>
        <v>Deckbuilder</v>
      </c>
      <c r="D468">
        <f>IF($A468="","",COUNTIF(connections!$A$2:$A$1425,$A468)+COUNTIF(connections!$B$2:$B$1425,$A468))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v>
      </c>
      <c r="B469">
        <f>IF($A469="","",games!$B469)</f>
        <v>2002</v>
      </c>
      <c r="C469" t="str">
        <f>IF($A469="","",games!$C469)</f>
        <v>Traditional</v>
      </c>
      <c r="D469">
        <f>IF($A469="","",COUNTIF(connections!$A$2:$A$1425,$A469)+COUNTIF(connections!$B$2:$B$1425,$A469))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Gate: Ooinaru Dungeon - Fuuin no Orb</v>
      </c>
      <c r="B470">
        <f>IF($A470="","",games!$B470)</f>
        <v>2003</v>
      </c>
      <c r="C470" t="str">
        <f>IF($A470="","",games!$C470)</f>
        <v>Traditional</v>
      </c>
      <c r="D470">
        <f>IF($A470="","",COUNTIF(connections!$A$2:$A$1425,$A470)+COUNTIF(connections!$B$2:$B$1425,$A470))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v>
      </c>
      <c r="B471">
        <f>IF($A471="","",games!$B471)</f>
        <v>2020</v>
      </c>
      <c r="C471" t="str">
        <f>IF($A471="","",games!$C471)</f>
        <v>Traditional</v>
      </c>
      <c r="D471">
        <f>IF($A471="","",COUNTIF(connections!$A$2:$A$1425,$A471)+COUNTIF(connections!$B$2:$B$1425,$A471))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Girls and the Mysterious Adventure 2</v>
      </c>
      <c r="B472">
        <f>IF($A472="","",games!$B472)</f>
        <v>2022</v>
      </c>
      <c r="C472" t="str">
        <f>IF($A472="","",games!$C472)</f>
        <v>Traditional</v>
      </c>
      <c r="D472">
        <f>IF($A472="","",COUNTIF(connections!$A$2:$A$1425,$A472)+COUNTIF(connections!$B$2:$B$1425,$A472))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Slayers</v>
      </c>
      <c r="B473">
        <f>IF($A473="","",games!$B473)</f>
        <v>2017</v>
      </c>
      <c r="C473" t="str">
        <f>IF($A473="","",games!$C473)</f>
        <v>Deckbuilder</v>
      </c>
      <c r="D473">
        <f>IF($A473="","",COUNTIF(connections!$A$2:$A$1425,$A473)+COUNTIF(connections!$B$2:$B$1425,$A473))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v>
      </c>
      <c r="B474">
        <f>IF($A474="","",games!$B474)</f>
        <v>2020</v>
      </c>
      <c r="C474" t="str">
        <f>IF($A474="","",games!$C474)</f>
        <v>Deckbuilder</v>
      </c>
      <c r="D474">
        <f>IF($A474="","",COUNTIF(connections!$A$2:$A$1425,$A474)+COUNTIF(connections!$B$2:$B$1425,$A474))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 Train 2</v>
      </c>
      <c r="B475">
        <f>IF($A475="","",games!$B475)</f>
        <v>2025</v>
      </c>
      <c r="C475" t="str">
        <f>IF($A475="","",games!$C475)</f>
        <v>Deckbuilder</v>
      </c>
      <c r="D475">
        <f>IF($A475="","",COUNTIF(connections!$A$2:$A$1425,$A475)+COUNTIF(connections!$B$2:$B$1425,$A475))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Monsters are Coming!</v>
      </c>
      <c r="B476">
        <f>IF($A476="","",games!$B476)</f>
        <v>2025</v>
      </c>
      <c r="C476" t="str">
        <f>IF($A476="","",games!$C476)</f>
        <v>Action</v>
      </c>
      <c r="D476">
        <f>IF($A476="","",COUNTIF(connections!$A$2:$A$1425,$A476)+COUNTIF(connections!$B$2:$B$1425,$A476))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Monstrum</v>
      </c>
      <c r="B477">
        <f>IF($A477="","",games!$B477)</f>
        <v>2015</v>
      </c>
      <c r="C477" t="str">
        <f>IF($A477="","",games!$C477)</f>
        <v>Action</v>
      </c>
      <c r="D477">
        <f>IF($A477="","",COUNTIF(connections!$A$2:$A$1425,$A477)+COUNTIF(connections!$B$2:$B$1425,$A477))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Montabi</v>
      </c>
      <c r="B478">
        <f>IF($A478="","",games!$B478)</f>
        <v>2026</v>
      </c>
      <c r="C478" t="str">
        <f>IF($A478="","",games!$C478)</f>
        <v>Deckbuilder</v>
      </c>
      <c r="D478">
        <f>IF($A478="","",COUNTIF(connections!$A$2:$A$1425,$A478)+COUNTIF(connections!$B$2:$B$1425,$A478))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Hunters</v>
      </c>
      <c r="B479">
        <f>IF($A479="","",games!$B479)</f>
        <v>2016</v>
      </c>
      <c r="C479" t="str">
        <f>IF($A479="","",games!$C479)</f>
        <v>Action</v>
      </c>
      <c r="D479">
        <f>IF($A479="","",COUNTIF(connections!$A$2:$A$1425,$A479)+COUNTIF(connections!$B$2:$B$1425,$A479))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 Watch</v>
      </c>
      <c r="B480">
        <f>IF($A480="","",games!$B480)</f>
        <v>2024</v>
      </c>
      <c r="C480" t="str">
        <f>IF($A480="","",games!$C480)</f>
        <v>Action</v>
      </c>
      <c r="D480">
        <f>IF($A480="","",COUNTIF(connections!$A$2:$A$1425,$A480)+COUNTIF(connections!$B$2:$B$1425,$A480))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v>
      </c>
      <c r="B481">
        <f>IF($A481="","",games!$B481)</f>
        <v>2018</v>
      </c>
      <c r="C481" t="str">
        <f>IF($A481="","",games!$C481)</f>
        <v>Action</v>
      </c>
      <c r="D481">
        <f>IF($A481="","",COUNTIF(connections!$A$2:$A$1425,$A481)+COUNTIF(connections!$B$2:$B$1425,$A481))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Moonlighter 2: The Endless Vault</v>
      </c>
      <c r="B482">
        <f>IF($A482="","",games!$B482)</f>
        <v>2025</v>
      </c>
      <c r="C482" t="str">
        <f>IF($A482="","",games!$C482)</f>
        <v>Action</v>
      </c>
      <c r="D482">
        <f>IF($A482="","",COUNTIF(connections!$A$2:$A$1425,$A482)+COUNTIF(connections!$B$2:$B$1425,$A482))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Moonring</v>
      </c>
      <c r="B483">
        <f>IF($A483="","",games!$B483)</f>
        <v>2023</v>
      </c>
      <c r="C483" t="str">
        <f>IF($A483="","",games!$C483)</f>
        <v>Traditional</v>
      </c>
      <c r="D483">
        <f>IF($A483="","",COUNTIF(connections!$A$2:$A$1425,$A483)+COUNTIF(connections!$B$2:$B$1425,$A483))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Morbid Metal</v>
      </c>
      <c r="B484">
        <f>IF($A484="","",games!$B484)</f>
        <v>2026</v>
      </c>
      <c r="C484" t="str">
        <f>IF($A484="","",games!$C484)</f>
        <v>Action</v>
      </c>
      <c r="D484">
        <f>IF($A484="","",COUNTIF(connections!$A$2:$A$1425,$A484)+COUNTIF(connections!$B$2:$B$1425,$A484))</f>
        <v>1</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Moria</v>
      </c>
      <c r="B485">
        <f>IF($A485="","",games!$B485)</f>
        <v>1983</v>
      </c>
      <c r="C485" t="str">
        <f>IF($A485="","",games!$C485)</f>
        <v>Traditional</v>
      </c>
      <c r="D485">
        <f>IF($A485="","",COUNTIF(connections!$A$2:$A$1425,$A485)+COUNTIF(connections!$B$2:$B$1425,$A485))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Morimens</v>
      </c>
      <c r="B486">
        <f>IF($A486="","",games!$B486)</f>
        <v>2024</v>
      </c>
      <c r="C486" t="str">
        <f>IF($A486="","",games!$C486)</f>
        <v>Deckbuilder</v>
      </c>
      <c r="D486">
        <f>IF($A486="","",COUNTIF(connections!$A$2:$A$1425,$A486)+COUNTIF(connections!$B$2:$B$1425,$A486))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Morsels</v>
      </c>
      <c r="B487">
        <f>IF($A487="","",games!$B487)</f>
        <v>2025</v>
      </c>
      <c r="C487" t="str">
        <f>IF($A487="","",games!$C487)</f>
        <v>Action</v>
      </c>
      <c r="D487">
        <f>IF($A487="","",COUNTIF(connections!$A$2:$A$1425,$A487)+COUNTIF(connections!$B$2:$B$1425,$A487))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Mortal Sin</v>
      </c>
      <c r="B488">
        <f>IF($A488="","",games!$B488)</f>
        <v>2023</v>
      </c>
      <c r="C488" t="str">
        <f>IF($A488="","",games!$C488)</f>
        <v>Action</v>
      </c>
      <c r="D488">
        <f>IF($A488="","",COUNTIF(connections!$A$2:$A$1425,$A488)+COUNTIF(connections!$B$2:$B$1425,$A488))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v>
      </c>
      <c r="B489">
        <f>IF($A489="","",games!$B489)</f>
        <v>2018</v>
      </c>
      <c r="C489" t="str">
        <f>IF($A489="","",games!$C489)</f>
        <v>Action</v>
      </c>
      <c r="D489">
        <f>IF($A489="","",COUNTIF(connections!$A$2:$A$1425,$A489)+COUNTIF(connections!$B$2:$B$1425,$A489))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Mothergunship: Forge</v>
      </c>
      <c r="B490">
        <f>IF($A490="","",games!$B490)</f>
        <v>2022</v>
      </c>
      <c r="C490" t="str">
        <f>IF($A490="","",games!$C490)</f>
        <v>Action</v>
      </c>
      <c r="D490">
        <f>IF($A490="","",COUNTIF(connections!$A$2:$A$1425,$A490)+COUNTIF(connections!$B$2:$B$1425,$A490))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IF($A491="","",COUNTIF(connections!$A$2:$A$1425,$A491)+COUNTIF(connections!$B$2:$B$1425,$A491))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Mr. Sun's Hatbox</v>
      </c>
      <c r="B492">
        <f>IF($A492="","",games!$B492)</f>
        <v>2023</v>
      </c>
      <c r="C492" t="str">
        <f>IF($A492="","",games!$C492)</f>
        <v>Action</v>
      </c>
      <c r="D492">
        <f>IF($A492="","",COUNTIF(connections!$A$2:$A$1425,$A492)+COUNTIF(connections!$B$2:$B$1425,$A492))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Muck</v>
      </c>
      <c r="B493">
        <f>IF($A493="","",games!$B493)</f>
        <v>2021</v>
      </c>
      <c r="C493" t="str">
        <f>IF($A493="","",games!$C493)</f>
        <v>Action</v>
      </c>
      <c r="D493">
        <f>IF($A493="","",COUNTIF(connections!$A$2:$A$1425,$A493)+COUNTIF(connections!$B$2:$B$1425,$A493))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 Card Is Better Than Your Card!</v>
      </c>
      <c r="B494">
        <f>IF($A494="","",games!$B494)</f>
        <v>2025</v>
      </c>
      <c r="C494" t="str">
        <f>IF($A494="","",games!$C494)</f>
        <v>Deckbuilder</v>
      </c>
      <c r="D494">
        <f>IF($A494="","",COUNTIF(connections!$A$2:$A$1425,$A494)+COUNTIF(connections!$B$2:$B$1425,$A494))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Chronicle: One Way Heroics</v>
      </c>
      <c r="B495">
        <f>IF($A495="","",games!$B495)</f>
        <v>2016</v>
      </c>
      <c r="C495" t="str">
        <f>IF($A495="","",games!$C495)</f>
        <v>Traditional</v>
      </c>
      <c r="D495">
        <f>IF($A495="","",COUNTIF(connections!$A$2:$A$1425,$A495)+COUNTIF(connections!$B$2:$B$1425,$A495))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Mystery Dungeon 2: Shiren the Wanderer</v>
      </c>
      <c r="B496">
        <f>IF($A496="","",games!$B496)</f>
        <v>1995</v>
      </c>
      <c r="C496" t="str">
        <f>IF($A496="","",games!$C496)</f>
        <v>Traditional</v>
      </c>
      <c r="D496">
        <f>IF($A496="","",COUNTIF(connections!$A$2:$A$1425,$A496)+COUNTIF(connections!$B$2:$B$1425,$A496))</f>
        <v>11</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11.000496</v>
      </c>
      <c r="P496" t="str">
        <f>IF(OR($A496="",games!$H496=""),"",games!$H496)</f>
        <v>Yes</v>
      </c>
      <c r="Q496">
        <f t="shared" si="102"/>
        <v>11.000496</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Mythical Concept Starnaut</v>
      </c>
      <c r="B497">
        <f>IF($A497="","",games!$B497)</f>
        <v>2024</v>
      </c>
      <c r="C497" t="str">
        <f>IF($A497="","",games!$C497)</f>
        <v>Action</v>
      </c>
      <c r="D497">
        <f>IF($A497="","",COUNTIF(connections!$A$2:$A$1425,$A497)+COUNTIF(connections!$B$2:$B$1425,$A497))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Nadir</v>
      </c>
      <c r="B498">
        <f>IF($A498="","",games!$B498)</f>
        <v>2022</v>
      </c>
      <c r="C498" t="str">
        <f>IF($A498="","",games!$C498)</f>
        <v>Deckbuilder</v>
      </c>
      <c r="D498">
        <f>IF($A498="","",COUNTIF(connections!$A$2:$A$1425,$A498)+COUNTIF(connections!$B$2:$B$1425,$A498))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NecroBouncer</v>
      </c>
      <c r="B499">
        <f>IF($A499="","",games!$B499)</f>
        <v>2022</v>
      </c>
      <c r="C499" t="str">
        <f>IF($A499="","",games!$C499)</f>
        <v>Action</v>
      </c>
      <c r="D499">
        <f>IF($A499="","",COUNTIF(connections!$A$2:$A$1425,$A499)+COUNTIF(connections!$B$2:$B$1425,$A499))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Necroking</v>
      </c>
      <c r="B500">
        <f>IF($A500="","",games!$B500)</f>
        <v>2024</v>
      </c>
      <c r="C500" t="str">
        <f>IF($A500="","",games!$C500)</f>
        <v>Strategy</v>
      </c>
      <c r="D500">
        <f>IF($A500="","",COUNTIF(connections!$A$2:$A$1425,$A500)+COUNTIF(connections!$B$2:$B$1425,$A500))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v>
      </c>
      <c r="B501">
        <f>IF($A501="","",games!$B501)</f>
        <v>2022</v>
      </c>
      <c r="C501" t="str">
        <f>IF($A501="","",games!$C501)</f>
        <v>Action</v>
      </c>
      <c r="D501">
        <f>IF($A501="","",COUNTIF(connections!$A$2:$A$1425,$A501)+COUNTIF(connections!$B$2:$B$1425,$A501))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Necrosmith 2</v>
      </c>
      <c r="B502">
        <f>IF($A502="","",games!$B502)</f>
        <v>2024</v>
      </c>
      <c r="C502" t="str">
        <f>IF($A502="","",games!$C502)</f>
        <v>Action</v>
      </c>
      <c r="D502">
        <f>IF($A502="","",COUNTIF(connections!$A$2:$A$1425,$A502)+COUNTIF(connections!$B$2:$B$1425,$A502))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v>
      </c>
      <c r="B503">
        <f>IF($A503="","",games!$B503)</f>
        <v>2019</v>
      </c>
      <c r="C503" t="str">
        <f>IF($A503="","",games!$C503)</f>
        <v>Action</v>
      </c>
      <c r="D503">
        <f>IF($A503="","",COUNTIF(connections!$A$2:$A$1425,$A503)+COUNTIF(connections!$B$2:$B$1425,$A503))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Neon Abyss 2</v>
      </c>
      <c r="B504">
        <f>IF($A504="","",games!$B504)</f>
        <v>2025</v>
      </c>
      <c r="C504" t="str">
        <f>IF($A504="","",games!$C504)</f>
        <v>Action</v>
      </c>
      <c r="D504">
        <f>IF($A504="","",COUNTIF(connections!$A$2:$A$1425,$A504)+COUNTIF(connections!$B$2:$B$1425,$A504))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Neophyte</v>
      </c>
      <c r="B505">
        <f>IF($A505="","",games!$B505)</f>
        <v>2022</v>
      </c>
      <c r="C505" t="str">
        <f>IF($A505="","",games!$C505)</f>
        <v>Action</v>
      </c>
      <c r="D505">
        <f>IF($A505="","",COUNTIF(connections!$A$2:$A$1425,$A505)+COUNTIF(connections!$B$2:$B$1425,$A505))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NetHack</v>
      </c>
      <c r="B506">
        <f>IF($A506="","",games!$B506)</f>
        <v>1987</v>
      </c>
      <c r="C506" t="str">
        <f>IF($A506="","",games!$C506)</f>
        <v>Traditional</v>
      </c>
      <c r="D506">
        <f>IF($A506="","",COUNTIF(connections!$A$2:$A$1425,$A506)+COUNTIF(connections!$B$2:$B$1425,$A506))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Netherworld Covenant</v>
      </c>
      <c r="B507">
        <f>IF($A507="","",games!$B507)</f>
        <v>2025</v>
      </c>
      <c r="C507" t="str">
        <f>IF($A507="","",games!$C507)</f>
        <v>Action</v>
      </c>
      <c r="D507">
        <f>IF($A507="","",COUNTIF(connections!$A$2:$A$1425,$A507)+COUNTIF(connections!$B$2:$B$1425,$A507))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Nigate Tale</v>
      </c>
      <c r="B508">
        <f>IF($A508="","",games!$B508)</f>
        <v>2021</v>
      </c>
      <c r="C508" t="str">
        <f>IF($A508="","",games!$C508)</f>
        <v>Action</v>
      </c>
      <c r="D508">
        <f>IF($A508="","",COUNTIF(connections!$A$2:$A$1425,$A508)+COUNTIF(connections!$B$2:$B$1425,$A508))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Night Swarm</v>
      </c>
      <c r="B509">
        <f>IF($A509="","",games!$B509)</f>
        <v>2025</v>
      </c>
      <c r="C509" t="str">
        <f>IF($A509="","",games!$C509)</f>
        <v>Action</v>
      </c>
      <c r="D509">
        <f>IF($A509="","",COUNTIF(connections!$A$2:$A$1425,$A509)+COUNTIF(connections!$B$2:$B$1425,$A509))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Nimrods</v>
      </c>
      <c r="B510">
        <f>IF($A510="","",games!$B510)</f>
        <v>2024</v>
      </c>
      <c r="C510" t="str">
        <f>IF($A510="","",games!$C510)</f>
        <v>Action</v>
      </c>
      <c r="D510">
        <f>IF($A510="","",COUNTIF(connections!$A$2:$A$1425,$A510)+COUNTIF(connections!$B$2:$B$1425,$A510))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Crown</v>
      </c>
      <c r="B511">
        <f>IF($A511="","",games!$B511)</f>
        <v>2026</v>
      </c>
      <c r="C511" t="str">
        <f>IF($A511="","",games!$C511)</f>
        <v>Deckbuilder</v>
      </c>
      <c r="D511">
        <f>IF($A511="","",COUNTIF(connections!$A$2:$A$1425,$A511)+COUNTIF(connections!$B$2:$B$1425,$A511))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Node Farm</v>
      </c>
      <c r="B512">
        <f>IF($A512="","",games!$B512)</f>
        <v>2024</v>
      </c>
      <c r="C512" t="str">
        <f>IF($A512="","",games!$C512)</f>
        <v>Strategy</v>
      </c>
      <c r="D512">
        <f>IF($A512="","",COUNTIF(connections!$A$2:$A$1425,$A512)+COUNTIF(connections!$B$2:$B$1425,$A512))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Noita</v>
      </c>
      <c r="B513">
        <f>IF($A513="","",games!$B513)</f>
        <v>2019</v>
      </c>
      <c r="C513" t="str">
        <f>IF($A513="","",games!$C513)</f>
        <v>Action</v>
      </c>
      <c r="D513">
        <f>IF($A513="","",COUNTIF(connections!$A$2:$A$1425,$A513)+COUNTIF(connections!$B$2:$B$1425,$A513))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Nomad Survival</v>
      </c>
      <c r="B514">
        <f>IF($A514="","",games!$B514)</f>
        <v>2022</v>
      </c>
      <c r="C514" t="str">
        <f>IF($A514="","",games!$C514)</f>
        <v>Action</v>
      </c>
      <c r="D514">
        <f>IF($A514="","",COUNTIF(connections!$A$2:$A$1425,$A514)+COUNTIF(connections!$B$2:$B$1425,$A514))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Are Coming</v>
      </c>
      <c r="B515">
        <f>IF($A515="","",games!$B515)</f>
        <v>2025</v>
      </c>
      <c r="C515" t="str">
        <f>IF($A515="","",games!$C515)</f>
        <v>Action</v>
      </c>
      <c r="D515">
        <f>IF($A515="","",COUNTIF(connections!$A$2:$A$1425,$A515)+COUNTIF(connections!$B$2:$B$1425,$A515))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IF($A516="","",COUNTIF(connections!$A$2:$A$1425,$A516)+COUNTIF(connections!$B$2:$B$1425,$A516))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Nordhold</v>
      </c>
      <c r="B517">
        <f>IF($A517="","",games!$B517)</f>
        <v>2025</v>
      </c>
      <c r="C517" t="str">
        <f>IF($A517="","",games!$C517)</f>
        <v>Strategy</v>
      </c>
      <c r="D517">
        <f>IF($A517="","",COUNTIF(connections!$A$2:$A$1425,$A517)+COUNTIF(connections!$B$2:$B$1425,$A517))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Nordic Ashes: Survivors of Ragnarok</v>
      </c>
      <c r="B518">
        <f>IF($A518="","",games!$B518)</f>
        <v>2022</v>
      </c>
      <c r="C518" t="str">
        <f>IF($A518="","",games!$C518)</f>
        <v>Action</v>
      </c>
      <c r="D518">
        <f>IF($A518="","",COUNTIF(connections!$A$2:$A$1425,$A518)+COUNTIF(connections!$B$2:$B$1425,$A518))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No-Skin</v>
      </c>
      <c r="B519">
        <f>IF($A519="","",games!$B519)</f>
        <v>2025</v>
      </c>
      <c r="C519" t="str">
        <f>IF($A519="","",games!$C519)</f>
        <v>Strategy</v>
      </c>
      <c r="D519">
        <f>IF($A519="","",COUNTIF(connections!$A$2:$A$1425,$A519)+COUNTIF(connections!$B$2:$B$1425,$A519))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Nova Drift</v>
      </c>
      <c r="B520">
        <f>IF($A520="","",games!$B520)</f>
        <v>2019</v>
      </c>
      <c r="C520" t="str">
        <f>IF($A520="","",games!$C520)</f>
        <v>Action</v>
      </c>
      <c r="D520">
        <f>IF($A520="","",COUNTIF(connections!$A$2:$A$1425,$A520)+COUNTIF(connections!$B$2:$B$1425,$A520))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Nowhere Prophet</v>
      </c>
      <c r="B521">
        <f>IF($A521="","",games!$B521)</f>
        <v>2019</v>
      </c>
      <c r="C521" t="str">
        <f>IF($A521="","",games!$C521)</f>
        <v>Deckbuilder</v>
      </c>
      <c r="D521">
        <f>IF($A521="","",COUNTIF(connections!$A$2:$A$1425,$A521)+COUNTIF(connections!$B$2:$B$1425,$A521))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Nubby's Number Factory</v>
      </c>
      <c r="B522">
        <f>IF($A522="","",games!$B522)</f>
        <v>2024</v>
      </c>
      <c r="C522" t="str">
        <f>IF($A522="","",games!$C522)</f>
        <v>Strategy</v>
      </c>
      <c r="D522">
        <f>IF($A522="","",COUNTIF(connections!$A$2:$A$1425,$A522)+COUNTIF(connections!$B$2:$B$1425,$A522))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Nuclear Throne</v>
      </c>
      <c r="B523">
        <f>IF($A523="","",games!$B523)</f>
        <v>2015</v>
      </c>
      <c r="C523" t="str">
        <f>IF($A523="","",games!$C523)</f>
        <v>Action</v>
      </c>
      <c r="D523">
        <f>IF($A523="","",COUNTIF(connections!$A$2:$A$1425,$A523)+COUNTIF(connections!$B$2:$B$1425,$A523))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Nunholy</v>
      </c>
      <c r="B524">
        <f>IF($A524="","",games!$B524)</f>
        <v>2025</v>
      </c>
      <c r="C524" t="str">
        <f>IF($A524="","",games!$C524)</f>
        <v>Action</v>
      </c>
      <c r="D524">
        <f>IF($A524="","",COUNTIF(connections!$A$2:$A$1425,$A524)+COUNTIF(connections!$B$2:$B$1425,$A524))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Oaken Tower</v>
      </c>
      <c r="B525">
        <f>IF($A525="","",games!$B525)</f>
        <v>2026</v>
      </c>
      <c r="C525" t="str">
        <f>IF($A525="","",games!$C525)</f>
        <v>Strategy</v>
      </c>
      <c r="D525">
        <f>IF($A525="","",COUNTIF(connections!$A$2:$A$1425,$A525)+COUNTIF(connections!$B$2:$B$1425,$A525))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Oblivion Override</v>
      </c>
      <c r="B526">
        <f>IF($A526="","",games!$B526)</f>
        <v>2023</v>
      </c>
      <c r="C526" t="str">
        <f>IF($A526="","",games!$C526)</f>
        <v>Action</v>
      </c>
      <c r="D526">
        <f>IF($A526="","",COUNTIF(connections!$A$2:$A$1425,$A526)+COUNTIF(connections!$B$2:$B$1425,$A526))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Obsidian Prince</v>
      </c>
      <c r="B527">
        <f>IF($A527="","",games!$B527)</f>
        <v>2021</v>
      </c>
      <c r="C527" t="str">
        <f>IF($A527="","",games!$C527)</f>
        <v>Deckbuilder</v>
      </c>
      <c r="D527">
        <f>IF($A527="","",COUNTIF(connections!$A$2:$A$1425,$A527)+COUNTIF(connections!$B$2:$B$1425,$A527))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Octogeddon</v>
      </c>
      <c r="B528">
        <f>IF($A528="","",games!$B528)</f>
        <v>2018</v>
      </c>
      <c r="C528" t="str">
        <f>IF($A528="","",games!$C528)</f>
        <v>Action</v>
      </c>
      <c r="D528">
        <f>IF($A528="","",COUNTIF(connections!$A$2:$A$1425,$A528)+COUNTIF(connections!$B$2:$B$1425,$A528))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Oddcore</v>
      </c>
      <c r="B529">
        <f>IF($A529="","",games!$B529)</f>
        <v>2026</v>
      </c>
      <c r="C529" t="str">
        <f>IF($A529="","",games!$C529)</f>
        <v>Action</v>
      </c>
      <c r="D529">
        <f>IF($A529="","",COUNTIF(connections!$A$2:$A$1425,$A529)+COUNTIF(connections!$B$2:$B$1425,$A529))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Odinfall</v>
      </c>
      <c r="B530">
        <f>IF($A530="","",games!$B530)</f>
        <v>2025</v>
      </c>
      <c r="C530" t="str">
        <f>IF($A530="","",games!$C530)</f>
        <v>Action</v>
      </c>
      <c r="D530">
        <f>IF($A530="","",COUNTIF(connections!$A$2:$A$1425,$A530)+COUNTIF(connections!$B$2:$B$1425,$A530))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Ogre Chambers 2222</v>
      </c>
      <c r="B531">
        <f>IF($A531="","",games!$B531)</f>
        <v>2026</v>
      </c>
      <c r="C531" t="str">
        <f>IF($A531="","",games!$C531)</f>
        <v>Action</v>
      </c>
      <c r="D531">
        <f>IF($A531="","",COUNTIF(connections!$A$2:$A$1425,$A531)+COUNTIF(connections!$B$2:$B$1425,$A531))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v>
      </c>
      <c r="B532">
        <f>IF($A532="","",games!$B532)</f>
        <v>1987</v>
      </c>
      <c r="C532" t="str">
        <f>IF($A532="","",games!$C532)</f>
        <v>Traditional</v>
      </c>
      <c r="D532">
        <f>IF($A532="","",COUNTIF(connections!$A$2:$A$1425,$A532)+COUNTIF(connections!$B$2:$B$1425,$A532))</f>
        <v>5</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5.0005319999999998</v>
      </c>
      <c r="P532" t="str">
        <f>IF(OR($A532="",games!$H532=""),"",games!$H532)</f>
        <v>Yes</v>
      </c>
      <c r="Q532">
        <f t="shared" si="115"/>
        <v>5.0005319999999998</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v>
      </c>
      <c r="B533">
        <f>IF($A533="","",games!$B533)</f>
        <v>2015</v>
      </c>
      <c r="C533" t="str">
        <f>IF($A533="","",games!$C533)</f>
        <v>Traditional</v>
      </c>
      <c r="D533">
        <f>IF($A533="","",COUNTIF(connections!$A$2:$A$1425,$A533)+COUNTIF(connections!$B$2:$B$1425,$A533))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Life</v>
      </c>
      <c r="B534">
        <f>IF($A534="","",games!$B534)</f>
        <v>2019</v>
      </c>
      <c r="C534" t="str">
        <f>IF($A534="","",games!$C534)</f>
        <v>Traditional</v>
      </c>
      <c r="D534">
        <f>IF($A534="","",COUNTIF(connections!$A$2:$A$1425,$A534)+COUNTIF(connections!$B$2:$B$1425,$A534))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Omega Labyrinth Z</v>
      </c>
      <c r="B535">
        <f>IF($A535="","",games!$B535)</f>
        <v>2017</v>
      </c>
      <c r="C535" t="str">
        <f>IF($A535="","",games!$C535)</f>
        <v>Traditional</v>
      </c>
      <c r="D535">
        <f>IF($A535="","",COUNTIF(connections!$A$2:$A$1425,$A535)+COUNTIF(connections!$B$2:$B$1425,$A535))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Omelet You Cook</v>
      </c>
      <c r="B536">
        <f>IF($A536="","",games!$B536)</f>
        <v>2025</v>
      </c>
      <c r="C536" t="str">
        <f>IF($A536="","",games!$C536)</f>
        <v>Deckbuilder</v>
      </c>
      <c r="D536">
        <f>IF($A536="","",COUNTIF(connections!$A$2:$A$1425,$A536)+COUNTIF(connections!$B$2:$B$1425,$A536))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Step From Eden</v>
      </c>
      <c r="B537">
        <f>IF($A537="","",games!$B537)</f>
        <v>2020</v>
      </c>
      <c r="C537" t="str">
        <f>IF($A537="","",games!$C537)</f>
        <v>Action</v>
      </c>
      <c r="D537">
        <f>IF($A537="","",COUNTIF(connections!$A$2:$A$1425,$A537)+COUNTIF(connections!$B$2:$B$1425,$A537))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 Way Heroics</v>
      </c>
      <c r="B538">
        <f>IF($A538="","",games!$B538)</f>
        <v>2014</v>
      </c>
      <c r="C538" t="str">
        <f>IF($A538="","",games!$C538)</f>
        <v>Traditional</v>
      </c>
      <c r="D538">
        <f>IF($A538="","",COUNTIF(connections!$A$2:$A$1425,$A538)+COUNTIF(connections!$B$2:$B$1425,$A538))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OneBit Adventure</v>
      </c>
      <c r="B539">
        <f>IF($A539="","",games!$B539)</f>
        <v>2019</v>
      </c>
      <c r="C539" t="str">
        <f>IF($A539="","",games!$C539)</f>
        <v>Traditional</v>
      </c>
      <c r="D539">
        <f>IF($A539="","",COUNTIF(connections!$A$2:$A$1425,$A539)+COUNTIF(connections!$B$2:$B$1425,$A539))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Order Automatica</v>
      </c>
      <c r="B540">
        <f>IF($A540="","",games!$B540)</f>
        <v>2026</v>
      </c>
      <c r="C540" t="str">
        <f>IF($A540="","",games!$C540)</f>
        <v>Deckbuilder</v>
      </c>
      <c r="D540">
        <f>IF($A540="","",COUNTIF(connections!$A$2:$A$1425,$A540)+COUNTIF(connections!$B$2:$B$1425,$A540))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OTXO</v>
      </c>
      <c r="B541">
        <f>IF($A541="","",games!$B541)</f>
        <v>2023</v>
      </c>
      <c r="C541" t="str">
        <f>IF($A541="","",games!$C541)</f>
        <v>Action</v>
      </c>
      <c r="D541">
        <f>IF($A541="","",COUNTIF(connections!$A$2:$A$1425,$A541)+COUNTIF(connections!$B$2:$B$1425,$A541))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Our Darker Purpose</v>
      </c>
      <c r="B542">
        <f>IF($A542="","",games!$B542)</f>
        <v>2014</v>
      </c>
      <c r="C542" t="str">
        <f>IF($A542="","",games!$C542)</f>
        <v>Action</v>
      </c>
      <c r="D542">
        <f>IF($A542="","",COUNTIF(connections!$A$2:$A$1425,$A542)+COUNTIF(connections!$B$2:$B$1425,$A542))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Overlooting</v>
      </c>
      <c r="B543">
        <f>IF($A543="","",games!$B543)</f>
        <v>2025</v>
      </c>
      <c r="C543" t="str">
        <f>IF($A543="","",games!$C543)</f>
        <v>Strategy</v>
      </c>
      <c r="D543">
        <f>IF($A543="","",COUNTIF(connections!$A$2:$A$1425,$A543)+COUNTIF(connections!$B$2:$B$1425,$A543))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Overworld</v>
      </c>
      <c r="B544">
        <f>IF($A544="","",games!$B544)</f>
        <v>2022</v>
      </c>
      <c r="C544" t="str">
        <f>IF($A544="","",games!$C544)</f>
        <v>Traditional</v>
      </c>
      <c r="D544">
        <f>IF($A544="","",COUNTIF(connections!$A$2:$A$1425,$A544)+COUNTIF(connections!$B$2:$B$1425,$A544))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Pairs &amp; Perils</v>
      </c>
      <c r="B545">
        <f>IF($A545="","",games!$B545)</f>
        <v>2025</v>
      </c>
      <c r="C545" t="str">
        <f>IF($A545="","",games!$C545)</f>
        <v>Deckbuilder</v>
      </c>
      <c r="D545">
        <f>IF($A545="","",COUNTIF(connections!$A$2:$A$1425,$A545)+COUNTIF(connections!$B$2:$B$1425,$A545))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Animal Adventure</v>
      </c>
      <c r="B546">
        <f>IF($A546="","",games!$B546)</f>
        <v>2025</v>
      </c>
      <c r="C546" t="str">
        <f>IF($A546="","",games!$C546)</f>
        <v>Traditional</v>
      </c>
      <c r="D546">
        <f>IF($A546="","",COUNTIF(connections!$A$2:$A$1425,$A546)+COUNTIF(connections!$B$2:$B$1425,$A546))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Paper Planet</v>
      </c>
      <c r="B547">
        <f>IF($A547="","",games!$B547)</f>
        <v>2023</v>
      </c>
      <c r="C547" t="str">
        <f>IF($A547="","",games!$C547)</f>
        <v>Action</v>
      </c>
      <c r="D547">
        <f>IF($A547="","",COUNTIF(connections!$A$2:$A$1425,$A547)+COUNTIF(connections!$B$2:$B$1425,$A547))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 the Fear</v>
      </c>
      <c r="B548">
        <f>IF($A548="","",games!$B548)</f>
        <v>2026</v>
      </c>
      <c r="C548" t="str">
        <f>IF($A548="","",games!$C548)</f>
        <v>Action</v>
      </c>
      <c r="D548">
        <f>IF($A548="","",COUNTIF(connections!$A$2:$A$1425,$A548)+COUNTIF(connections!$B$2:$B$1425,$A548))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Passant: A Chess Roguelike</v>
      </c>
      <c r="B549">
        <f>IF($A549="","",games!$B549)</f>
        <v>2025</v>
      </c>
      <c r="C549" t="str">
        <f>IF($A549="","",games!$C549)</f>
        <v>Strategy</v>
      </c>
      <c r="D549">
        <f>IF($A549="","",COUNTIF(connections!$A$2:$A$1425,$A549)+COUNTIF(connections!$B$2:$B$1425,$A549))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Patch Quest</v>
      </c>
      <c r="B550">
        <f>IF($A550="","",games!$B550)</f>
        <v>2021</v>
      </c>
      <c r="C550" t="str">
        <f>IF($A550="","",games!$C550)</f>
        <v>Action</v>
      </c>
      <c r="D550">
        <f>IF($A550="","",COUNTIF(connections!$A$2:$A$1425,$A550)+COUNTIF(connections!$B$2:$B$1425,$A550))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 of Achra</v>
      </c>
      <c r="B551">
        <f>IF($A551="","",games!$B551)</f>
        <v>2023</v>
      </c>
      <c r="C551" t="str">
        <f>IF($A551="","",games!$C551)</f>
        <v>Traditional</v>
      </c>
      <c r="D551">
        <f>IF($A551="","",COUNTIF(connections!$A$2:$A$1425,$A551)+COUNTIF(connections!$B$2:$B$1425,$A551))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Pathogenic</v>
      </c>
      <c r="B552">
        <f>IF($A552="","",games!$B552)</f>
        <v>2026</v>
      </c>
      <c r="C552" t="str">
        <f>IF($A552="","",games!$C552)</f>
        <v>Action</v>
      </c>
      <c r="D552">
        <f>IF($A552="","",COUNTIF(connections!$A$2:$A$1425,$A552)+COUNTIF(connections!$B$2:$B$1425,$A552))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Pathos: Nethack Codex</v>
      </c>
      <c r="B553">
        <f>IF($A553="","",games!$B553)</f>
        <v>2015</v>
      </c>
      <c r="C553" t="str">
        <f>IF($A553="","",games!$C553)</f>
        <v>Traditional</v>
      </c>
      <c r="D553">
        <f>IF($A553="","",COUNTIF(connections!$A$2:$A$1425,$A553)+COUNTIF(connections!$B$2:$B$1425,$A553))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Pawnbarian</v>
      </c>
      <c r="B554">
        <f>IF($A554="","",games!$B554)</f>
        <v>2021</v>
      </c>
      <c r="C554" t="str">
        <f>IF($A554="","",games!$C554)</f>
        <v>Strategy</v>
      </c>
      <c r="D554">
        <f>IF($A554="","",COUNTIF(connections!$A$2:$A$1425,$A554)+COUNTIF(connections!$B$2:$B$1425,$A554))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Pebble Knights</v>
      </c>
      <c r="B555">
        <f>IF($A555="","",games!$B555)</f>
        <v>2026</v>
      </c>
      <c r="C555" t="str">
        <f>IF($A555="","",games!$C555)</f>
        <v>Action</v>
      </c>
      <c r="D555">
        <f>IF($A555="","",COUNTIF(connections!$A$2:$A$1425,$A555)+COUNTIF(connections!$B$2:$B$1425,$A555))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Peglin</v>
      </c>
      <c r="B556">
        <f>IF($A556="","",games!$B556)</f>
        <v>2022</v>
      </c>
      <c r="C556" t="str">
        <f>IF($A556="","",games!$C556)</f>
        <v>Deckbuilder</v>
      </c>
      <c r="D556">
        <f>IF($A556="","",COUNTIF(connections!$A$2:$A$1425,$A556)+COUNTIF(connections!$B$2:$B$1425,$A556))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Pegs X Stickers</v>
      </c>
      <c r="B557">
        <f>IF($A557="","",games!$B557)</f>
        <v>2026</v>
      </c>
      <c r="C557" t="str">
        <f>IF($A557="","",games!$C557)</f>
        <v>Deckbuilder</v>
      </c>
      <c r="D557">
        <f>IF($A557="","",COUNTIF(connections!$A$2:$A$1425,$A557)+COUNTIF(connections!$B$2:$B$1425,$A557))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PengPong</v>
      </c>
      <c r="B558">
        <f>IF($A558="","",games!$B558)</f>
        <v>2026</v>
      </c>
      <c r="C558" t="str">
        <f>IF($A558="","",games!$C558)</f>
        <v>Action</v>
      </c>
      <c r="D558">
        <f>IF($A558="","",COUNTIF(connections!$A$2:$A$1425,$A558)+COUNTIF(connections!$B$2:$B$1425,$A558))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Pesticide Not Required</v>
      </c>
      <c r="B559">
        <f>IF($A559="","",games!$B559)</f>
        <v>2024</v>
      </c>
      <c r="C559" t="str">
        <f>IF($A559="","",games!$C559)</f>
        <v>Action</v>
      </c>
      <c r="D559">
        <f>IF($A559="","",COUNTIF(connections!$A$2:$A$1425,$A559)+COUNTIF(connections!$B$2:$B$1425,$A559))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Picayune Dreams</v>
      </c>
      <c r="B560">
        <f>IF($A560="","",games!$B560)</f>
        <v>2023</v>
      </c>
      <c r="C560" t="str">
        <f>IF($A560="","",games!$C560)</f>
        <v>Action</v>
      </c>
      <c r="D560">
        <f>IF($A560="","",COUNTIF(connections!$A$2:$A$1425,$A560)+COUNTIF(connections!$B$2:$B$1425,$A560))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Pip My Dice</v>
      </c>
      <c r="B561">
        <f>IF($A561="","",games!$B561)</f>
        <v>2025</v>
      </c>
      <c r="C561" t="str">
        <f>IF($A561="","",games!$C561)</f>
        <v>Deckbuilder</v>
      </c>
      <c r="D561">
        <f>IF($A561="","",COUNTIF(connections!$A$2:$A$1425,$A561)+COUNTIF(connections!$B$2:$B$1425,$A561))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Pixel Dungeon</v>
      </c>
      <c r="B562">
        <f>IF($A562="","",games!$B562)</f>
        <v>2012</v>
      </c>
      <c r="C562" t="str">
        <f>IF($A562="","",games!$C562)</f>
        <v>Traditional</v>
      </c>
      <c r="D562">
        <f>IF($A562="","",COUNTIF(connections!$A$2:$A$1425,$A562)+COUNTIF(connections!$B$2:$B$1425,$A562))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PlateUp!</v>
      </c>
      <c r="B563">
        <f>IF($A563="","",games!$B563)</f>
        <v>2022</v>
      </c>
      <c r="C563" t="str">
        <f>IF($A563="","",games!$C563)</f>
        <v>Strategy</v>
      </c>
      <c r="D563">
        <f>IF($A563="","",COUNTIF(connections!$A$2:$A$1425,$A563)+COUNTIF(connections!$B$2:$B$1425,$A563))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Plinbo</v>
      </c>
      <c r="B564">
        <f>IF($A564="","",games!$B564)</f>
        <v>2026</v>
      </c>
      <c r="C564" t="str">
        <f>IF($A564="","",games!$C564)</f>
        <v>Deckbuilder</v>
      </c>
      <c r="D564">
        <f>IF($A564="","",COUNTIF(connections!$A$2:$A$1425,$A564)+COUNTIF(connections!$B$2:$B$1425,$A564))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Plinko Panic!</v>
      </c>
      <c r="B565">
        <f>IF($A565="","",games!$B565)</f>
        <v>2021</v>
      </c>
      <c r="C565" t="str">
        <f>IF($A565="","",games!$C565)</f>
        <v>Deckbuilder</v>
      </c>
      <c r="D565">
        <f>IF($A565="","",COUNTIF(connections!$A$2:$A$1425,$A565)+COUNTIF(connections!$B$2:$B$1425,$A565))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Pluto</v>
      </c>
      <c r="B566">
        <f>IF($A566="","",games!$B566)</f>
        <v>2026</v>
      </c>
      <c r="C566" t="str">
        <f>IF($A566="","",games!$C566)</f>
        <v>Deckbuilder</v>
      </c>
      <c r="D566">
        <f>IF($A566="","",COUNTIF(connections!$A$2:$A$1425,$A566)+COUNTIF(connections!$B$2:$B$1425,$A566))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Pocket Crystal League</v>
      </c>
      <c r="B567">
        <f>IF($A567="","",games!$B567)</f>
        <v>2022</v>
      </c>
      <c r="C567" t="str">
        <f>IF($A567="","",games!$C567)</f>
        <v>Deckbuilder</v>
      </c>
      <c r="D567">
        <f>IF($A567="","",COUNTIF(connections!$A$2:$A$1425,$A567)+COUNTIF(connections!$B$2:$B$1425,$A567))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Pogo Rogue</v>
      </c>
      <c r="B568">
        <f>IF($A568="","",games!$B568)</f>
        <v>2024</v>
      </c>
      <c r="C568" t="str">
        <f>IF($A568="","",games!$C568)</f>
        <v>Action</v>
      </c>
      <c r="D568">
        <f>IF($A568="","",COUNTIF(connections!$A$2:$A$1425,$A568)+COUNTIF(connections!$B$2:$B$1425,$A568))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Pokelike</v>
      </c>
      <c r="B569">
        <f>IF($A569="","",games!$B569)</f>
        <v>2026</v>
      </c>
      <c r="C569" t="str">
        <f>IF($A569="","",games!$C569)</f>
        <v>Strategy</v>
      </c>
      <c r="D569">
        <f>IF($A569="","",COUNTIF(connections!$A$2:$A$1425,$A569)+COUNTIF(connections!$B$2:$B$1425,$A569))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Chess</v>
      </c>
      <c r="B570">
        <f>IF($A570="","",games!$B570)</f>
        <v>2021</v>
      </c>
      <c r="C570" t="str">
        <f>IF($A570="","",games!$C570)</f>
        <v>Strategy</v>
      </c>
      <c r="D570">
        <f>IF($A570="","",COUNTIF(connections!$A$2:$A$1425,$A570)+COUNTIF(connections!$B$2:$B$1425,$A570))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Auto Spire</v>
      </c>
      <c r="B571">
        <f>IF($A571="","",games!$B571)</f>
        <v>2026</v>
      </c>
      <c r="C571" t="str">
        <f>IF($A571="","",games!$C571)</f>
        <v>Strategy</v>
      </c>
      <c r="D571">
        <f>IF($A571="","",COUNTIF(connections!$A$2:$A$1425,$A571)+COUNTIF(connections!$B$2:$B$1425,$A571))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Sky</v>
      </c>
      <c r="B572">
        <f>IF($A572="","",games!$B572)</f>
        <v>2009</v>
      </c>
      <c r="C572" t="str">
        <f>IF($A572="","",games!$C572)</f>
        <v>Traditional</v>
      </c>
      <c r="D572">
        <f>IF($A572="","",COUNTIF(connections!$A$2:$A$1425,$A572)+COUNTIF(connections!$B$2:$B$1425,$A572))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Explorers of Time and Explorers of Darkness</v>
      </c>
      <c r="B573">
        <f>IF($A573="","",games!$B573)</f>
        <v>2007</v>
      </c>
      <c r="C573" t="str">
        <f>IF($A573="","",games!$C573)</f>
        <v>Traditional</v>
      </c>
      <c r="D573">
        <f>IF($A573="","",COUNTIF(connections!$A$2:$A$1425,$A573)+COUNTIF(connections!$B$2:$B$1425,$A573))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Gates to Infinity</v>
      </c>
      <c r="B574">
        <f>IF($A574="","",games!$B574)</f>
        <v>2012</v>
      </c>
      <c r="C574" t="str">
        <f>IF($A574="","",games!$C574)</f>
        <v>Traditional</v>
      </c>
      <c r="D574">
        <f>IF($A574="","",COUNTIF(connections!$A$2:$A$1425,$A574)+COUNTIF(connections!$B$2:$B$1425,$A574))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Red and Blue Rescue Team</v>
      </c>
      <c r="B575">
        <f>IF($A575="","",games!$B575)</f>
        <v>2005</v>
      </c>
      <c r="C575" t="str">
        <f>IF($A575="","",games!$C575)</f>
        <v>Traditional</v>
      </c>
      <c r="D575">
        <f>IF($A575="","",COUNTIF(connections!$A$2:$A$1425,$A575)+COUNTIF(connections!$B$2:$B$1425,$A575))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Mystery Dungeon: Rescue Team DX</v>
      </c>
      <c r="B576">
        <f>IF($A576="","",games!$B576)</f>
        <v>2020</v>
      </c>
      <c r="C576" t="str">
        <f>IF($A576="","",games!$C576)</f>
        <v>Traditional</v>
      </c>
      <c r="D576">
        <f>IF($A576="","",COUNTIF(connections!$A$2:$A$1425,$A576)+COUNTIF(connections!$B$2:$B$1425,$A576))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Super Mystery Dungeon</v>
      </c>
      <c r="B577">
        <f>IF($A577="","",games!$B577)</f>
        <v>2015</v>
      </c>
      <c r="C577" t="str">
        <f>IF($A577="","",games!$C577)</f>
        <v>Traditional</v>
      </c>
      <c r="D577">
        <f>IF($A577="","",COUNTIF(connections!$A$2:$A$1425,$A577)+COUNTIF(connections!$B$2:$B$1425,$A577))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Pokémon Survivor Burst</v>
      </c>
      <c r="B578">
        <f>IF($A578="","",games!$B578)</f>
        <v>2026</v>
      </c>
      <c r="C578" t="str">
        <f>IF($A578="","",games!$C578)</f>
        <v>Action</v>
      </c>
      <c r="D578">
        <f>IF($A578="","",COUNTIF(connections!$A$2:$A$1425,$A578)+COUNTIF(connections!$B$2:$B$1425,$A578))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PokéRogue</v>
      </c>
      <c r="B579">
        <f>IF($A579="","",games!$B579)</f>
        <v>2024</v>
      </c>
      <c r="C579" t="str">
        <f>IF($A579="","",games!$C579)</f>
        <v>Strategy</v>
      </c>
      <c r="D579">
        <f>IF($A579="","",COUNTIF(connections!$A$2:$A$1425,$A579)+COUNTIF(connections!$B$2:$B$1425,$A579))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PokeVoid</v>
      </c>
      <c r="B580">
        <f>IF($A580="","",games!$B580)</f>
        <v>2025</v>
      </c>
      <c r="C580" t="str">
        <f>IF($A580="","",games!$C580)</f>
        <v>Strategy</v>
      </c>
      <c r="D580">
        <f>IF($A580="","",COUNTIF(connections!$A$2:$A$1425,$A580)+COUNTIF(connections!$B$2:$B$1425,$A580))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Popup Dungeon</v>
      </c>
      <c r="B581">
        <f>IF($A581="","",games!$B581)</f>
        <v>2020</v>
      </c>
      <c r="C581" t="str">
        <f>IF($A581="","",games!$C581)</f>
        <v>Strategy</v>
      </c>
      <c r="D581">
        <f>IF($A581="","",COUNTIF(connections!$A$2:$A$1425,$A581)+COUNTIF(connections!$B$2:$B$1425,$A581))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Powder</v>
      </c>
      <c r="B582">
        <f>IF($A582="","",games!$B582)</f>
        <v>2003</v>
      </c>
      <c r="C582" t="str">
        <f>IF($A582="","",games!$C582)</f>
        <v>Traditional</v>
      </c>
      <c r="D582">
        <f>IF($A582="","",COUNTIF(connections!$A$2:$A$1425,$A582)+COUNTIF(connections!$B$2:$B$1425,$A582))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Primordialis</v>
      </c>
      <c r="B583">
        <f>IF($A583="","",games!$B583)</f>
        <v>2024</v>
      </c>
      <c r="C583" t="str">
        <f>IF($A583="","",games!$C583)</f>
        <v>Action</v>
      </c>
      <c r="D583">
        <f>IF($A583="","",COUNTIF(connections!$A$2:$A$1425,$A583)+COUNTIF(connections!$B$2:$B$1425,$A583))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Pronoun Palace</v>
      </c>
      <c r="B584">
        <f>IF($A584="","",games!$B584)</f>
        <v>2026</v>
      </c>
      <c r="C584" t="str">
        <f>IF($A584="","",games!$C584)</f>
        <v>Strategy</v>
      </c>
      <c r="D584">
        <f>IF($A584="","",COUNTIF(connections!$A$2:$A$1425,$A584)+COUNTIF(connections!$B$2:$B$1425,$A584))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Putrid Shot Ultra</v>
      </c>
      <c r="B585">
        <f>IF($A585="","",games!$B585)</f>
        <v>2022</v>
      </c>
      <c r="C585" t="str">
        <f>IF($A585="","",games!$C585)</f>
        <v>Action</v>
      </c>
      <c r="D585">
        <f>IF($A585="","",COUNTIF(connections!$A$2:$A$1425,$A585)+COUNTIF(connections!$B$2:$B$1425,$A585))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Pyrene</v>
      </c>
      <c r="B586">
        <f>IF($A586="","",games!$B586)</f>
        <v>2024</v>
      </c>
      <c r="C586" t="str">
        <f>IF($A586="","",games!$C586)</f>
        <v>Deckbuilder</v>
      </c>
      <c r="D586">
        <f>IF($A586="","",COUNTIF(connections!$A$2:$A$1425,$A586)+COUNTIF(connections!$B$2:$B$1425,$A586))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Quasimorph</v>
      </c>
      <c r="B587">
        <f>IF($A587="","",games!$B587)</f>
        <v>2023</v>
      </c>
      <c r="C587" t="str">
        <f>IF($A587="","",games!$C587)</f>
        <v>Traditional</v>
      </c>
      <c r="D587">
        <f>IF($A587="","",COUNTIF(connections!$A$2:$A$1425,$A587)+COUNTIF(connections!$B$2:$B$1425,$A587))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IF($A588="","",COUNTIF(connections!$A$2:$A$1425,$A588)+COUNTIF(connections!$B$2:$B$1425,$A588))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IF($A589="","",COUNTIF(connections!$A$2:$A$1425,$A589)+COUNTIF(connections!$B$2:$B$1425,$A589))</f>
        <v>0</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Raccoin: Coin Pusher Roguelike</v>
      </c>
      <c r="B590">
        <f>IF($A590="","",games!$B590)</f>
        <v>2026</v>
      </c>
      <c r="C590" t="str">
        <f>IF($A590="","",games!$C590)</f>
        <v>Deckbuilder</v>
      </c>
      <c r="D590">
        <f>IF($A590="","",COUNTIF(connections!$A$2:$A$1425,$A590)+COUNTIF(connections!$B$2:$B$1425,$A590))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Rack and Slay</v>
      </c>
      <c r="B591">
        <f>IF($A591="","",games!$B591)</f>
        <v>2024</v>
      </c>
      <c r="C591" t="str">
        <f>IF($A591="","",games!$C591)</f>
        <v>Strategy</v>
      </c>
      <c r="D591">
        <f>IF($A591="","",COUNTIF(connections!$A$2:$A$1425,$A591)+COUNTIF(connections!$B$2:$B$1425,$A591))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Ragnarok</v>
      </c>
      <c r="B592">
        <f>IF($A592="","",games!$B592)</f>
        <v>1992</v>
      </c>
      <c r="C592" t="str">
        <f>IF($A592="","",games!$C592)</f>
        <v>Traditional</v>
      </c>
      <c r="D592">
        <f>IF($A592="","",COUNTIF(connections!$A$2:$A$1425,$A592)+COUNTIF(connections!$B$2:$B$1425,$A592))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 Random Access Mayhem</v>
      </c>
      <c r="B593">
        <f>IF($A593="","",games!$B593)</f>
        <v>2024</v>
      </c>
      <c r="C593" t="str">
        <f>IF($A593="","",games!$C593)</f>
        <v>Action</v>
      </c>
      <c r="D593">
        <f>IF($A593="","",COUNTIF(connections!$A$2:$A$1425,$A593)+COUNTIF(connections!$B$2:$B$1425,$A593))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Rampage Knights</v>
      </c>
      <c r="B594">
        <f>IF($A594="","",games!$B594)</f>
        <v>2015</v>
      </c>
      <c r="C594" t="str">
        <f>IF($A594="","",games!$C594)</f>
        <v>Action</v>
      </c>
      <c r="D594">
        <f>IF($A594="","",COUNTIF(connections!$A$2:$A$1425,$A594)+COUNTIF(connections!$B$2:$B$1425,$A594))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IF($A595="","",COUNTIF(connections!$A$2:$A$1425,$A595)+COUNTIF(connections!$B$2:$B$1425,$A595))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Ratropolis</v>
      </c>
      <c r="B596">
        <f>IF($A596="","",games!$B596)</f>
        <v>2019</v>
      </c>
      <c r="C596" t="str">
        <f>IF($A596="","",games!$C596)</f>
        <v>Deckbuilder</v>
      </c>
      <c r="D596">
        <f>IF($A596="","",COUNTIF(connections!$A$2:$A$1425,$A596)+COUNTIF(connections!$B$2:$B$1425,$A596))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Ravenswatch</v>
      </c>
      <c r="B597">
        <f>IF($A597="","",games!$B597)</f>
        <v>2023</v>
      </c>
      <c r="C597" t="str">
        <f>IF($A597="","",games!$C597)</f>
        <v>Action</v>
      </c>
      <c r="D597">
        <f>IF($A597="","",COUNTIF(connections!$A$2:$A$1425,$A597)+COUNTIF(connections!$B$2:$B$1425,$A597))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Reality Break</v>
      </c>
      <c r="B598">
        <f>IF($A598="","",games!$B598)</f>
        <v>2025</v>
      </c>
      <c r="C598" t="str">
        <f>IF($A598="","",games!$C598)</f>
        <v>Action</v>
      </c>
      <c r="D598">
        <f>IF($A598="","",COUNTIF(connections!$A$2:$A$1425,$A598)+COUNTIF(connections!$B$2:$B$1425,$A598))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IF($A599="","",COUNTIF(connections!$A$2:$A$1425,$A599)+COUNTIF(connections!$B$2:$B$1425,$A599))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Realm of the Mad God</v>
      </c>
      <c r="B600">
        <f>IF($A600="","",games!$B600)</f>
        <v>2010</v>
      </c>
      <c r="C600" t="str">
        <f>IF($A600="","",games!$C600)</f>
        <v>Action</v>
      </c>
      <c r="D600">
        <f>IF($A600="","",COUNTIF(connections!$A$2:$A$1425,$A600)+COUNTIF(connections!$B$2:$B$1425,$A600))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Red Rogue</v>
      </c>
      <c r="B601">
        <f>IF($A601="","",games!$B601)</f>
        <v>2012</v>
      </c>
      <c r="C601" t="str">
        <f>IF($A601="","",games!$C601)</f>
        <v>Action</v>
      </c>
      <c r="D601">
        <f>IF($A601="","",COUNTIF(connections!$A$2:$A$1425,$A601)+COUNTIF(connections!$B$2:$B$1425,$A601))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IF($A602="","",COUNTIF(connections!$A$2:$A$1425,$A602)+COUNTIF(connections!$B$2:$B$1425,$A602))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Renowned Explorers: International Society</v>
      </c>
      <c r="B603">
        <f>IF($A603="","",games!$B603)</f>
        <v>2015</v>
      </c>
      <c r="C603" t="str">
        <f>IF($A603="","",games!$C603)</f>
        <v>Strategy</v>
      </c>
      <c r="D603">
        <f>IF($A603="","",COUNTIF(connections!$A$2:$A$1425,$A603)+COUNTIF(connections!$B$2:$B$1425,$A603))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Repetendium</v>
      </c>
      <c r="B604">
        <f>IF($A604="","",games!$B604)</f>
        <v>2022</v>
      </c>
      <c r="C604" t="str">
        <f>IF($A604="","",games!$C604)</f>
        <v>Action</v>
      </c>
      <c r="D604">
        <f>IF($A604="","",COUNTIF(connections!$A$2:$A$1425,$A604)+COUNTIF(connections!$B$2:$B$1425,$A604))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Replicat</v>
      </c>
      <c r="B605">
        <f>IF($A605="","",games!$B605)</f>
        <v>2025</v>
      </c>
      <c r="C605" t="str">
        <f>IF($A605="","",games!$C605)</f>
        <v>Deckbuilder</v>
      </c>
      <c r="D605">
        <f>IF($A605="","",COUNTIF(connections!$A$2:$A$1425,$A605)+COUNTIF(connections!$B$2:$B$1425,$A605))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 to Abyss</v>
      </c>
      <c r="B606">
        <f>IF($A606="","",games!$B606)</f>
        <v>2023</v>
      </c>
      <c r="C606" t="str">
        <f>IF($A606="","",games!$C606)</f>
        <v>Action</v>
      </c>
      <c r="D606">
        <f>IF($A606="","",COUNTIF(connections!$A$2:$A$1425,$A606)+COUNTIF(connections!$B$2:$B$1425,$A606))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Returnal</v>
      </c>
      <c r="B607">
        <f>IF($A607="","",games!$B607)</f>
        <v>2023</v>
      </c>
      <c r="C607" t="str">
        <f>IF($A607="","",games!$C607)</f>
        <v>Action</v>
      </c>
      <c r="D607">
        <f>IF($A607="","",COUNTIF(connections!$A$2:$A$1425,$A607)+COUNTIF(connections!$B$2:$B$1425,$A607))</f>
        <v>3</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3.000607</v>
      </c>
      <c r="P607" t="str">
        <f>IF(OR($A607="",games!$H607=""),"",games!$H607)</f>
        <v>Yes</v>
      </c>
      <c r="Q607">
        <f t="shared" si="128"/>
        <v>3.000607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Revita</v>
      </c>
      <c r="B608">
        <f>IF($A608="","",games!$B608)</f>
        <v>2021</v>
      </c>
      <c r="C608" t="str">
        <f>IF($A608="","",games!$C608)</f>
        <v>Action</v>
      </c>
      <c r="D608">
        <f>IF($A608="","",COUNTIF(connections!$A$2:$A$1425,$A608)+COUNTIF(connections!$B$2:$B$1425,$A608))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Rhythm Witch: Beat Death</v>
      </c>
      <c r="B609">
        <f>IF($A609="","",games!$B609)</f>
        <v>2025</v>
      </c>
      <c r="C609" t="str">
        <f>IF($A609="","",games!$C609)</f>
        <v>Action</v>
      </c>
      <c r="D609">
        <f>IF($A609="","",COUNTIF(connections!$A$2:$A$1425,$A609)+COUNTIF(connections!$B$2:$B$1425,$A609))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v>
      </c>
      <c r="B610">
        <f>IF($A610="","",games!$B610)</f>
        <v>2020</v>
      </c>
      <c r="C610" t="str">
        <f>IF($A610="","",games!$C610)</f>
        <v>Traditional</v>
      </c>
      <c r="D610">
        <f>IF($A610="","",COUNTIF(connections!$A$2:$A$1425,$A610)+COUNTIF(connections!$B$2:$B$1425,$A610))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2</v>
      </c>
      <c r="B611">
        <f>IF($A611="","",games!$B611)</f>
        <v>2024</v>
      </c>
      <c r="C611" t="str">
        <f>IF($A611="","",games!$C611)</f>
        <v>Traditional</v>
      </c>
      <c r="D611">
        <f>IF($A611="","",COUNTIF(connections!$A$2:$A$1425,$A611)+COUNTIF(connections!$B$2:$B$1425,$A611))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Rift Wizard 3</v>
      </c>
      <c r="B612">
        <f>IF($A612="","",games!$B612)</f>
        <v>2026</v>
      </c>
      <c r="C612" t="str">
        <f>IF($A612="","",games!$C612)</f>
        <v>Traditional</v>
      </c>
      <c r="D612">
        <f>IF($A612="","",COUNTIF(connections!$A$2:$A$1425,$A612)+COUNTIF(connections!$B$2:$B$1425,$A612))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 Riot</v>
      </c>
      <c r="B613">
        <f>IF($A613="","",games!$B613)</f>
        <v>2026</v>
      </c>
      <c r="C613" t="str">
        <f>IF($A613="","",games!$C613)</f>
        <v>Action</v>
      </c>
      <c r="D613">
        <f>IF($A613="","",COUNTIF(connections!$A$2:$A$1425,$A613)+COUNTIF(connections!$B$2:$B$1425,$A613))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Right and Down</v>
      </c>
      <c r="B614">
        <f>IF($A614="","",games!$B614)</f>
        <v>2022</v>
      </c>
      <c r="C614" t="str">
        <f>IF($A614="","",games!$C614)</f>
        <v>Deckbuilder</v>
      </c>
      <c r="D614">
        <f>IF($A614="","",COUNTIF(connections!$A$2:$A$1425,$A614)+COUNTIF(connections!$B$2:$B$1425,$A614))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 of Pain</v>
      </c>
      <c r="B615">
        <f>IF($A615="","",games!$B615)</f>
        <v>2020</v>
      </c>
      <c r="C615" t="str">
        <f>IF($A615="","",games!$C615)</f>
        <v>Strategy</v>
      </c>
      <c r="D615">
        <f>IF($A615="","",COUNTIF(connections!$A$2:$A$1425,$A615)+COUNTIF(connections!$B$2:$B$1425,$A615))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Ringer</v>
      </c>
      <c r="B616">
        <f>IF($A616="","",games!$B616)</f>
        <v>2025</v>
      </c>
      <c r="C616" t="str">
        <f>IF($A616="","",games!$C616)</f>
        <v>Deckbuilder</v>
      </c>
      <c r="D616">
        <f>IF($A616="","",COUNTIF(connections!$A$2:$A$1425,$A616)+COUNTIF(connections!$B$2:$B$1425,$A616))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Riptale</v>
      </c>
      <c r="B617">
        <f>IF($A617="","",games!$B617)</f>
        <v>2017</v>
      </c>
      <c r="C617" t="str">
        <f>IF($A617="","",games!$C617)</f>
        <v>Action</v>
      </c>
      <c r="D617">
        <f>IF($A617="","",COUNTIF(connections!$A$2:$A$1425,$A617)+COUNTIF(connections!$B$2:$B$1425,$A617))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v>
      </c>
      <c r="B618">
        <f>IF($A618="","",games!$B618)</f>
        <v>2013</v>
      </c>
      <c r="C618" t="str">
        <f>IF($A618="","",games!$C618)</f>
        <v>Action</v>
      </c>
      <c r="D618">
        <f>IF($A618="","",COUNTIF(connections!$A$2:$A$1425,$A618)+COUNTIF(connections!$B$2:$B$1425,$A618))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2</v>
      </c>
      <c r="B619">
        <f>IF($A619="","",games!$B619)</f>
        <v>2020</v>
      </c>
      <c r="C619" t="str">
        <f>IF($A619="","",games!$C619)</f>
        <v>Action</v>
      </c>
      <c r="D619">
        <f>IF($A619="","",COUNTIF(connections!$A$2:$A$1425,$A619)+COUNTIF(connections!$B$2:$B$1425,$A619))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Risk of Rain Returns</v>
      </c>
      <c r="B620">
        <f>IF($A620="","",games!$B620)</f>
        <v>2023</v>
      </c>
      <c r="C620" t="str">
        <f>IF($A620="","",games!$C620)</f>
        <v>Action</v>
      </c>
      <c r="D620">
        <f>IF($A620="","",COUNTIF(connections!$A$2:$A$1425,$A620)+COUNTIF(connections!$B$2:$B$1425,$A620))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Road Not Taken</v>
      </c>
      <c r="B621">
        <f>IF($A621="","",games!$B621)</f>
        <v>2014</v>
      </c>
      <c r="C621" t="str">
        <f>IF($A621="","",games!$C621)</f>
        <v>Strategy</v>
      </c>
      <c r="D621">
        <f>IF($A621="","",COUNTIF(connections!$A$2:$A$1425,$A621)+COUNTIF(connections!$B$2:$B$1425,$A621))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Roboquest</v>
      </c>
      <c r="B622">
        <f>IF($A622="","",games!$B622)</f>
        <v>2020</v>
      </c>
      <c r="C622" t="str">
        <f>IF($A622="","",games!$C622)</f>
        <v>Action</v>
      </c>
      <c r="D622">
        <f>IF($A622="","",COUNTIF(connections!$A$2:$A$1425,$A622)+COUNTIF(connections!$B$2:$B$1425,$A622))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Rocket Rats</v>
      </c>
      <c r="B623">
        <f>IF($A623="","",games!$B623)</f>
        <v>2024</v>
      </c>
      <c r="C623" t="str">
        <f>IF($A623="","",games!$C623)</f>
        <v>Action</v>
      </c>
      <c r="D623">
        <f>IF($A623="","",COUNTIF(connections!$A$2:$A$1425,$A623)+COUNTIF(connections!$B$2:$B$1425,$A623))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v>
      </c>
      <c r="B624">
        <f>IF($A624="","",games!$B624)</f>
        <v>1980</v>
      </c>
      <c r="C624" t="str">
        <f>IF($A624="","",games!$C624)</f>
        <v>Traditional</v>
      </c>
      <c r="D624">
        <f>IF($A624="","",COUNTIF(connections!$A$2:$A$1425,$A624)+COUNTIF(connections!$B$2:$B$1425,$A624))</f>
        <v>27</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27.000623999999998</v>
      </c>
      <c r="P624" t="str">
        <f>IF(OR($A624="",games!$H624=""),"",games!$H624)</f>
        <v>Yes</v>
      </c>
      <c r="Q624">
        <f t="shared" si="128"/>
        <v>27.000623999999998</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Command</v>
      </c>
      <c r="B625">
        <f>IF($A625="","",games!$B625)</f>
        <v>2024</v>
      </c>
      <c r="C625" t="str">
        <f>IF($A625="","",games!$C625)</f>
        <v>Strategy</v>
      </c>
      <c r="D625">
        <f>IF($A625="","",COUNTIF(connections!$A$2:$A$1425,$A625)+COUNTIF(connections!$B$2:$B$1425,$A625))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Empire</v>
      </c>
      <c r="B626">
        <f>IF($A626="","",games!$B626)</f>
        <v>2019</v>
      </c>
      <c r="C626" t="str">
        <f>IF($A626="","",games!$C626)</f>
        <v>Traditional</v>
      </c>
      <c r="D626">
        <f>IF($A626="","",COUNTIF(connections!$A$2:$A$1425,$A626)+COUNTIF(connections!$B$2:$B$1425,$A626))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Factory</v>
      </c>
      <c r="B627">
        <f>IF($A627="","",games!$B627)</f>
        <v>2026</v>
      </c>
      <c r="C627" t="str">
        <f>IF($A627="","",games!$C627)</f>
        <v>Action</v>
      </c>
      <c r="D627">
        <f>IF($A627="","",COUNTIF(connections!$A$2:$A$1425,$A627)+COUNTIF(connections!$B$2:$B$1425,$A627))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Flight</v>
      </c>
      <c r="B628">
        <f>IF($A628="","",games!$B628)</f>
        <v>2024</v>
      </c>
      <c r="C628" t="str">
        <f>IF($A628="","",games!$C628)</f>
        <v>Action</v>
      </c>
      <c r="D628">
        <f>IF($A628="","",COUNTIF(connections!$A$2:$A$1425,$A628)+COUNTIF(connections!$B$2:$B$1425,$A628))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Hearts Dungeon</v>
      </c>
      <c r="B629">
        <f>IF($A629="","",games!$B629)</f>
        <v>2007</v>
      </c>
      <c r="C629" t="str">
        <f>IF($A629="","",games!$C629)</f>
        <v>Traditional</v>
      </c>
      <c r="D629">
        <f>IF($A629="","",COUNTIF(connections!$A$2:$A$1425,$A629)+COUNTIF(connections!$B$2:$B$1425,$A629))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Heroes: Ruins of Tasos</v>
      </c>
      <c r="B630">
        <f>IF($A630="","",games!$B630)</f>
        <v>2021</v>
      </c>
      <c r="C630" t="str">
        <f>IF($A630="","",games!$C630)</f>
        <v>Action</v>
      </c>
      <c r="D630">
        <f>IF($A630="","",COUNTIF(connections!$A$2:$A$1425,$A630)+COUNTIF(connections!$B$2:$B$1425,$A630))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v>
      </c>
      <c r="B631">
        <f>IF($A631="","",games!$B631)</f>
        <v>2013</v>
      </c>
      <c r="C631" t="str">
        <f>IF($A631="","",games!$C631)</f>
        <v>Action</v>
      </c>
      <c r="D631">
        <f>IF($A631="","",COUNTIF(connections!$A$2:$A$1425,$A631)+COUNTIF(connections!$B$2:$B$1425,$A631))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Legacy 2</v>
      </c>
      <c r="B632">
        <f>IF($A632="","",games!$B632)</f>
        <v>2020</v>
      </c>
      <c r="C632" t="str">
        <f>IF($A632="","",games!$C632)</f>
        <v>Action</v>
      </c>
      <c r="D632">
        <f>IF($A632="","",COUNTIF(connections!$A$2:$A$1425,$A632)+COUNTIF(connections!$B$2:$B$1425,$A632))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Lords</v>
      </c>
      <c r="B633">
        <f>IF($A633="","",games!$B633)</f>
        <v>2021</v>
      </c>
      <c r="C633" t="str">
        <f>IF($A633="","",games!$C633)</f>
        <v>Strategy</v>
      </c>
      <c r="D633">
        <f>IF($A633="","",COUNTIF(connections!$A$2:$A$1425,$A633)+COUNTIF(connections!$B$2:$B$1425,$A633))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Tower</v>
      </c>
      <c r="B634">
        <f>IF($A634="","",games!$B634)</f>
        <v>2022</v>
      </c>
      <c r="C634" t="str">
        <f>IF($A634="","",games!$C634)</f>
        <v>Strategy</v>
      </c>
      <c r="D634">
        <f>IF($A634="","",COUNTIF(connections!$A$2:$A$1425,$A634)+COUNTIF(connections!$B$2:$B$1425,$A634))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Voltage</v>
      </c>
      <c r="B635">
        <f>IF($A635="","",games!$B635)</f>
        <v>2024</v>
      </c>
      <c r="C635" t="str">
        <f>IF($A635="","",games!$C635)</f>
        <v>Deckbuilder</v>
      </c>
      <c r="D635">
        <f>IF($A635="","",COUNTIF(connections!$A$2:$A$1425,$A635)+COUNTIF(connections!$B$2:$B$1425,$A635))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Wizards</v>
      </c>
      <c r="B636">
        <f>IF($A636="","",games!$B636)</f>
        <v>2016</v>
      </c>
      <c r="C636" t="str">
        <f>IF($A636="","",games!$C636)</f>
        <v>Strategy</v>
      </c>
      <c r="D636">
        <f>IF($A636="","",COUNTIF(connections!$A$2:$A$1425,$A636)+COUNTIF(connections!$B$2:$B$1425,$A636))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 Genesia</v>
      </c>
      <c r="B637">
        <f>IF($A637="","",games!$B637)</f>
        <v>2022</v>
      </c>
      <c r="C637" t="str">
        <f>IF($A637="","",games!$C637)</f>
        <v>Action</v>
      </c>
      <c r="D637">
        <f>IF($A637="","",COUNTIF(connections!$A$2:$A$1425,$A637)+COUNTIF(connections!$B$2:$B$1425,$A637))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Roguebook</v>
      </c>
      <c r="B638">
        <f>IF($A638="","",games!$B638)</f>
        <v>2021</v>
      </c>
      <c r="C638" t="str">
        <f>IF($A638="","",games!$C638)</f>
        <v>Deckbuilder</v>
      </c>
      <c r="D638">
        <f>IF($A638="","",COUNTIF(connections!$A$2:$A$1425,$A638)+COUNTIF(connections!$B$2:$B$1425,$A638))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Rogue-Fp</v>
      </c>
      <c r="B639">
        <f>IF($A639="","",games!$B639)</f>
        <v>2023</v>
      </c>
      <c r="C639" t="str">
        <f>IF($A639="","",games!$C639)</f>
        <v>Traditional</v>
      </c>
      <c r="D639">
        <f>IF($A639="","",COUNTIF(connections!$A$2:$A$1425,$A639)+COUNTIF(connections!$B$2:$B$1425,$A639))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RogueJack21</v>
      </c>
      <c r="B640">
        <f>IF($A640="","",games!$B640)</f>
        <v>2026</v>
      </c>
      <c r="C640" t="str">
        <f>IF($A640="","",games!$C640)</f>
        <v>Deckbuilder</v>
      </c>
      <c r="D640">
        <f>IF($A640="","",COUNTIF(connections!$A$2:$A$1425,$A640)+COUNTIF(connections!$B$2:$B$1425,$A640))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 Tale</v>
      </c>
      <c r="B641">
        <f>IF($A641="","",games!$B641)</f>
        <v>2014</v>
      </c>
      <c r="C641" t="str">
        <f>IF($A641="","",games!$C641)</f>
        <v>Traditional</v>
      </c>
      <c r="D641">
        <f>IF($A641="","",COUNTIF(connections!$A$2:$A$1425,$A641)+COUNTIF(connections!$B$2:$B$1425,$A641))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RogueSlide</v>
      </c>
      <c r="B642">
        <f>IF($A642="","",games!$B642)</f>
        <v>2022</v>
      </c>
      <c r="C642" t="str">
        <f>IF($A642="","",games!$C642)</f>
        <v>Strategy</v>
      </c>
      <c r="D642">
        <f>IF($A642="","",COUNTIF(connections!$A$2:$A$1425,$A642)+COUNTIF(connections!$B$2:$B$1425,$A642))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v>
      </c>
      <c r="B643">
        <f>IF($A643="","",games!$B643)</f>
        <v>2021</v>
      </c>
      <c r="C643" t="str">
        <f>IF($A643="","",games!$C643)</f>
        <v>Strategy</v>
      </c>
      <c r="D643">
        <f>IF($A643="","",COUNTIF(connections!$A$2:$A$1425,$A643)+COUNTIF(connections!$B$2:$B$1425,$A643))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RollScape</v>
      </c>
      <c r="B644">
        <f>IF($A644="","",games!$B644)</f>
        <v>2024</v>
      </c>
      <c r="C644" t="str">
        <f>IF($A644="","",games!$C644)</f>
        <v>Strategy</v>
      </c>
      <c r="D644">
        <f>IF($A644="","",COUNTIF(connections!$A$2:$A$1425,$A644)+COUNTIF(connections!$B$2:$B$1425,$A644))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Dungeon</v>
      </c>
      <c r="B645">
        <f>IF($A645="","",games!$B645)</f>
        <v>2026</v>
      </c>
      <c r="C645" t="str">
        <f>IF($A645="","",games!$C645)</f>
        <v>Deckbuilder</v>
      </c>
      <c r="D645">
        <f>IF($A645="","",COUNTIF(connections!$A$2:$A$1425,$A645)+COUNTIF(connections!$B$2:$B$1425,$A645))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Roulette Hero</v>
      </c>
      <c r="B646">
        <f>IF($A646="","",games!$B646)</f>
        <v>2025</v>
      </c>
      <c r="C646" t="str">
        <f>IF($A646="","",games!$C646)</f>
        <v>Deckbuilder</v>
      </c>
      <c r="D646">
        <f>IF($A646="","",COUNTIF(connections!$A$2:$A$1425,$A646)+COUNTIF(connections!$B$2:$B$1425,$A646))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Rounds</v>
      </c>
      <c r="B647">
        <f>IF($A647="","",games!$B647)</f>
        <v>2021</v>
      </c>
      <c r="C647" t="str">
        <f>IF($A647="","",games!$C647)</f>
        <v>Action</v>
      </c>
      <c r="D647">
        <f>IF($A647="","",COUNTIF(connections!$A$2:$A$1425,$A647)+COUNTIF(connections!$B$2:$B$1425,$A647))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 Dice</v>
      </c>
      <c r="B648">
        <f>IF($A648="","",games!$B648)</f>
        <v>2026</v>
      </c>
      <c r="C648" t="str">
        <f>IF($A648="","",games!$C648)</f>
        <v>Deckbuilder</v>
      </c>
      <c r="D648">
        <f>IF($A648="","",COUNTIF(connections!$A$2:$A$1425,$A648)+COUNTIF(connections!$B$2:$B$1425,$A648))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Runeborn</v>
      </c>
      <c r="B649">
        <f>IF($A649="","",games!$B649)</f>
        <v>2025</v>
      </c>
      <c r="C649" t="str">
        <f>IF($A649="","",games!$C649)</f>
        <v>Deckbuilder</v>
      </c>
      <c r="D649">
        <f>IF($A649="","",COUNTIF(connections!$A$2:$A$1425,$A649)+COUNTIF(connections!$B$2:$B$1425,$A649))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Runeveil</v>
      </c>
      <c r="B650">
        <f>IF($A650="","",games!$B650)</f>
        <v>2026</v>
      </c>
      <c r="C650" t="str">
        <f>IF($A650="","",games!$C650)</f>
        <v>Deckbuilder</v>
      </c>
      <c r="D650">
        <f>IF($A650="","",COUNTIF(connections!$A$2:$A$1425,$A650)+COUNTIF(connections!$B$2:$B$1425,$A650))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Rungore</v>
      </c>
      <c r="B651">
        <f>IF($A651="","",games!$B651)</f>
        <v>2023</v>
      </c>
      <c r="C651" t="str">
        <f>IF($A651="","",games!$C651)</f>
        <v>Deckbuilder</v>
      </c>
      <c r="D651">
        <f>IF($A651="","",COUNTIF(connections!$A$2:$A$1425,$A651)+COUNTIF(connections!$B$2:$B$1425,$A651))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Runic Survivor</v>
      </c>
      <c r="B652">
        <f>IF($A652="","",games!$B652)</f>
        <v>2022</v>
      </c>
      <c r="C652" t="str">
        <f>IF($A652="","",games!$C652)</f>
        <v>Action</v>
      </c>
      <c r="D652">
        <f>IF($A652="","",COUNTIF(connections!$A$2:$A$1425,$A652)+COUNTIF(connections!$B$2:$B$1425,$A652))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Sanae no Chou Tokkyuu: The Express Trial</v>
      </c>
      <c r="B653">
        <f>IF($A653="","",games!$B653)</f>
        <v>2010</v>
      </c>
      <c r="C653" t="str">
        <f>IF($A653="","",games!$C653)</f>
        <v>Traditional</v>
      </c>
      <c r="D653">
        <f>IF($A653="","",COUNTIF(connections!$A$2:$A$1425,$A653)+COUNTIF(connections!$B$2:$B$1425,$A653))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Sandwalkers</v>
      </c>
      <c r="B654">
        <f>IF($A654="","",games!$B654)</f>
        <v>2024</v>
      </c>
      <c r="C654" t="str">
        <f>IF($A654="","",games!$C654)</f>
        <v>Action</v>
      </c>
      <c r="D654">
        <f>IF($A654="","",COUNTIF(connections!$A$2:$A$1425,$A654)+COUNTIF(connections!$B$2:$B$1425,$A654))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Scarlet Tower</v>
      </c>
      <c r="B655">
        <f>IF($A655="","",games!$B655)</f>
        <v>2022</v>
      </c>
      <c r="C655" t="str">
        <f>IF($A655="","",games!$C655)</f>
        <v>Action</v>
      </c>
      <c r="D655">
        <f>IF($A655="","",COUNTIF(connections!$A$2:$A$1425,$A655)+COUNTIF(connections!$B$2:$B$1425,$A655))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Schism</v>
      </c>
      <c r="B656">
        <f>IF($A656="","",games!$B656)</f>
        <v>2023</v>
      </c>
      <c r="C656" t="str">
        <f>IF($A656="","",games!$C656)</f>
        <v>Action</v>
      </c>
      <c r="D656">
        <f>IF($A656="","",COUNTIF(connections!$A$2:$A$1425,$A656)+COUNTIF(connections!$B$2:$B$1425,$A656))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Scourgebringer</v>
      </c>
      <c r="B657">
        <f>IF($A657="","",games!$B657)</f>
        <v>2020</v>
      </c>
      <c r="C657" t="str">
        <f>IF($A657="","",games!$C657)</f>
        <v>Action</v>
      </c>
      <c r="D657">
        <f>IF($A657="","",COUNTIF(connections!$A$2:$A$1425,$A657)+COUNTIF(connections!$B$2:$B$1425,$A657))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Sea of Survivors</v>
      </c>
      <c r="B658">
        <f>IF($A658="","",games!$B658)</f>
        <v>2023</v>
      </c>
      <c r="C658" t="str">
        <f>IF($A658="","",games!$C658)</f>
        <v>Action</v>
      </c>
      <c r="D658">
        <f>IF($A658="","",COUNTIF(connections!$A$2:$A$1425,$A658)+COUNTIF(connections!$B$2:$B$1425,$A658))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Section 13</v>
      </c>
      <c r="B659">
        <f>IF($A659="","",games!$B659)</f>
        <v>2023</v>
      </c>
      <c r="C659" t="str">
        <f>IF($A659="","",games!$C659)</f>
        <v>Action</v>
      </c>
      <c r="D659">
        <f>IF($A659="","",COUNTIF(connections!$A$2:$A$1425,$A659)+COUNTIF(connections!$B$2:$B$1425,$A659))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Seedborne Soldiers</v>
      </c>
      <c r="B660">
        <f>IF($A660="","",games!$B660)</f>
        <v>2025</v>
      </c>
      <c r="C660" t="str">
        <f>IF($A660="","",games!$C660)</f>
        <v>Strategy</v>
      </c>
      <c r="D660">
        <f>IF($A660="","",COUNTIF(connections!$A$2:$A$1425,$A660)+COUNTIF(connections!$B$2:$B$1425,$A660))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Sephiria</v>
      </c>
      <c r="B661">
        <f>IF($A661="","",games!$B661)</f>
        <v>2025</v>
      </c>
      <c r="C661" t="str">
        <f>IF($A661="","",games!$C661)</f>
        <v>Action</v>
      </c>
      <c r="D661">
        <f>IF($A661="","",COUNTIF(connections!$A$2:$A$1425,$A661)+COUNTIF(connections!$B$2:$B$1425,$A661))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Seraph's Last Stand</v>
      </c>
      <c r="B662">
        <f>IF($A662="","",games!$B662)</f>
        <v>2022</v>
      </c>
      <c r="C662" t="str">
        <f>IF($A662="","",games!$C662)</f>
        <v>Action</v>
      </c>
      <c r="D662">
        <f>IF($A662="","",COUNTIF(connections!$A$2:$A$1425,$A662)+COUNTIF(connections!$B$2:$B$1425,$A662))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Serpent's Gaze</v>
      </c>
      <c r="B663">
        <f>IF($A663="","",games!$B663)</f>
        <v>2026</v>
      </c>
      <c r="C663" t="str">
        <f>IF($A663="","",games!$C663)</f>
        <v>Action</v>
      </c>
      <c r="D663">
        <f>IF($A663="","",COUNTIF(connections!$A$2:$A$1425,$A663)+COUNTIF(connections!$B$2:$B$1425,$A663))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Shadow of the Wyrm</v>
      </c>
      <c r="B664">
        <f>IF($A664="","",games!$B664)</f>
        <v>2015</v>
      </c>
      <c r="C664" t="str">
        <f>IF($A664="","",games!$C664)</f>
        <v>Traditional</v>
      </c>
      <c r="D664">
        <f>IF($A664="","",COUNTIF(connections!$A$2:$A$1425,$A664)+COUNTIF(connections!$B$2:$B$1425,$A664))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Shadowveil: Legend of The Five Rings</v>
      </c>
      <c r="B665">
        <f>IF($A665="","",games!$B665)</f>
        <v>2025</v>
      </c>
      <c r="C665" t="str">
        <f>IF($A665="","",games!$C665)</f>
        <v>Strategy</v>
      </c>
      <c r="D665">
        <f>IF($A665="","",COUNTIF(connections!$A$2:$A$1425,$A665)+COUNTIF(connections!$B$2:$B$1425,$A665))</f>
        <v>2</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Shape of Dreams</v>
      </c>
      <c r="B666">
        <f>IF($A666="","",games!$B666)</f>
        <v>2025</v>
      </c>
      <c r="C666" t="str">
        <f>IF($A666="","",games!$C666)</f>
        <v>Action</v>
      </c>
      <c r="D666">
        <f>IF($A666="","",COUNTIF(connections!$A$2:$A$1425,$A666)+COUNTIF(connections!$B$2:$B$1425,$A666))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Shape Shifter: Formations</v>
      </c>
      <c r="B667">
        <f>IF($A667="","",games!$B667)</f>
        <v>2023</v>
      </c>
      <c r="C667" t="str">
        <f>IF($A667="","",games!$C667)</f>
        <v>Action</v>
      </c>
      <c r="D667">
        <f>IF($A667="","",COUNTIF(connections!$A$2:$A$1425,$A667)+COUNTIF(connections!$B$2:$B$1425,$A667))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Shard Squad</v>
      </c>
      <c r="B668">
        <f>IF($A668="","",games!$B668)</f>
        <v>2025</v>
      </c>
      <c r="C668" t="str">
        <f>IF($A668="","",games!$C668)</f>
        <v>Action</v>
      </c>
      <c r="D668">
        <f>IF($A668="","",COUNTIF(connections!$A$2:$A$1425,$A668)+COUNTIF(connections!$B$2:$B$1425,$A668))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Shattered Pixel Dungeon</v>
      </c>
      <c r="B669">
        <f>IF($A669="","",games!$B669)</f>
        <v>2014</v>
      </c>
      <c r="C669" t="str">
        <f>IF($A669="","",games!$C669)</f>
        <v>Traditional</v>
      </c>
      <c r="D669">
        <f>IF($A669="","",COUNTIF(connections!$A$2:$A$1425,$A669)+COUNTIF(connections!$B$2:$B$1425,$A669))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Ship of Fools</v>
      </c>
      <c r="B670">
        <f>IF($A670="","",games!$B670)</f>
        <v>2022</v>
      </c>
      <c r="C670" t="str">
        <f>IF($A670="","",games!$C670)</f>
        <v>Action</v>
      </c>
      <c r="D670">
        <f>IF($A670="","",COUNTIF(connections!$A$2:$A$1425,$A670)+COUNTIF(connections!$B$2:$B$1425,$A670))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(2008)</v>
      </c>
      <c r="B671">
        <f>IF($A671="","",games!$B671)</f>
        <v>2008</v>
      </c>
      <c r="C671" t="str">
        <f>IF($A671="","",games!$C671)</f>
        <v>Traditional</v>
      </c>
      <c r="D671">
        <f>IF($A671="","",COUNTIF(connections!$A$2:$A$1425,$A671)+COUNTIF(connections!$B$2:$B$1425,$A671))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2: Shiren's Castle and the Oni Invasion</v>
      </c>
      <c r="B672">
        <f>IF($A672="","",games!$B672)</f>
        <v>2000</v>
      </c>
      <c r="C672" t="str">
        <f>IF($A672="","",games!$C672)</f>
        <v>Traditional</v>
      </c>
      <c r="D672">
        <f>IF($A672="","",COUNTIF(connections!$A$2:$A$1425,$A672)+COUNTIF(connections!$B$2:$B$1425,$A672))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4: The Eye of God and the Devil's Navel</v>
      </c>
      <c r="B673">
        <f>IF($A673="","",games!$B673)</f>
        <v>2010</v>
      </c>
      <c r="C673" t="str">
        <f>IF($A673="","",games!$C673)</f>
        <v>Traditional</v>
      </c>
      <c r="D673">
        <f>IF($A673="","",COUNTIF(connections!$A$2:$A$1425,$A673)+COUNTIF(connections!$B$2:$B$1425,$A673))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Gaiden: Asuka the Swordswoman</v>
      </c>
      <c r="B674">
        <f>IF($A674="","",games!$B674)</f>
        <v>2002</v>
      </c>
      <c r="C674" t="str">
        <f>IF($A674="","",games!$C674)</f>
        <v>Traditional</v>
      </c>
      <c r="D674">
        <f>IF($A674="","",COUNTIF(connections!$A$2:$A$1425,$A674)+COUNTIF(connections!$B$2:$B$1425,$A674))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GB: Monster of Moonlight Village</v>
      </c>
      <c r="B675">
        <f>IF($A675="","",games!$B675)</f>
        <v>1996</v>
      </c>
      <c r="C675" t="str">
        <f>IF($A675="","",games!$C675)</f>
        <v>Traditional</v>
      </c>
      <c r="D675">
        <f>IF($A675="","",COUNTIF(connections!$A$2:$A$1425,$A675)+COUNTIF(connections!$B$2:$B$1425,$A675))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GB2: Magic Castle of the Desert</v>
      </c>
      <c r="B676">
        <f>IF($A676="","",games!$B676)</f>
        <v>2001</v>
      </c>
      <c r="C676" t="str">
        <f>IF($A676="","",games!$C676)</f>
        <v>Traditional</v>
      </c>
      <c r="D676">
        <f>IF($A676="","",COUNTIF(connections!$A$2:$A$1425,$A676)+COUNTIF(connections!$B$2:$B$1425,$A676))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Shiren the Wanderer: The Mystery Dungeon of Serpentcoil Island</v>
      </c>
      <c r="B677">
        <f>IF($A677="","",games!$B677)</f>
        <v>2024</v>
      </c>
      <c r="C677" t="str">
        <f>IF($A677="","",games!$C677)</f>
        <v>Traditional</v>
      </c>
      <c r="D677">
        <f>IF($A677="","",COUNTIF(connections!$A$2:$A$1425,$A677)+COUNTIF(connections!$B$2:$B$1425,$A677))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IF($A678="","",COUNTIF(connections!$A$2:$A$1425,$A678)+COUNTIF(connections!$B$2:$B$1425,$A678))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Shogun Showdown</v>
      </c>
      <c r="B679">
        <f>IF($A679="","",games!$B679)</f>
        <v>2023</v>
      </c>
      <c r="C679" t="str">
        <f>IF($A679="","",games!$C679)</f>
        <v>Strategy</v>
      </c>
      <c r="D679">
        <f>IF($A679="","",COUNTIF(connections!$A$2:$A$1425,$A679)+COUNTIF(connections!$B$2:$B$1425,$A679))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Shoot First</v>
      </c>
      <c r="B680">
        <f>IF($A680="","",games!$B680)</f>
        <v>2010</v>
      </c>
      <c r="C680" t="str">
        <f>IF($A680="","",games!$C680)</f>
        <v>Action</v>
      </c>
      <c r="D680">
        <f>IF($A680="","",COUNTIF(connections!$A$2:$A$1425,$A680)+COUNTIF(connections!$B$2:$B$1425,$A680))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Shotgun King: The Final Checkmate</v>
      </c>
      <c r="B681">
        <f>IF($A681="","",games!$B681)</f>
        <v>2022</v>
      </c>
      <c r="C681" t="str">
        <f>IF($A681="","",games!$C681)</f>
        <v>Strategy</v>
      </c>
      <c r="D681">
        <f>IF($A681="","",COUNTIF(connections!$A$2:$A$1425,$A681)+COUNTIF(connections!$B$2:$B$1425,$A681))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Shovel Knight Dig</v>
      </c>
      <c r="B682">
        <f>IF($A682="","",games!$B682)</f>
        <v>2022</v>
      </c>
      <c r="C682" t="str">
        <f>IF($A682="","",games!$C682)</f>
        <v>Action</v>
      </c>
      <c r="D682">
        <f>IF($A682="","",COUNTIF(connections!$A$2:$A$1425,$A682)+COUNTIF(connections!$B$2:$B$1425,$A682))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Shroom and Gloom</v>
      </c>
      <c r="B683">
        <f>IF($A683="","",games!$B683)</f>
        <v>2026</v>
      </c>
      <c r="C683" t="str">
        <f>IF($A683="","",games!$C683)</f>
        <v>Deckbuilder</v>
      </c>
      <c r="D683">
        <f>IF($A683="","",COUNTIF(connections!$A$2:$A$1425,$A683)+COUNTIF(connections!$B$2:$B$1425,$A683))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Sil</v>
      </c>
      <c r="B684">
        <f>IF($A684="","",games!$B684)</f>
        <v>2012</v>
      </c>
      <c r="C684" t="str">
        <f>IF($A684="","",games!$C684)</f>
        <v>Traditional</v>
      </c>
      <c r="D684">
        <f>IF($A684="","",COUNTIF(connections!$A$2:$A$1425,$A684)+COUNTIF(connections!$B$2:$B$1425,$A684))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Sir, We Have an Orc Problem</v>
      </c>
      <c r="B685">
        <f>IF($A685="","",games!$B685)</f>
        <v>2026</v>
      </c>
      <c r="C685" t="str">
        <f>IF($A685="","",games!$C685)</f>
        <v>Strategy</v>
      </c>
      <c r="D685">
        <f>IF($A685="","",COUNTIF(connections!$A$2:$A$1425,$A685)+COUNTIF(connections!$B$2:$B$1425,$A685))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Skul: The Hero Slayer</v>
      </c>
      <c r="B686">
        <f>IF($A686="","",games!$B686)</f>
        <v>2020</v>
      </c>
      <c r="C686" t="str">
        <f>IF($A686="","",games!$C686)</f>
        <v>Action</v>
      </c>
      <c r="D686">
        <f>IF($A686="","",COUNTIF(connections!$A$2:$A$1425,$A686)+COUNTIF(connections!$B$2:$B$1425,$A686))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Skull Horde</v>
      </c>
      <c r="B687">
        <f>IF($A687="","",games!$B687)</f>
        <v>2026</v>
      </c>
      <c r="C687" t="str">
        <f>IF($A687="","",games!$C687)</f>
        <v>Action</v>
      </c>
      <c r="D687">
        <f>IF($A687="","",COUNTIF(connections!$A$2:$A$1425,$A687)+COUNTIF(connections!$B$2:$B$1425,$A687))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Sky Rogue</v>
      </c>
      <c r="B688">
        <f>IF($A688="","",games!$B688)</f>
        <v>2014</v>
      </c>
      <c r="C688" t="str">
        <f>IF($A688="","",games!$C688)</f>
        <v>Action</v>
      </c>
      <c r="D688">
        <f>IF($A688="","",COUNTIF(connections!$A$2:$A$1425,$A688)+COUNTIF(connections!$B$2:$B$1425,$A688))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Sky's The Limit MAH-JONG</v>
      </c>
      <c r="B689">
        <f>IF($A689="","",games!$B689)</f>
        <v>2024</v>
      </c>
      <c r="C689" t="str">
        <f>IF($A689="","",games!$C689)</f>
        <v>Deckbuilder</v>
      </c>
      <c r="D689">
        <f>IF($A689="","",COUNTIF(connections!$A$2:$A$1425,$A689)+COUNTIF(connections!$B$2:$B$1425,$A689))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Slash'EM</v>
      </c>
      <c r="B690">
        <f>IF($A690="","",games!$B690)</f>
        <v>2006</v>
      </c>
      <c r="C690" t="str">
        <f>IF($A690="","",games!$C690)</f>
        <v>Traditional</v>
      </c>
      <c r="D690">
        <f>IF($A690="","",COUNTIF(connections!$A$2:$A$1425,$A690)+COUNTIF(connections!$B$2:$B$1425,$A690))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Slasher's Keep</v>
      </c>
      <c r="B691">
        <f>IF($A691="","",games!$B691)</f>
        <v>2018</v>
      </c>
      <c r="C691" t="str">
        <f>IF($A691="","",games!$C691)</f>
        <v>Action</v>
      </c>
      <c r="D691">
        <f>IF($A691="","",COUNTIF(connections!$A$2:$A$1425,$A691)+COUNTIF(connections!$B$2:$B$1425,$A691))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Slay the Spire</v>
      </c>
      <c r="B692">
        <f>IF($A692="","",games!$B692)</f>
        <v>2017</v>
      </c>
      <c r="C692" t="str">
        <f>IF($A692="","",games!$C692)</f>
        <v>Deckbuilder</v>
      </c>
      <c r="D692">
        <f>IF($A692="","",COUNTIF(connections!$A$2:$A$1425,$A692)+COUNTIF(connections!$B$2:$B$1425,$A692))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Slay the Spire 2</v>
      </c>
      <c r="B693">
        <f>IF($A693="","",games!$B693)</f>
        <v>2026</v>
      </c>
      <c r="C693" t="str">
        <f>IF($A693="","",games!$C693)</f>
        <v>Deckbuilder</v>
      </c>
      <c r="D693">
        <f>IF($A693="","",COUNTIF(connections!$A$2:$A$1425,$A693)+COUNTIF(connections!$B$2:$B$1425,$A693))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Slice &amp; Dice</v>
      </c>
      <c r="B694">
        <f>IF($A694="","",games!$B694)</f>
        <v>2018</v>
      </c>
      <c r="C694" t="str">
        <f>IF($A694="","",games!$C694)</f>
        <v>Strategy</v>
      </c>
      <c r="D694">
        <f>IF($A694="","",COUNTIF(connections!$A$2:$A$1425,$A694)+COUNTIF(connections!$B$2:$B$1425,$A694))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Slime 3k: Demake</v>
      </c>
      <c r="B695">
        <f>IF($A695="","",games!$B695)</f>
        <v>2024</v>
      </c>
      <c r="C695" t="str">
        <f>IF($A695="","",games!$C695)</f>
        <v>Action</v>
      </c>
      <c r="D695">
        <f>IF($A695="","",COUNTIF(connections!$A$2:$A$1425,$A695)+COUNTIF(connections!$B$2:$B$1425,$A695))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Slime 3K: Rise Against Despot</v>
      </c>
      <c r="B696">
        <f>IF($A696="","",games!$B696)</f>
        <v>2023</v>
      </c>
      <c r="C696" t="str">
        <f>IF($A696="","",games!$C696)</f>
        <v>Action</v>
      </c>
      <c r="D696">
        <f>IF($A696="","",COUNTIF(connections!$A$2:$A$1425,$A696)+COUNTIF(connections!$B$2:$B$1425,$A696))</f>
        <v>4</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4.0006959999999996</v>
      </c>
      <c r="P696" t="str">
        <f>IF(OR($A696="",games!$H696=""),"",games!$H696)</f>
        <v>Yes</v>
      </c>
      <c r="Q696">
        <f t="shared" si="141"/>
        <v>4.0006959999999996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Slot &amp; Dungeons</v>
      </c>
      <c r="B697">
        <f>IF($A697="","",games!$B697)</f>
        <v>2025</v>
      </c>
      <c r="C697" t="str">
        <f>IF($A697="","",games!$C697)</f>
        <v>Deckbuilder</v>
      </c>
      <c r="D697">
        <f>IF($A697="","",COUNTIF(connections!$A$2:$A$1425,$A697)+COUNTIF(connections!$B$2:$B$1425,$A697))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Slot or Not</v>
      </c>
      <c r="B698">
        <f>IF($A698="","",games!$B698)</f>
        <v>2026</v>
      </c>
      <c r="C698" t="str">
        <f>IF($A698="","",games!$C698)</f>
        <v>Deckbuilder</v>
      </c>
      <c r="D698">
        <f>IF($A698="","",COUNTIF(connections!$A$2:$A$1425,$A698)+COUNTIF(connections!$B$2:$B$1425,$A698))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Slots &amp; Daggers</v>
      </c>
      <c r="B699">
        <f>IF($A699="","",games!$B699)</f>
        <v>2025</v>
      </c>
      <c r="C699" t="str">
        <f>IF($A699="","",games!$C699)</f>
        <v>Deckbuilder</v>
      </c>
      <c r="D699">
        <f>IF($A699="","",COUNTIF(connections!$A$2:$A$1425,$A699)+COUNTIF(connections!$B$2:$B$1425,$A699))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SNKRX</v>
      </c>
      <c r="B700">
        <f>IF($A700="","",games!$B700)</f>
        <v>2021</v>
      </c>
      <c r="C700" t="str">
        <f>IF($A700="","",games!$C700)</f>
        <v>Action</v>
      </c>
      <c r="D700">
        <f>IF($A700="","",COUNTIF(connections!$A$2:$A$1425,$A700)+COUNTIF(connections!$B$2:$B$1425,$A700))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Sodaman</v>
      </c>
      <c r="B701">
        <f>IF($A701="","",games!$B701)</f>
        <v>2025</v>
      </c>
      <c r="C701" t="str">
        <f>IF($A701="","",games!$C701)</f>
        <v>Action</v>
      </c>
      <c r="D701">
        <f>IF($A701="","",COUNTIF(connections!$A$2:$A$1425,$A701)+COUNTIF(connections!$B$2:$B$1425,$A701))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Sol Cesto</v>
      </c>
      <c r="B702">
        <f>IF($A702="","",games!$B702)</f>
        <v>2025</v>
      </c>
      <c r="C702" t="str">
        <f>IF($A702="","",games!$C702)</f>
        <v>Strategy</v>
      </c>
      <c r="D702">
        <f>IF($A702="","",COUNTIF(connections!$A$2:$A$1425,$A702)+COUNTIF(connections!$B$2:$B$1425,$A702))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Solitairica</v>
      </c>
      <c r="B703">
        <f>IF($A703="","",games!$B703)</f>
        <v>2016</v>
      </c>
      <c r="C703" t="str">
        <f>IF($A703="","",games!$C703)</f>
        <v>Deckbuilder</v>
      </c>
      <c r="D703">
        <f>IF($A703="","",COUNTIF(connections!$A$2:$A$1425,$A703)+COUNTIF(connections!$B$2:$B$1425,$A703))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Soulash</v>
      </c>
      <c r="B704">
        <f>IF($A704="","",games!$B704)</f>
        <v>2022</v>
      </c>
      <c r="C704" t="str">
        <f>IF($A704="","",games!$C704)</f>
        <v>Traditional</v>
      </c>
      <c r="D704">
        <f>IF($A704="","",COUNTIF(connections!$A$2:$A$1425,$A704)+COUNTIF(connections!$B$2:$B$1425,$A704))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Soulash 2</v>
      </c>
      <c r="B705">
        <f>IF($A705="","",games!$B705)</f>
        <v>2023</v>
      </c>
      <c r="C705" t="str">
        <f>IF($A705="","",games!$C705)</f>
        <v>Traditional</v>
      </c>
      <c r="D705">
        <f>IF($A705="","",COUNTIF(connections!$A$2:$A$1425,$A705)+COUNTIF(connections!$B$2:$B$1425,$A705))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Soulstone Survivors</v>
      </c>
      <c r="B706">
        <f>IF($A706="","",games!$B706)</f>
        <v>2022</v>
      </c>
      <c r="C706" t="str">
        <f>IF($A706="","",games!$C706)</f>
        <v>Action</v>
      </c>
      <c r="D706">
        <f>IF($A706="","",COUNTIF(connections!$A$2:$A$1425,$A706)+COUNTIF(connections!$B$2:$B$1425,$A706))</f>
        <v>5</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5.0007060000000001</v>
      </c>
      <c r="P706" t="str">
        <f>IF(OR($A706="",games!$H706=""),"",games!$H706)</f>
        <v>Yes</v>
      </c>
      <c r="Q706">
        <f t="shared" ref="Q706:Q769" si="154">IF(OR($A706="",$P706&lt;&gt;"Yes"),"",$D706+ROW()/1000000)</f>
        <v>5.0007060000000001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Beast Terror Fright</v>
      </c>
      <c r="B707">
        <f>IF($A707="","",games!$B707)</f>
        <v>2015</v>
      </c>
      <c r="C707" t="str">
        <f>IF($A707="","",games!$C707)</f>
        <v>Action</v>
      </c>
      <c r="D707">
        <f>IF($A707="","",COUNTIF(connections!$A$2:$A$1425,$A707)+COUNTIF(connections!$B$2:$B$1425,$A707))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Space Gladiators</v>
      </c>
      <c r="B708">
        <f>IF($A708="","",games!$B708)</f>
        <v>2019</v>
      </c>
      <c r="C708" t="str">
        <f>IF($A708="","",games!$C708)</f>
        <v>Action</v>
      </c>
      <c r="D708">
        <f>IF($A708="","",COUNTIF(connections!$A$2:$A$1425,$A708)+COUNTIF(connections!$B$2:$B$1425,$A708))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IF($A709="","",COUNTIF(connections!$A$2:$A$1425,$A709)+COUNTIF(connections!$B$2:$B$1425,$A709))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Space Prison</v>
      </c>
      <c r="B710">
        <f>IF($A710="","",games!$B710)</f>
        <v>2024</v>
      </c>
      <c r="C710" t="str">
        <f>IF($A710="","",games!$C710)</f>
        <v>Strategy</v>
      </c>
      <c r="D710">
        <f>IF($A710="","",COUNTIF(connections!$A$2:$A$1425,$A710)+COUNTIF(connections!$B$2:$B$1425,$A710))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Sparklite</v>
      </c>
      <c r="B711">
        <f>IF($A711="","",games!$B711)</f>
        <v>2019</v>
      </c>
      <c r="C711" t="str">
        <f>IF($A711="","",games!$C711)</f>
        <v>Action</v>
      </c>
      <c r="D711">
        <f>IF($A711="","",COUNTIF(connections!$A$2:$A$1425,$A711)+COUNTIF(connections!$B$2:$B$1425,$A711))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Spellbook Demonslayers</v>
      </c>
      <c r="B712">
        <f>IF($A712="","",games!$B712)</f>
        <v>2022</v>
      </c>
      <c r="C712" t="str">
        <f>IF($A712="","",games!$C712)</f>
        <v>Action</v>
      </c>
      <c r="D712">
        <f>IF($A712="","",COUNTIF(connections!$A$2:$A$1425,$A712)+COUNTIF(connections!$B$2:$B$1425,$A712))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Spellmasons</v>
      </c>
      <c r="B713">
        <f>IF($A713="","",games!$B713)</f>
        <v>2023</v>
      </c>
      <c r="C713" t="str">
        <f>IF($A713="","",games!$C713)</f>
        <v>Strategy</v>
      </c>
      <c r="D713">
        <f>IF($A713="","",COUNTIF(connections!$A$2:$A$1425,$A713)+COUNTIF(connections!$B$2:$B$1425,$A713))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SpellRogue</v>
      </c>
      <c r="B714">
        <f>IF($A714="","",games!$B714)</f>
        <v>2024</v>
      </c>
      <c r="C714" t="str">
        <f>IF($A714="","",games!$C714)</f>
        <v>Deckbuilder</v>
      </c>
      <c r="D714">
        <f>IF($A714="","",COUNTIF(connections!$A$2:$A$1425,$A714)+COUNTIF(connections!$B$2:$B$1425,$A714))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Spelunky</v>
      </c>
      <c r="B715">
        <f>IF($A715="","",games!$B715)</f>
        <v>2012</v>
      </c>
      <c r="C715" t="str">
        <f>IF($A715="","",games!$C715)</f>
        <v>Action</v>
      </c>
      <c r="D715">
        <f>IF($A715="","",COUNTIF(connections!$A$2:$A$1425,$A715)+COUNTIF(connections!$B$2:$B$1425,$A715))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Spelunky 2</v>
      </c>
      <c r="B716">
        <f>IF($A716="","",games!$B716)</f>
        <v>2020</v>
      </c>
      <c r="C716" t="str">
        <f>IF($A716="","",games!$C716)</f>
        <v>Action</v>
      </c>
      <c r="D716">
        <f>IF($A716="","",COUNTIF(connections!$A$2:$A$1425,$A716)+COUNTIF(connections!$B$2:$B$1425,$A716))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Spelunky Classic</v>
      </c>
      <c r="B717">
        <f>IF($A717="","",games!$B717)</f>
        <v>2008</v>
      </c>
      <c r="C717" t="str">
        <f>IF($A717="","",games!$C717)</f>
        <v>Action</v>
      </c>
      <c r="D717">
        <f>IF($A717="","",COUNTIF(connections!$A$2:$A$1425,$A717)+COUNTIF(connections!$B$2:$B$1425,$A717))</f>
        <v>43</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43.000717000000002</v>
      </c>
      <c r="P717" t="str">
        <f>IF(OR($A717="",games!$H717=""),"",games!$H717)</f>
        <v>Yes</v>
      </c>
      <c r="Q717">
        <f t="shared" si="154"/>
        <v>43.000717000000002</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Spin Hero</v>
      </c>
      <c r="B718">
        <f>IF($A718="","",games!$B718)</f>
        <v>2024</v>
      </c>
      <c r="C718" t="str">
        <f>IF($A718="","",games!$C718)</f>
        <v>Deckbuilder</v>
      </c>
      <c r="D718">
        <f>IF($A718="","",COUNTIF(connections!$A$2:$A$1425,$A718)+COUNTIF(connections!$B$2:$B$1425,$A718))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Spirit Hunters: Infinite Horde</v>
      </c>
      <c r="B719">
        <f>IF($A719="","",games!$B719)</f>
        <v>2022</v>
      </c>
      <c r="C719" t="str">
        <f>IF($A719="","",games!$C719)</f>
        <v>Action</v>
      </c>
      <c r="D719">
        <f>IF($A719="","",COUNTIF(connections!$A$2:$A$1425,$A719)+COUNTIF(connections!$B$2:$B$1425,$A719))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Spiritfall</v>
      </c>
      <c r="B720">
        <f>IF($A720="","",games!$B720)</f>
        <v>2023</v>
      </c>
      <c r="C720" t="str">
        <f>IF($A720="","",games!$C720)</f>
        <v>Action</v>
      </c>
      <c r="D720">
        <f>IF($A720="","",COUNTIF(connections!$A$2:$A$1425,$A720)+COUNTIF(connections!$B$2:$B$1425,$A720))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Spirits Abyss</v>
      </c>
      <c r="B721">
        <f>IF($A721="","",games!$B721)</f>
        <v>2019</v>
      </c>
      <c r="C721" t="str">
        <f>IF($A721="","",games!$C721)</f>
        <v>Action</v>
      </c>
      <c r="D721">
        <f>IF($A721="","",COUNTIF(connections!$A$2:$A$1425,$A721)+COUNTIF(connections!$B$2:$B$1425,$A721))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Sproggiwood</v>
      </c>
      <c r="B722">
        <f>IF($A722="","",games!$B722)</f>
        <v>2014</v>
      </c>
      <c r="C722" t="str">
        <f>IF($A722="","",games!$C722)</f>
        <v>Traditional</v>
      </c>
      <c r="D722">
        <f>IF($A722="","",COUNTIF(connections!$A$2:$A$1425,$A722)+COUNTIF(connections!$B$2:$B$1425,$A722))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Squeaky Squad</v>
      </c>
      <c r="B723">
        <f>IF($A723="","",games!$B723)</f>
        <v>2024</v>
      </c>
      <c r="C723" t="str">
        <f>IF($A723="","",games!$C723)</f>
        <v>Action</v>
      </c>
      <c r="D723">
        <f>IF($A723="","",COUNTIF(connections!$A$2:$A$1425,$A723)+COUNTIF(connections!$B$2:$B$1425,$A723))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Stackflow</v>
      </c>
      <c r="B724">
        <f>IF($A724="","",games!$B724)</f>
        <v>2025</v>
      </c>
      <c r="C724" t="str">
        <f>IF($A724="","",games!$C724)</f>
        <v>Deckbuilder</v>
      </c>
      <c r="D724">
        <f>IF($A724="","",COUNTIF(connections!$A$2:$A$1425,$A724)+COUNTIF(connections!$B$2:$B$1425,$A724))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 of Providence</v>
      </c>
      <c r="B725">
        <f>IF($A725="","",games!$B725)</f>
        <v>2017</v>
      </c>
      <c r="C725" t="str">
        <f>IF($A725="","",games!$C725)</f>
        <v>Action</v>
      </c>
      <c r="D725">
        <f>IF($A725="","",COUNTIF(connections!$A$2:$A$1425,$A725)+COUNTIF(connections!$B$2:$B$1425,$A725))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 Renegades</v>
      </c>
      <c r="B726">
        <f>IF($A726="","",games!$B726)</f>
        <v>2020</v>
      </c>
      <c r="C726" t="str">
        <f>IF($A726="","",games!$C726)</f>
        <v>Strategy</v>
      </c>
      <c r="D726">
        <f>IF($A726="","",COUNTIF(connections!$A$2:$A$1425,$A726)+COUNTIF(connections!$B$2:$B$1425,$A726))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Star Survivor</v>
      </c>
      <c r="B727">
        <f>IF($A727="","",games!$B727)</f>
        <v>2023</v>
      </c>
      <c r="C727" t="str">
        <f>IF($A727="","",games!$C727)</f>
        <v>Action</v>
      </c>
      <c r="D727">
        <f>IF($A727="","",COUNTIF(connections!$A$2:$A$1425,$A727)+COUNTIF(connections!$B$2:$B$1425,$A727))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Starlight Revolver</v>
      </c>
      <c r="B728">
        <f>IF($A728="","",games!$B728)</f>
        <v>2025</v>
      </c>
      <c r="C728" t="str">
        <f>IF($A728="","",games!$C728)</f>
        <v>Action</v>
      </c>
      <c r="D728">
        <f>IF($A728="","",COUNTIF(connections!$A$2:$A$1425,$A728)+COUNTIF(connections!$B$2:$B$1425,$A728))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StarVaders</v>
      </c>
      <c r="B729">
        <f>IF($A729="","",games!$B729)</f>
        <v>2025</v>
      </c>
      <c r="C729" t="str">
        <f>IF($A729="","",games!$C729)</f>
        <v>Deckbuilder</v>
      </c>
      <c r="D729">
        <f>IF($A729="","",COUNTIF(connections!$A$2:$A$1425,$A729)+COUNTIF(connections!$B$2:$B$1425,$A729))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Steve's Warehouse: Physics. Roguelike. Chaos.</v>
      </c>
      <c r="B730">
        <f>IF($A730="","",games!$B730)</f>
        <v>2025</v>
      </c>
      <c r="C730" t="str">
        <f>IF($A730="","",games!$C730)</f>
        <v>Deckbuilder</v>
      </c>
      <c r="D730">
        <f>IF($A730="","",COUNTIF(connections!$A$2:$A$1425,$A730)+COUNTIF(connections!$B$2:$B$1425,$A730))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Stick It to the Stickman</v>
      </c>
      <c r="B731">
        <f>IF($A731="","",games!$B731)</f>
        <v>2025</v>
      </c>
      <c r="C731" t="str">
        <f>IF($A731="","",games!$C731)</f>
        <v>Action</v>
      </c>
      <c r="D731">
        <f>IF($A731="","",COUNTIF(connections!$A$2:$A$1425,$A731)+COUNTIF(connections!$B$2:$B$1425,$A731))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Stolen Realm Survivors</v>
      </c>
      <c r="B732">
        <f>IF($A732="","",games!$B732)</f>
        <v>2026</v>
      </c>
      <c r="C732" t="str">
        <f>IF($A732="","",games!$C732)</f>
        <v>Action</v>
      </c>
      <c r="D732">
        <f>IF($A732="","",COUNTIF(connections!$A$2:$A$1425,$A732)+COUNTIF(connections!$B$2:$B$1425,$A732))</f>
        <v>2</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
      </c>
      <c r="Q732" t="str">
        <f t="shared" si="154"/>
        <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Stoneshard</v>
      </c>
      <c r="B733">
        <f>IF($A733="","",games!$B733)</f>
        <v>2020</v>
      </c>
      <c r="C733" t="str">
        <f>IF($A733="","",games!$C733)</f>
        <v>Traditional</v>
      </c>
      <c r="D733">
        <f>IF($A733="","",COUNTIF(connections!$A$2:$A$1425,$A733)+COUNTIF(connections!$B$2:$B$1425,$A733))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Stories from the Outbreak</v>
      </c>
      <c r="B734">
        <f>IF($A734="","",games!$B734)</f>
        <v>2023</v>
      </c>
      <c r="C734" t="str">
        <f>IF($A734="","",games!$C734)</f>
        <v>Strategy</v>
      </c>
      <c r="D734">
        <f>IF($A734="","",COUNTIF(connections!$A$2:$A$1425,$A734)+COUNTIF(connections!$B$2:$B$1425,$A734))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Strafe</v>
      </c>
      <c r="B735">
        <f>IF($A735="","",games!$B735)</f>
        <v>2017</v>
      </c>
      <c r="C735" t="str">
        <f>IF($A735="","",games!$C735)</f>
        <v>Action</v>
      </c>
      <c r="D735">
        <f>IF($A735="","",COUNTIF(connections!$A$2:$A$1425,$A735)+COUNTIF(connections!$B$2:$B$1425,$A735))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Strange Adventures in Infinite Space</v>
      </c>
      <c r="B736">
        <f>IF($A736="","",games!$B736)</f>
        <v>2002</v>
      </c>
      <c r="C736" t="str">
        <f>IF($A736="","",games!$C736)</f>
        <v>Strategy</v>
      </c>
      <c r="D736">
        <f>IF($A736="","",COUNTIF(connections!$A$2:$A$1425,$A736)+COUNTIF(connections!$B$2:$B$1425,$A736))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Streets of Rogue</v>
      </c>
      <c r="B737">
        <f>IF($A737="","",games!$B737)</f>
        <v>2019</v>
      </c>
      <c r="C737" t="str">
        <f>IF($A737="","",games!$C737)</f>
        <v>Action</v>
      </c>
      <c r="D737">
        <f>IF($A737="","",COUNTIF(connections!$A$2:$A$1425,$A737)+COUNTIF(connections!$B$2:$B$1425,$A737))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SULFUR</v>
      </c>
      <c r="B738">
        <f>IF($A738="","",games!$B738)</f>
        <v>2024</v>
      </c>
      <c r="C738" t="str">
        <f>IF($A738="","",games!$C738)</f>
        <v>Action</v>
      </c>
      <c r="D738">
        <f>IF($A738="","",COUNTIF(connections!$A$2:$A$1425,$A738)+COUNTIF(connections!$B$2:$B$1425,$A738))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Sundered</v>
      </c>
      <c r="B739">
        <f>IF($A739="","",games!$B739)</f>
        <v>2017</v>
      </c>
      <c r="C739" t="str">
        <f>IF($A739="","",games!$C739)</f>
        <v>Action</v>
      </c>
      <c r="D739">
        <f>IF($A739="","",COUNTIF(connections!$A$2:$A$1425,$A739)+COUNTIF(connections!$B$2:$B$1425,$A739))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Sunless Sea</v>
      </c>
      <c r="B740">
        <f>IF($A740="","",games!$B740)</f>
        <v>2015</v>
      </c>
      <c r="C740" t="str">
        <f>IF($A740="","",games!$C740)</f>
        <v>Strategy</v>
      </c>
      <c r="D740">
        <f>IF($A740="","",COUNTIF(connections!$A$2:$A$1425,$A740)+COUNTIF(connections!$B$2:$B$1425,$A740))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Auto Pets</v>
      </c>
      <c r="B741">
        <f>IF($A741="","",games!$B741)</f>
        <v>2021</v>
      </c>
      <c r="C741" t="str">
        <f>IF($A741="","",games!$C741)</f>
        <v>Strategy</v>
      </c>
      <c r="D741">
        <f>IF($A741="","",COUNTIF(connections!$A$2:$A$1425,$A741)+COUNTIF(connections!$B$2:$B$1425,$A741))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Bullet Break</v>
      </c>
      <c r="B742">
        <f>IF($A742="","",games!$B742)</f>
        <v>2022</v>
      </c>
      <c r="C742" t="str">
        <f>IF($A742="","",games!$C742)</f>
        <v>Deckbuilder</v>
      </c>
      <c r="D742">
        <f>IF($A742="","",COUNTIF(connections!$A$2:$A$1425,$A742)+COUNTIF(connections!$B$2:$B$1425,$A742))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Super Fantasy Kingdom</v>
      </c>
      <c r="B743">
        <f>IF($A743="","",games!$B743)</f>
        <v>2025</v>
      </c>
      <c r="C743" t="str">
        <f>IF($A743="","",games!$C743)</f>
        <v>Strategy</v>
      </c>
      <c r="D743">
        <f>IF($A743="","",COUNTIF(connections!$A$2:$A$1425,$A743)+COUNTIF(connections!$B$2:$B$1425,$A743))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Super House of Dead Ninjas</v>
      </c>
      <c r="B744">
        <f>IF($A744="","",games!$B744)</f>
        <v>2013</v>
      </c>
      <c r="C744" t="str">
        <f>IF($A744="","",games!$C744)</f>
        <v>Action</v>
      </c>
      <c r="D744">
        <f>IF($A744="","",COUNTIF(connections!$A$2:$A$1425,$A744)+COUNTIF(connections!$B$2:$B$1425,$A744))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Super Tax City</v>
      </c>
      <c r="B745">
        <f>IF($A745="","",games!$B745)</f>
        <v>2025</v>
      </c>
      <c r="C745" t="str">
        <f>IF($A745="","",games!$C745)</f>
        <v>Deckbuilder</v>
      </c>
      <c r="D745">
        <f>IF($A745="","",COUNTIF(connections!$A$2:$A$1425,$A745)+COUNTIF(connections!$B$2:$B$1425,$A745))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Swapmeat</v>
      </c>
      <c r="B746">
        <f>IF($A746="","",games!$B746)</f>
        <v>2025</v>
      </c>
      <c r="C746" t="str">
        <f>IF($A746="","",games!$C746)</f>
        <v>Action</v>
      </c>
      <c r="D746">
        <f>IF($A746="","",COUNTIF(connections!$A$2:$A$1425,$A746)+COUNTIF(connections!$B$2:$B$1425,$A746))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Swarm Grinder</v>
      </c>
      <c r="B747">
        <f>IF($A747="","",games!$B747)</f>
        <v>2023</v>
      </c>
      <c r="C747" t="str">
        <f>IF($A747="","",games!$C747)</f>
        <v>Action</v>
      </c>
      <c r="D747">
        <f>IF($A747="","",COUNTIF(connections!$A$2:$A$1425,$A747)+COUNTIF(connections!$B$2:$B$1425,$A747))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Switchcars</v>
      </c>
      <c r="B748">
        <f>IF($A748="","",games!$B748)</f>
        <v>2016</v>
      </c>
      <c r="C748" t="str">
        <f>IF($A748="","",games!$C748)</f>
        <v>Action</v>
      </c>
      <c r="D748">
        <f>IF($A748="","",COUNTIF(connections!$A$2:$A$1425,$A748)+COUNTIF(connections!$B$2:$B$1425,$A748))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Fargoal</v>
      </c>
      <c r="B749">
        <f>IF($A749="","",games!$B749)</f>
        <v>1982</v>
      </c>
      <c r="C749" t="str">
        <f>IF($A749="","",games!$C749)</f>
        <v>Traditional</v>
      </c>
      <c r="D749">
        <f>IF($A749="","",COUNTIF(connections!$A$2:$A$1425,$A749)+COUNTIF(connections!$B$2:$B$1425,$A749))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 of the Necromancer</v>
      </c>
      <c r="B750">
        <f>IF($A750="","",games!$B750)</f>
        <v>2021</v>
      </c>
      <c r="C750" t="str">
        <f>IF($A750="","",games!$C750)</f>
        <v>Action</v>
      </c>
      <c r="D750">
        <f>IF($A750="","",COUNTIF(connections!$A$2:$A$1425,$A750)+COUNTIF(connections!$B$2:$B$1425,$A750))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Sword of the Necromancer: Resurrection</v>
      </c>
      <c r="B751">
        <f>IF($A751="","",games!$B751)</f>
        <v>2025</v>
      </c>
      <c r="C751" t="str">
        <f>IF($A751="","",games!$C751)</f>
        <v>Action</v>
      </c>
      <c r="D751">
        <f>IF($A751="","",COUNTIF(connections!$A$2:$A$1425,$A751)+COUNTIF(connections!$B$2:$B$1425,$A751))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Sword of the Stars: The Pit</v>
      </c>
      <c r="B752">
        <f>IF($A752="","",games!$B752)</f>
        <v>2013</v>
      </c>
      <c r="C752" t="str">
        <f>IF($A752="","",games!$C752)</f>
        <v>Traditional</v>
      </c>
      <c r="D752">
        <f>IF($A752="","",COUNTIF(connections!$A$2:$A$1425,$A752)+COUNTIF(connections!$B$2:$B$1425,$A752))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Swordship</v>
      </c>
      <c r="B753">
        <f>IF($A753="","",games!$B753)</f>
        <v>2022</v>
      </c>
      <c r="C753" t="str">
        <f>IF($A753="","",games!$C753)</f>
        <v>Action</v>
      </c>
      <c r="D753">
        <f>IF($A753="","",COUNTIF(connections!$A$2:$A$1425,$A753)+COUNTIF(connections!$B$2:$B$1425,$A753))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Sworn</v>
      </c>
      <c r="B754">
        <f>IF($A754="","",games!$B754)</f>
        <v>2025</v>
      </c>
      <c r="C754" t="str">
        <f>IF($A754="","",games!$C754)</f>
        <v>Action</v>
      </c>
      <c r="D754">
        <f>IF($A754="","",COUNTIF(connections!$A$2:$A$1425,$A754)+COUNTIF(connections!$B$2:$B$1425,$A754))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Synthetik 2</v>
      </c>
      <c r="B755">
        <f>IF($A755="","",games!$B755)</f>
        <v>2021</v>
      </c>
      <c r="C755" t="str">
        <f>IF($A755="","",games!$C755)</f>
        <v>Action</v>
      </c>
      <c r="D755">
        <f>IF($A755="","",COUNTIF(connections!$A$2:$A$1425,$A755)+COUNTIF(connections!$B$2:$B$1425,$A755))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Synthetik: Legion Rising</v>
      </c>
      <c r="B756">
        <f>IF($A756="","",games!$B756)</f>
        <v>2018</v>
      </c>
      <c r="C756" t="str">
        <f>IF($A756="","",games!$C756)</f>
        <v>Action</v>
      </c>
      <c r="D756">
        <f>IF($A756="","",COUNTIF(connections!$A$2:$A$1425,$A756)+COUNTIF(connections!$B$2:$B$1425,$A756))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Tabletop Tavern</v>
      </c>
      <c r="B757">
        <f>IF($A757="","",games!$B757)</f>
        <v>2026</v>
      </c>
      <c r="C757" t="str">
        <f>IF($A757="","",games!$C757)</f>
        <v>Strategy</v>
      </c>
      <c r="D757">
        <f>IF($A757="","",COUNTIF(connections!$A$2:$A$1425,$A757)+COUNTIF(connections!$B$2:$B$1425,$A757))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Tainted Grail: Conquest</v>
      </c>
      <c r="B758">
        <f>IF($A758="","",games!$B758)</f>
        <v>2020</v>
      </c>
      <c r="C758" t="str">
        <f>IF($A758="","",games!$C758)</f>
        <v>Deckbuilder</v>
      </c>
      <c r="D758">
        <f>IF($A758="","",COUNTIF(connections!$A$2:$A$1425,$A758)+COUNTIF(connections!$B$2:$B$1425,$A758))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Talented</v>
      </c>
      <c r="B759">
        <f>IF($A759="","",games!$B759)</f>
        <v>2023</v>
      </c>
      <c r="C759" t="str">
        <f>IF($A759="","",games!$C759)</f>
        <v>Action</v>
      </c>
      <c r="D759">
        <f>IF($A759="","",COUNTIF(connections!$A$2:$A$1425,$A759)+COUNTIF(connections!$B$2:$B$1425,$A759))</f>
        <v>2</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Tales of Maj'Eyal</v>
      </c>
      <c r="B760">
        <f>IF($A760="","",games!$B760)</f>
        <v>1998</v>
      </c>
      <c r="C760" t="str">
        <f>IF($A760="","",games!$C760)</f>
        <v>Traditional</v>
      </c>
      <c r="D760">
        <f>IF($A760="","",COUNTIF(connections!$A$2:$A$1425,$A760)+COUNTIF(connections!$B$2:$B$1425,$A760))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Talespinner</v>
      </c>
      <c r="B761">
        <f>IF($A761="","",games!$B761)</f>
        <v>2026</v>
      </c>
      <c r="C761" t="str">
        <f>IF($A761="","",games!$C761)</f>
        <v>Deckbuilder</v>
      </c>
      <c r="D761">
        <f>IF($A761="","",COUNTIF(connections!$A$2:$A$1425,$A761)+COUNTIF(connections!$B$2:$B$1425,$A761))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Tangledeep</v>
      </c>
      <c r="B762">
        <f>IF($A762="","",games!$B762)</f>
        <v>2017</v>
      </c>
      <c r="C762" t="str">
        <f>IF($A762="","",games!$C762)</f>
        <v>Traditional</v>
      </c>
      <c r="D762">
        <f>IF($A762="","",COUNTIF(connections!$A$2:$A$1425,$A762)+COUNTIF(connections!$B$2:$B$1425,$A762))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Tangy TD</v>
      </c>
      <c r="B763">
        <f>IF($A763="","",games!$B763)</f>
        <v>2026</v>
      </c>
      <c r="C763" t="str">
        <f>IF($A763="","",games!$C763)</f>
        <v>Strategy</v>
      </c>
      <c r="D763">
        <f>IF($A763="","",COUNTIF(connections!$A$2:$A$1425,$A763)+COUNTIF(connections!$B$2:$B$1425,$A763))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Tao's Adventure: Curse of the Demon Seal</v>
      </c>
      <c r="B764">
        <f>IF($A764="","",games!$B764)</f>
        <v>2006</v>
      </c>
      <c r="C764" t="str">
        <f>IF($A764="","",games!$C764)</f>
        <v>Traditional</v>
      </c>
      <c r="D764">
        <f>IF($A764="","",COUNTIF(connections!$A$2:$A$1425,$A764)+COUNTIF(connections!$B$2:$B$1425,$A764))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Tape to Tape</v>
      </c>
      <c r="B765">
        <f>IF($A765="","",games!$B765)</f>
        <v>2023</v>
      </c>
      <c r="C765" t="str">
        <f>IF($A765="","",games!$C765)</f>
        <v>Action</v>
      </c>
      <c r="D765">
        <f>IF($A765="","",COUNTIF(connections!$A$2:$A$1425,$A765)+COUNTIF(connections!$B$2:$B$1425,$A765))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Teamfight Tactics</v>
      </c>
      <c r="B766">
        <f>IF($A766="","",games!$B766)</f>
        <v>2019</v>
      </c>
      <c r="C766" t="str">
        <f>IF($A766="","",games!$C766)</f>
        <v>Strategy</v>
      </c>
      <c r="D766">
        <f>IF($A766="","",COUNTIF(connections!$A$2:$A$1425,$A766)+COUNTIF(connections!$B$2:$B$1425,$A766))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Tears of Metal</v>
      </c>
      <c r="B767">
        <f>IF($A767="","",games!$B767)</f>
        <v>2026</v>
      </c>
      <c r="C767" t="str">
        <f>IF($A767="","",games!$C767)</f>
        <v>Action</v>
      </c>
      <c r="D767">
        <f>IF($A767="","",COUNTIF(connections!$A$2:$A$1425,$A767)+COUNTIF(connections!$B$2:$B$1425,$A767))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Teenage Mutant Ninja Turtles: Splintered Fate</v>
      </c>
      <c r="B768">
        <f>IF($A768="","",games!$B768)</f>
        <v>2024</v>
      </c>
      <c r="C768" t="str">
        <f>IF($A768="","",games!$C768)</f>
        <v>Action</v>
      </c>
      <c r="D768">
        <f>IF($A768="","",COUNTIF(connections!$A$2:$A$1425,$A768)+COUNTIF(connections!$B$2:$B$1425,$A768))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Temtem: Swarm</v>
      </c>
      <c r="B769">
        <f>IF($A769="","",games!$B769)</f>
        <v>2024</v>
      </c>
      <c r="C769" t="str">
        <f>IF($A769="","",games!$C769)</f>
        <v>Action</v>
      </c>
      <c r="D769">
        <f>IF($A769="","",COUNTIF(connections!$A$2:$A$1425,$A769)+COUNTIF(connections!$B$2:$B$1425,$A769))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Terraformers</v>
      </c>
      <c r="B770">
        <f>IF($A770="","",games!$B770)</f>
        <v>2022</v>
      </c>
      <c r="C770" t="str">
        <f>IF($A770="","",games!$C770)</f>
        <v>Strategy</v>
      </c>
      <c r="D770">
        <f>IF($A770="","",COUNTIF(connections!$A$2:$A$1425,$A770)+COUNTIF(connections!$B$2:$B$1425,$A770))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TerraTech Legion</v>
      </c>
      <c r="B771">
        <f>IF($A771="","",games!$B771)</f>
        <v>2026</v>
      </c>
      <c r="C771" t="str">
        <f>IF($A771="","",games!$C771)</f>
        <v>Action</v>
      </c>
      <c r="D771">
        <f>IF($A771="","",COUNTIF(connections!$A$2:$A$1425,$A771)+COUNTIF(connections!$B$2:$B$1425,$A771))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TerRoguelike</v>
      </c>
      <c r="B772">
        <f>IF($A772="","",games!$B772)</f>
        <v>2024</v>
      </c>
      <c r="C772" t="str">
        <f>IF($A772="","",games!$C772)</f>
        <v>Action</v>
      </c>
      <c r="D772">
        <f>IF($A772="","",COUNTIF(connections!$A$2:$A$1425,$A772)+COUNTIF(connections!$B$2:$B$1425,$A772))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Bazaar</v>
      </c>
      <c r="B773">
        <f>IF($A773="","",games!$B773)</f>
        <v>2025</v>
      </c>
      <c r="C773" t="str">
        <f>IF($A773="","",games!$C773)</f>
        <v>Strategy</v>
      </c>
      <c r="D773">
        <f>IF($A773="","",COUNTIF(connections!$A$2:$A$1425,$A773)+COUNTIF(connections!$B$2:$B$1425,$A773))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Binding of Isaac</v>
      </c>
      <c r="B774">
        <f>IF($A774="","",games!$B774)</f>
        <v>2011</v>
      </c>
      <c r="C774" t="str">
        <f>IF($A774="","",games!$C774)</f>
        <v>Action</v>
      </c>
      <c r="D774">
        <f>IF($A774="","",COUNTIF(connections!$A$2:$A$1425,$A774)+COUNTIF(connections!$B$2:$B$1425,$A774))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IF($A775="","",COUNTIF(connections!$A$2:$A$1425,$A775)+COUNTIF(connections!$B$2:$B$1425,$A775))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Doors of Trithius</v>
      </c>
      <c r="B776">
        <f>IF($A776="","",games!$B776)</f>
        <v>2021</v>
      </c>
      <c r="C776" t="str">
        <f>IF($A776="","",games!$C776)</f>
        <v>Traditional</v>
      </c>
      <c r="D776">
        <f>IF($A776="","",COUNTIF(connections!$A$2:$A$1425,$A776)+COUNTIF(connections!$B$2:$B$1425,$A776))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Dungeon RPG</v>
      </c>
      <c r="B777">
        <f>IF($A777="","",games!$B777)</f>
        <v>2000</v>
      </c>
      <c r="C777" t="str">
        <f>IF($A777="","",games!$C777)</f>
        <v>Traditional</v>
      </c>
      <c r="D777">
        <f>IF($A777="","",COUNTIF(connections!$A$2:$A$1425,$A777)+COUNTIF(connections!$B$2:$B$1425,$A777))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Fable: Manga Build Roguelike</v>
      </c>
      <c r="B778">
        <f>IF($A778="","",games!$B778)</f>
        <v>2025</v>
      </c>
      <c r="C778" t="str">
        <f>IF($A778="","",games!$C778)</f>
        <v>Deckbuilder</v>
      </c>
      <c r="D778">
        <f>IF($A778="","",COUNTIF(connections!$A$2:$A$1425,$A778)+COUNTIF(connections!$B$2:$B$1425,$A778))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Flame in the Flood</v>
      </c>
      <c r="B779">
        <f>IF($A779="","",games!$B779)</f>
        <v>2016</v>
      </c>
      <c r="C779" t="str">
        <f>IF($A779="","",games!$C779)</f>
        <v>Action</v>
      </c>
      <c r="D779">
        <f>IF($A779="","",COUNTIF(connections!$A$2:$A$1425,$A779)+COUNTIF(connections!$B$2:$B$1425,$A779))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Ground Gives Way</v>
      </c>
      <c r="B780">
        <f>IF($A780="","",games!$B780)</f>
        <v>2014</v>
      </c>
      <c r="C780" t="str">
        <f>IF($A780="","",games!$C780)</f>
        <v>Traditional</v>
      </c>
      <c r="D780">
        <f>IF($A780="","",COUNTIF(connections!$A$2:$A$1425,$A780)+COUNTIF(connections!$B$2:$B$1425,$A780))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Guided Fate Paradox</v>
      </c>
      <c r="B781">
        <f>IF($A781="","",games!$B781)</f>
        <v>2013</v>
      </c>
      <c r="C781" t="str">
        <f>IF($A781="","",games!$C781)</f>
        <v>Traditional</v>
      </c>
      <c r="D781">
        <f>IF($A781="","",COUNTIF(connections!$A$2:$A$1425,$A781)+COUNTIF(connections!$B$2:$B$1425,$A781))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King is Watching</v>
      </c>
      <c r="B782">
        <f>IF($A782="","",games!$B782)</f>
        <v>2025</v>
      </c>
      <c r="C782" t="str">
        <f>IF($A782="","",games!$C782)</f>
        <v>Strategy</v>
      </c>
      <c r="D782">
        <f>IF($A782="","",COUNTIF(connections!$A$2:$A$1425,$A782)+COUNTIF(connections!$B$2:$B$1425,$A782))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Last Flame</v>
      </c>
      <c r="B783">
        <f>IF($A783="","",games!$B783)</f>
        <v>2024</v>
      </c>
      <c r="C783" t="str">
        <f>IF($A783="","",games!$C783)</f>
        <v>Strategy</v>
      </c>
      <c r="D783">
        <f>IF($A783="","",COUNTIF(connections!$A$2:$A$1425,$A783)+COUNTIF(connections!$B$2:$B$1425,$A783))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Last Game</v>
      </c>
      <c r="B784">
        <f>IF($A784="","",games!$B784)</f>
        <v>2023</v>
      </c>
      <c r="C784" t="str">
        <f>IF($A784="","",games!$C784)</f>
        <v>Action</v>
      </c>
      <c r="D784">
        <f>IF($A784="","",COUNTIF(connections!$A$2:$A$1425,$A784)+COUNTIF(connections!$B$2:$B$1425,$A784))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Last Spell</v>
      </c>
      <c r="B785">
        <f>IF($A785="","",games!$B785)</f>
        <v>2021</v>
      </c>
      <c r="C785" t="str">
        <f>IF($A785="","",games!$C785)</f>
        <v>Strategy</v>
      </c>
      <c r="D785">
        <f>IF($A785="","",COUNTIF(connections!$A$2:$A$1425,$A785)+COUNTIF(connections!$B$2:$B$1425,$A785))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Legend of Bum-Bo</v>
      </c>
      <c r="B786">
        <f>IF($A786="","",games!$B786)</f>
        <v>2019</v>
      </c>
      <c r="C786" t="str">
        <f>IF($A786="","",games!$C786)</f>
        <v>Strategy</v>
      </c>
      <c r="D786">
        <f>IF($A786="","",COUNTIF(connections!$A$2:$A$1425,$A786)+COUNTIF(connections!$B$2:$B$1425,$A786))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Loopler</v>
      </c>
      <c r="B787">
        <f>IF($A787="","",games!$B787)</f>
        <v>2026</v>
      </c>
      <c r="C787" t="str">
        <f>IF($A787="","",games!$C787)</f>
        <v>Deckbuilder</v>
      </c>
      <c r="D787">
        <f>IF($A787="","",COUNTIF(connections!$A$2:$A$1425,$A787)+COUNTIF(connections!$B$2:$B$1425,$A787))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Magus Circle</v>
      </c>
      <c r="B788">
        <f>IF($A788="","",games!$B788)</f>
        <v>2026</v>
      </c>
      <c r="C788" t="str">
        <f>IF($A788="","",games!$C788)</f>
        <v>Action</v>
      </c>
      <c r="D788">
        <f>IF($A788="","",COUNTIF(connections!$A$2:$A$1425,$A788)+COUNTIF(connections!$B$2:$B$1425,$A788))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Nightmare of Druaga</v>
      </c>
      <c r="B789">
        <f>IF($A789="","",games!$B789)</f>
        <v>2004</v>
      </c>
      <c r="C789" t="str">
        <f>IF($A789="","",games!$C789)</f>
        <v>Traditional</v>
      </c>
      <c r="D789">
        <f>IF($A789="","",COUNTIF(connections!$A$2:$A$1425,$A789)+COUNTIF(connections!$B$2:$B$1425,$A789))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Ouroboros King</v>
      </c>
      <c r="B790">
        <f>IF($A790="","",games!$B790)</f>
        <v>2023</v>
      </c>
      <c r="C790" t="str">
        <f>IF($A790="","",games!$C790)</f>
        <v>Strategy</v>
      </c>
      <c r="D790">
        <f>IF($A790="","",COUNTIF(connections!$A$2:$A$1425,$A790)+COUNTIF(connections!$B$2:$B$1425,$A790))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Rogue Prince of Persia</v>
      </c>
      <c r="B791">
        <f>IF($A791="","",games!$B791)</f>
        <v>2024</v>
      </c>
      <c r="C791" t="str">
        <f>IF($A791="","",games!$C791)</f>
        <v>Action</v>
      </c>
      <c r="D791">
        <f>IF($A791="","",COUNTIF(connections!$A$2:$A$1425,$A791)+COUNTIF(connections!$B$2:$B$1425,$A791))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Royal Writ</v>
      </c>
      <c r="B792">
        <f>IF($A792="","",games!$B792)</f>
        <v>2025</v>
      </c>
      <c r="C792" t="str">
        <f>IF($A792="","",games!$C792)</f>
        <v>Deckbuilder</v>
      </c>
      <c r="D792">
        <f>IF($A792="","",COUNTIF(connections!$A$2:$A$1425,$A792)+COUNTIF(connections!$B$2:$B$1425,$A792))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Spell Brigade</v>
      </c>
      <c r="B793">
        <f>IF($A793="","",games!$B793)</f>
        <v>2024</v>
      </c>
      <c r="C793" t="str">
        <f>IF($A793="","",games!$C793)</f>
        <v>Action</v>
      </c>
      <c r="D793">
        <f>IF($A793="","",COUNTIF(connections!$A$2:$A$1425,$A793)+COUNTIF(connections!$B$2:$B$1425,$A793))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Spirit Lift</v>
      </c>
      <c r="B794">
        <f>IF($A794="","",games!$B794)</f>
        <v>2026</v>
      </c>
      <c r="C794" t="str">
        <f>IF($A794="","",games!$C794)</f>
        <v>Deckbuilder</v>
      </c>
      <c r="D794">
        <f>IF($A794="","",COUNTIF(connections!$A$2:$A$1425,$A794)+COUNTIF(connections!$B$2:$B$1425,$A794))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 Unliving</v>
      </c>
      <c r="B795">
        <f>IF($A795="","",games!$B795)</f>
        <v>2022</v>
      </c>
      <c r="C795" t="str">
        <f>IF($A795="","",games!$C795)</f>
        <v>Action</v>
      </c>
      <c r="D795">
        <f>IF($A795="","",COUNTIF(connections!$A$2:$A$1425,$A795)+COUNTIF(connections!$B$2:$B$1425,$A795))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The Void Rains Upon Her Heart</v>
      </c>
      <c r="B796">
        <f>IF($A796="","",games!$B796)</f>
        <v>2018</v>
      </c>
      <c r="C796" t="str">
        <f>IF($A796="","",games!$C796)</f>
        <v>Action</v>
      </c>
      <c r="D796">
        <f>IF($A796="","",COUNTIF(connections!$A$2:$A$1425,$A796)+COUNTIF(connections!$B$2:$B$1425,$A796))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The World is Your Weapon</v>
      </c>
      <c r="B797">
        <f>IF($A797="","",games!$B797)</f>
        <v>2014</v>
      </c>
      <c r="C797" t="str">
        <f>IF($A797="","",games!$C797)</f>
        <v>Traditional</v>
      </c>
      <c r="D797">
        <f>IF($A797="","",COUNTIF(connections!$A$2:$A$1425,$A797)+COUNTIF(connections!$B$2:$B$1425,$A797))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There Are No Orcs</v>
      </c>
      <c r="B798">
        <f>IF($A798="","",games!$B798)</f>
        <v>2025</v>
      </c>
      <c r="C798" t="str">
        <f>IF($A798="","",games!$C798)</f>
        <v>Strategy</v>
      </c>
      <c r="D798">
        <f>IF($A798="","",COUNTIF(connections!$A$2:$A$1425,$A798)+COUNTIF(connections!$B$2:$B$1425,$A798))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Tic Tactic</v>
      </c>
      <c r="B799">
        <f>IF($A799="","",games!$B799)</f>
        <v>2025</v>
      </c>
      <c r="C799" t="str">
        <f>IF($A799="","",games!$C799)</f>
        <v>Deckbuilder</v>
      </c>
      <c r="D799">
        <f>IF($A799="","",COUNTIF(connections!$A$2:$A$1425,$A799)+COUNTIF(connections!$B$2:$B$1425,$A799))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Time Survivors</v>
      </c>
      <c r="B800">
        <f>IF($A800="","",games!$B800)</f>
        <v>2023</v>
      </c>
      <c r="C800" t="str">
        <f>IF($A800="","",games!$C800)</f>
        <v>Action</v>
      </c>
      <c r="D800">
        <f>IF($A800="","",COUNTIF(connections!$A$2:$A$1425,$A800)+COUNTIF(connections!$B$2:$B$1425,$A800))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Time Wasters</v>
      </c>
      <c r="B801">
        <f>IF($A801="","",games!$B801)</f>
        <v>2023</v>
      </c>
      <c r="C801" t="str">
        <f>IF($A801="","",games!$C801)</f>
        <v>Action</v>
      </c>
      <c r="D801">
        <f>IF($A801="","",COUNTIF(connections!$A$2:$A$1425,$A801)+COUNTIF(connections!$B$2:$B$1425,$A801))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Tinker Shot</v>
      </c>
      <c r="B802">
        <f>IF($A802="","",games!$B802)</f>
        <v>2026</v>
      </c>
      <c r="C802" t="str">
        <f>IF($A802="","",games!$C802)</f>
        <v>Deckbuilder</v>
      </c>
      <c r="D802">
        <f>IF($A802="","",COUNTIF(connections!$A$2:$A$1425,$A802)+COUNTIF(connections!$B$2:$B$1425,$A802))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Tiny Auto Knights</v>
      </c>
      <c r="B803">
        <f>IF($A803="","",games!$B803)</f>
        <v>2025</v>
      </c>
      <c r="C803" t="str">
        <f>IF($A803="","",games!$C803)</f>
        <v>Deckbuilder</v>
      </c>
      <c r="D803">
        <f>IF($A803="","",COUNTIF(connections!$A$2:$A$1425,$A803)+COUNTIF(connections!$B$2:$B$1425,$A803))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Tiny Rogues</v>
      </c>
      <c r="B804">
        <f>IF($A804="","",games!$B804)</f>
        <v>2022</v>
      </c>
      <c r="C804" t="str">
        <f>IF($A804="","",games!$C804)</f>
        <v>Action</v>
      </c>
      <c r="D804">
        <f>IF($A804="","",COUNTIF(connections!$A$2:$A$1425,$A804)+COUNTIF(connections!$B$2:$B$1425,$A804))</f>
        <v>7</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7.0008039999999996</v>
      </c>
      <c r="P804" t="str">
        <f>IF(OR($A804="",games!$H804=""),"",games!$H804)</f>
        <v>Yes</v>
      </c>
      <c r="Q804">
        <f t="shared" si="167"/>
        <v>7.0008039999999996</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Tinyfolks</v>
      </c>
      <c r="B805">
        <f>IF($A805="","",games!$B805)</f>
        <v>2022</v>
      </c>
      <c r="C805" t="str">
        <f>IF($A805="","",games!$C805)</f>
        <v>Strategy</v>
      </c>
      <c r="D805">
        <f>IF($A805="","",COUNTIF(connections!$A$2:$A$1425,$A805)+COUNTIF(connections!$B$2:$B$1425,$A805))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ToeJam &amp; Earl</v>
      </c>
      <c r="B806">
        <f>IF($A806="","",games!$B806)</f>
        <v>1991</v>
      </c>
      <c r="C806" t="str">
        <f>IF($A806="","",games!$C806)</f>
        <v>Action</v>
      </c>
      <c r="D806">
        <f>IF($A806="","",COUNTIF(connections!$A$2:$A$1425,$A806)+COUNTIF(connections!$B$2:$B$1425,$A806))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ToeJam &amp; Earl: Back in the Groove!</v>
      </c>
      <c r="B807">
        <f>IF($A807="","",games!$B807)</f>
        <v>2019</v>
      </c>
      <c r="C807" t="str">
        <f>IF($A807="","",games!$C807)</f>
        <v>Action</v>
      </c>
      <c r="D807">
        <f>IF($A807="","",COUNTIF(connections!$A$2:$A$1425,$A807)+COUNTIF(connections!$B$2:$B$1425,$A807))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TombStar</v>
      </c>
      <c r="B808">
        <f>IF($A808="","",games!$B808)</f>
        <v>2022</v>
      </c>
      <c r="C808" t="str">
        <f>IF($A808="","",games!$C808)</f>
        <v>Action</v>
      </c>
      <c r="D808">
        <f>IF($A808="","",COUNTIF(connections!$A$2:$A$1425,$A808)+COUNTIF(connections!$B$2:$B$1425,$A808))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Torneko: The Last Hope</v>
      </c>
      <c r="B809">
        <f>IF($A809="","",games!$B809)</f>
        <v>1999</v>
      </c>
      <c r="C809" t="str">
        <f>IF($A809="","",games!$C809)</f>
        <v>Traditional</v>
      </c>
      <c r="D809">
        <f>IF($A809="","",COUNTIF(connections!$A$2:$A$1425,$A809)+COUNTIF(connections!$B$2:$B$1425,$A809))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Torneko's Great Adventure 3</v>
      </c>
      <c r="B810">
        <f>IF($A810="","",games!$B810)</f>
        <v>2002</v>
      </c>
      <c r="C810" t="str">
        <f>IF($A810="","",games!$C810)</f>
        <v>Traditional</v>
      </c>
      <c r="D810">
        <f>IF($A810="","",COUNTIF(connections!$A$2:$A$1425,$A810)+COUNTIF(connections!$B$2:$B$1425,$A810))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Torneko's Great Adventure: Mystery Dungeon</v>
      </c>
      <c r="B811">
        <f>IF($A811="","",games!$B811)</f>
        <v>1993</v>
      </c>
      <c r="C811" t="str">
        <f>IF($A811="","",games!$C811)</f>
        <v>Traditional</v>
      </c>
      <c r="D811">
        <f>IF($A811="","",COUNTIF(connections!$A$2:$A$1425,$A811)+COUNTIF(connections!$B$2:$B$1425,$A811))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Crawl</v>
      </c>
      <c r="B812">
        <f>IF($A812="","",games!$B812)</f>
        <v>2025</v>
      </c>
      <c r="C812" t="str">
        <f>IF($A812="","",games!$C812)</f>
        <v>Traditional</v>
      </c>
      <c r="D812">
        <f>IF($A812="","",COUNTIF(connections!$A$2:$A$1425,$A812)+COUNTIF(connections!$B$2:$B$1425,$A812))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Touhou Genso Wanderer: Foresight</v>
      </c>
      <c r="B813">
        <f>IF($A813="","",games!$B813)</f>
        <v>2024</v>
      </c>
      <c r="C813" t="str">
        <f>IF($A813="","",games!$C813)</f>
        <v>Traditional</v>
      </c>
      <c r="D813">
        <f>IF($A813="","",COUNTIF(connections!$A$2:$A$1425,$A813)+COUNTIF(connections!$B$2:$B$1425,$A813))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Touhou Genso Wanderer: Lotus Labyrinth R</v>
      </c>
      <c r="B814">
        <f>IF($A814="","",games!$B814)</f>
        <v>2021</v>
      </c>
      <c r="C814" t="str">
        <f>IF($A814="","",games!$C814)</f>
        <v>Traditional</v>
      </c>
      <c r="D814">
        <f>IF($A814="","",COUNTIF(connections!$A$2:$A$1425,$A814)+COUNTIF(connections!$B$2:$B$1425,$A814))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Touhou: Lost Branch of Legend</v>
      </c>
      <c r="B815">
        <f>IF($A815="","",games!$B815)</f>
        <v>2022</v>
      </c>
      <c r="C815" t="str">
        <f>IF($A815="","",games!$C815)</f>
        <v>Deckbuilder</v>
      </c>
      <c r="D815">
        <f>IF($A815="","",COUNTIF(connections!$A$2:$A$1425,$A815)+COUNTIF(connections!$B$2:$B$1425,$A815))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Dominion</v>
      </c>
      <c r="B816">
        <f>IF($A816="","",games!$B816)</f>
        <v>2025</v>
      </c>
      <c r="C816" t="str">
        <f>IF($A816="","",games!$C816)</f>
        <v>Strategy</v>
      </c>
      <c r="D816">
        <f>IF($A816="","",COUNTIF(connections!$A$2:$A$1425,$A816)+COUNTIF(connections!$B$2:$B$1425,$A816))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Escape</v>
      </c>
      <c r="B817">
        <f>IF($A817="","",games!$B817)</f>
        <v>2023</v>
      </c>
      <c r="C817" t="str">
        <f>IF($A817="","",games!$C817)</f>
        <v>Deckbuilder</v>
      </c>
      <c r="D817">
        <f>IF($A817="","",COUNTIF(connections!$A$2:$A$1425,$A817)+COUNTIF(connections!$B$2:$B$1425,$A817))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Factory</v>
      </c>
      <c r="B818">
        <f>IF($A818="","",games!$B818)</f>
        <v>2024</v>
      </c>
      <c r="C818" t="str">
        <f>IF($A818="","",games!$C818)</f>
        <v>Strategy</v>
      </c>
      <c r="D818">
        <f>IF($A818="","",COUNTIF(connections!$A$2:$A$1425,$A818)+COUNTIF(connections!$B$2:$B$1425,$A818))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Tower Fortress</v>
      </c>
      <c r="B819">
        <f>IF($A819="","",games!$B819)</f>
        <v>2017</v>
      </c>
      <c r="C819" t="str">
        <f>IF($A819="","",games!$C819)</f>
        <v>Action</v>
      </c>
      <c r="D819">
        <f>IF($A819="","",COUNTIF(connections!$A$2:$A$1425,$A819)+COUNTIF(connections!$B$2:$B$1425,$A819))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Tower of Guns</v>
      </c>
      <c r="B820">
        <f>IF($A820="","",games!$B820)</f>
        <v>2014</v>
      </c>
      <c r="C820" t="str">
        <f>IF($A820="","",games!$C820)</f>
        <v>Action</v>
      </c>
      <c r="D820">
        <f>IF($A820="","",COUNTIF(connections!$A$2:$A$1425,$A820)+COUNTIF(connections!$B$2:$B$1425,$A820))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Tower Tactics: Liberation</v>
      </c>
      <c r="B821">
        <f>IF($A821="","",games!$B821)</f>
        <v>2021</v>
      </c>
      <c r="C821" t="str">
        <f>IF($A821="","",games!$C821)</f>
        <v>Deckbuilder</v>
      </c>
      <c r="D821">
        <f>IF($A821="","",COUNTIF(connections!$A$2:$A$1425,$A821)+COUNTIF(connections!$B$2:$B$1425,$A821))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Toy Smash Kaboom!</v>
      </c>
      <c r="B822">
        <f>IF($A822="","",games!$B822)</f>
        <v>2025</v>
      </c>
      <c r="C822" t="str">
        <f>IF($A822="","",games!$C822)</f>
        <v>Deckbuilder</v>
      </c>
      <c r="D822">
        <f>IF($A822="","",COUNTIF(connections!$A$2:$A$1425,$A822)+COUNTIF(connections!$B$2:$B$1425,$A822))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Trash of the Titans</v>
      </c>
      <c r="B823">
        <f>IF($A823="","",games!$B823)</f>
        <v>2024</v>
      </c>
      <c r="C823" t="str">
        <f>IF($A823="","",games!$C823)</f>
        <v>Strategy</v>
      </c>
      <c r="D823">
        <f>IF($A823="","",COUNTIF(connections!$A$2:$A$1425,$A823)+COUNTIF(connections!$B$2:$B$1425,$A823))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Trials of Fire</v>
      </c>
      <c r="B824">
        <f>IF($A824="","",games!$B824)</f>
        <v>2019</v>
      </c>
      <c r="C824" t="str">
        <f>IF($A824="","",games!$C824)</f>
        <v>Deckbuilder</v>
      </c>
      <c r="D824">
        <f>IF($A824="","",COUNTIF(connections!$A$2:$A$1425,$A824)+COUNTIF(connections!$B$2:$B$1425,$A824))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TumbleSeed</v>
      </c>
      <c r="B825">
        <f>IF($A825="","",games!$B825)</f>
        <v>2017</v>
      </c>
      <c r="C825" t="str">
        <f>IF($A825="","",games!$C825)</f>
        <v>Action</v>
      </c>
      <c r="D825">
        <f>IF($A825="","",COUNTIF(connections!$A$2:$A$1425,$A825)+COUNTIF(connections!$B$2:$B$1425,$A825))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Turnbound</v>
      </c>
      <c r="B826">
        <f>IF($A826="","",games!$B826)</f>
        <v>2026</v>
      </c>
      <c r="C826" t="str">
        <f>IF($A826="","",games!$C826)</f>
        <v>Deckbuilder</v>
      </c>
      <c r="D826">
        <f>IF($A826="","",COUNTIF(connections!$A$2:$A$1425,$A826)+COUNTIF(connections!$B$2:$B$1425,$A826))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Tyrant's Realm</v>
      </c>
      <c r="B827">
        <f>IF($A827="","",games!$B827)</f>
        <v>2025</v>
      </c>
      <c r="C827" t="str">
        <f>IF($A827="","",games!$C827)</f>
        <v>Action</v>
      </c>
      <c r="D827">
        <f>IF($A827="","",COUNTIF(connections!$A$2:$A$1425,$A827)+COUNTIF(connections!$B$2:$B$1425,$A827))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Ultima Ratio Regum</v>
      </c>
      <c r="B828">
        <f>IF($A828="","",games!$B828)</f>
        <v>2012</v>
      </c>
      <c r="C828" t="str">
        <f>IF($A828="","",games!$C828)</f>
        <v>Traditional</v>
      </c>
      <c r="D828">
        <f>IF($A828="","",COUNTIF(connections!$A$2:$A$1425,$A828)+COUNTIF(connections!$B$2:$B$1425,$A828))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Ultimate ADOM</v>
      </c>
      <c r="B829">
        <f>IF($A829="","",games!$B829)</f>
        <v>2021</v>
      </c>
      <c r="C829" t="str">
        <f>IF($A829="","",games!$C829)</f>
        <v>Traditional</v>
      </c>
      <c r="D829">
        <f>IF($A829="","",COUNTIF(connections!$A$2:$A$1425,$A829)+COUNTIF(connections!$B$2:$B$1425,$A829))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Ultrapool</v>
      </c>
      <c r="B830">
        <f>IF($A830="","",games!$B830)</f>
        <v>2026</v>
      </c>
      <c r="C830" t="str">
        <f>IF($A830="","",games!$C830)</f>
        <v>Deckbuilder</v>
      </c>
      <c r="D830">
        <f>IF($A830="","",COUNTIF(connections!$A$2:$A$1425,$A830)+COUNTIF(connections!$B$2:$B$1425,$A830))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Uma Musume: Pretty Derby</v>
      </c>
      <c r="B831">
        <f>IF($A831="","",games!$B831)</f>
        <v>2021</v>
      </c>
      <c r="C831" t="str">
        <f>IF($A831="","",games!$C831)</f>
        <v>Strategy</v>
      </c>
      <c r="D831">
        <f>IF($A831="","",COUNTIF(connections!$A$2:$A$1425,$A831)+COUNTIF(connections!$B$2:$B$1425,$A831))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Underdogs</v>
      </c>
      <c r="B832">
        <f>IF($A832="","",games!$B832)</f>
        <v>2024</v>
      </c>
      <c r="C832" t="str">
        <f>IF($A832="","",games!$C832)</f>
        <v>Action</v>
      </c>
      <c r="D832">
        <f>IF($A832="","",COUNTIF(connections!$A$2:$A$1425,$A832)+COUNTIF(connections!$B$2:$B$1425,$A832))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UnderMine</v>
      </c>
      <c r="B833">
        <f>IF($A833="","",games!$B833)</f>
        <v>2019</v>
      </c>
      <c r="C833" t="str">
        <f>IF($A833="","",games!$C833)</f>
        <v>Action</v>
      </c>
      <c r="D833">
        <f>IF($A833="","",COUNTIF(connections!$A$2:$A$1425,$A833)+COUNTIF(connections!$B$2:$B$1425,$A833))</f>
        <v>5</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5.0008330000000001</v>
      </c>
      <c r="P833" t="str">
        <f>IF(OR($A833="",games!$H833=""),"",games!$H833)</f>
        <v>Yes</v>
      </c>
      <c r="Q833">
        <f t="shared" si="167"/>
        <v>5.0008330000000001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UnderMine 2</v>
      </c>
      <c r="B834">
        <f>IF($A834="","",games!$B834)</f>
        <v>2025</v>
      </c>
      <c r="C834" t="str">
        <f>IF($A834="","",games!$C834)</f>
        <v>Action</v>
      </c>
      <c r="D834">
        <f>IF($A834="","",COUNTIF(connections!$A$2:$A$1425,$A834)+COUNTIF(connections!$B$2:$B$1425,$A834))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Unexplored</v>
      </c>
      <c r="B835">
        <f>IF($A835="","",games!$B835)</f>
        <v>2017</v>
      </c>
      <c r="C835" t="str">
        <f>IF($A835="","",games!$C835)</f>
        <v>Action</v>
      </c>
      <c r="D835">
        <f>IF($A835="","",COUNTIF(connections!$A$2:$A$1425,$A835)+COUNTIF(connections!$B$2:$B$1425,$A835))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Unexplored 2: The Wayfarer's Legacy</v>
      </c>
      <c r="B836">
        <f>IF($A836="","",games!$B836)</f>
        <v>2022</v>
      </c>
      <c r="C836" t="str">
        <f>IF($A836="","",games!$C836)</f>
        <v>Action</v>
      </c>
      <c r="D836">
        <f>IF($A836="","",COUNTIF(connections!$A$2:$A$1425,$A836)+COUNTIF(connections!$B$2:$B$1425,$A836))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UnReal World</v>
      </c>
      <c r="B837">
        <f>IF($A837="","",games!$B837)</f>
        <v>1992</v>
      </c>
      <c r="C837" t="str">
        <f>IF($A837="","",games!$C837)</f>
        <v>Traditional</v>
      </c>
      <c r="D837">
        <f>IF($A837="","",COUNTIF(connections!$A$2:$A$1425,$A837)+COUNTIF(connections!$B$2:$B$1425,$A837))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Vagante</v>
      </c>
      <c r="B838">
        <f>IF($A838="","",games!$B838)</f>
        <v>2018</v>
      </c>
      <c r="C838" t="str">
        <f>IF($A838="","",games!$C838)</f>
        <v>Action</v>
      </c>
      <c r="D838">
        <f>IF($A838="","",COUNTIF(connections!$A$2:$A$1425,$A838)+COUNTIF(connections!$B$2:$B$1425,$A838))</f>
        <v>2</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Vampire Crawlers</v>
      </c>
      <c r="B839">
        <f>IF($A839="","",games!$B839)</f>
        <v>2026</v>
      </c>
      <c r="C839" t="str">
        <f>IF($A839="","",games!$C839)</f>
        <v>Deckbuilder</v>
      </c>
      <c r="D839">
        <f>IF($A839="","",COUNTIF(connections!$A$2:$A$1425,$A839)+COUNTIF(connections!$B$2:$B$1425,$A839))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Vampire Hunters</v>
      </c>
      <c r="B840">
        <f>IF($A840="","",games!$B840)</f>
        <v>2023</v>
      </c>
      <c r="C840" t="str">
        <f>IF($A840="","",games!$C840)</f>
        <v>Action</v>
      </c>
      <c r="D840">
        <f>IF($A840="","",COUNTIF(connections!$A$2:$A$1425,$A840)+COUNTIF(connections!$B$2:$B$1425,$A840))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Vampire Survivors</v>
      </c>
      <c r="B841">
        <f>IF($A841="","",games!$B841)</f>
        <v>2021</v>
      </c>
      <c r="C841" t="str">
        <f>IF($A841="","",games!$C841)</f>
        <v>Action</v>
      </c>
      <c r="D841">
        <f>IF($A841="","",COUNTIF(connections!$A$2:$A$1425,$A841)+COUNTIF(connections!$B$2:$B$1425,$A841))</f>
        <v>95</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95.000840999999994</v>
      </c>
      <c r="P841" t="str">
        <f>IF(OR($A841="",games!$H841=""),"",games!$H841)</f>
        <v>Yes</v>
      </c>
      <c r="Q841">
        <f t="shared" si="180"/>
        <v>95.000840999999994</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Vault of the Void</v>
      </c>
      <c r="B842">
        <f>IF($A842="","",games!$B842)</f>
        <v>2020</v>
      </c>
      <c r="C842" t="str">
        <f>IF($A842="","",games!$C842)</f>
        <v>Deckbuilder</v>
      </c>
      <c r="D842">
        <f>IF($A842="","",COUNTIF(connections!$A$2:$A$1425,$A842)+COUNTIF(connections!$B$2:$B$1425,$A842))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Vellum</v>
      </c>
      <c r="B843">
        <f>IF($A843="","",games!$B843)</f>
        <v>2024</v>
      </c>
      <c r="C843" t="str">
        <f>IF($A843="","",games!$C843)</f>
        <v>Action</v>
      </c>
      <c r="D843">
        <f>IF($A843="","",COUNTIF(connections!$A$2:$A$1425,$A843)+COUNTIF(connections!$B$2:$B$1425,$A843))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Vital Shell</v>
      </c>
      <c r="B844">
        <f>IF($A844="","",games!$B844)</f>
        <v>2026</v>
      </c>
      <c r="C844" t="str">
        <f>IF($A844="","",games!$C844)</f>
        <v>Action</v>
      </c>
      <c r="D844">
        <f>IF($A844="","",COUNTIF(connections!$A$2:$A$1425,$A844)+COUNTIF(connections!$B$2:$B$1425,$A844))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Vivid Knight</v>
      </c>
      <c r="B845">
        <f>IF($A845="","",games!$B845)</f>
        <v>2021</v>
      </c>
      <c r="C845" t="str">
        <f>IF($A845="","",games!$C845)</f>
        <v>Deckbuilder</v>
      </c>
      <c r="D845">
        <f>IF($A845="","",COUNTIF(connections!$A$2:$A$1425,$A845)+COUNTIF(connections!$B$2:$B$1425,$A845))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Vivid World</v>
      </c>
      <c r="B846">
        <f>IF($A846="","",games!$B846)</f>
        <v>2025</v>
      </c>
      <c r="C846" t="str">
        <f>IF($A846="","",games!$C846)</f>
        <v>Deckbuilder</v>
      </c>
      <c r="D846">
        <f>IF($A846="","",COUNTIF(connections!$A$2:$A$1425,$A846)+COUNTIF(connections!$B$2:$B$1425,$A846))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Voice of Belldona</v>
      </c>
      <c r="B847">
        <f>IF($A847="","",games!$B847)</f>
        <v>2026</v>
      </c>
      <c r="C847" t="str">
        <f>IF($A847="","",games!$C847)</f>
        <v>Deckbuilder</v>
      </c>
      <c r="D847">
        <f>IF($A847="","",COUNTIF(connections!$A$2:$A$1425,$A847)+COUNTIF(connections!$B$2:$B$1425,$A847))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 Bastards</v>
      </c>
      <c r="B848">
        <f>IF($A848="","",games!$B848)</f>
        <v>2019</v>
      </c>
      <c r="C848" t="str">
        <f>IF($A848="","",games!$C848)</f>
        <v>Action</v>
      </c>
      <c r="D848">
        <f>IF($A848="","",COUNTIF(connections!$A$2:$A$1425,$A848)+COUNTIF(connections!$B$2:$B$1425,$A848))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 Scrappers</v>
      </c>
      <c r="B849">
        <f>IF($A849="","",games!$B849)</f>
        <v>2022</v>
      </c>
      <c r="C849" t="str">
        <f>IF($A849="","",games!$C849)</f>
        <v>Action</v>
      </c>
      <c r="D849">
        <f>IF($A849="","",COUNTIF(connections!$A$2:$A$1425,$A849)+COUNTIF(connections!$B$2:$B$1425,$A849))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Void War</v>
      </c>
      <c r="B850">
        <f>IF($A850="","",games!$B850)</f>
        <v>2024</v>
      </c>
      <c r="C850" t="str">
        <f>IF($A850="","",games!$C850)</f>
        <v>Strategy</v>
      </c>
      <c r="D850">
        <f>IF($A850="","",COUNTIF(connections!$A$2:$A$1425,$A850)+COUNTIF(connections!$B$2:$B$1425,$A850))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Voidigo</v>
      </c>
      <c r="B851">
        <f>IF($A851="","",games!$B851)</f>
        <v>2023</v>
      </c>
      <c r="C851" t="str">
        <f>IF($A851="","",games!$C851)</f>
        <v>Action</v>
      </c>
      <c r="D851">
        <f>IF($A851="","",COUNTIF(connections!$A$2:$A$1425,$A851)+COUNTIF(connections!$B$2:$B$1425,$A851))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Voids Vigil</v>
      </c>
      <c r="B852">
        <f>IF($A852="","",games!$B852)</f>
        <v>2024</v>
      </c>
      <c r="C852" t="str">
        <f>IF($A852="","",games!$C852)</f>
        <v>Action</v>
      </c>
      <c r="D852">
        <f>IF($A852="","",COUNTIF(connections!$A$2:$A$1425,$A852)+COUNTIF(connections!$B$2:$B$1425,$A852))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Voin</v>
      </c>
      <c r="B853">
        <f>IF($A853="","",games!$B853)</f>
        <v>2024</v>
      </c>
      <c r="C853" t="str">
        <f>IF($A853="","",games!$C853)</f>
        <v>Action</v>
      </c>
      <c r="D853">
        <f>IF($A853="","",COUNTIF(connections!$A$2:$A$1425,$A853)+COUNTIF(connections!$B$2:$B$1425,$A853))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Waku Waku Puyo Puyo Dungeon</v>
      </c>
      <c r="B854">
        <f>IF($A854="","",games!$B854)</f>
        <v>1998</v>
      </c>
      <c r="C854" t="str">
        <f>IF($A854="","",games!$C854)</f>
        <v>Traditional</v>
      </c>
      <c r="D854">
        <f>IF($A854="","",COUNTIF(connections!$A$2:$A$1425,$A854)+COUNTIF(connections!$B$2:$B$1425,$A854))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Wall World</v>
      </c>
      <c r="B855">
        <f>IF($A855="","",games!$B855)</f>
        <v>2023</v>
      </c>
      <c r="C855" t="str">
        <f>IF($A855="","",games!$C855)</f>
        <v>Strategy</v>
      </c>
      <c r="D855">
        <f>IF($A855="","",COUNTIF(connections!$A$2:$A$1425,$A855)+COUNTIF(connections!$B$2:$B$1425,$A855))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Wall World 2</v>
      </c>
      <c r="B856">
        <f>IF($A856="","",games!$B856)</f>
        <v>2025</v>
      </c>
      <c r="C856" t="str">
        <f>IF($A856="","",games!$C856)</f>
        <v>Strategy</v>
      </c>
      <c r="D856">
        <f>IF($A856="","",COUNTIF(connections!$A$2:$A$1425,$A856)+COUNTIF(connections!$B$2:$B$1425,$A856))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Wanderburg</v>
      </c>
      <c r="B857">
        <f>IF($A857="","",games!$B857)</f>
        <v>2026</v>
      </c>
      <c r="C857" t="str">
        <f>IF($A857="","",games!$C857)</f>
        <v>Action</v>
      </c>
      <c r="D857">
        <f>IF($A857="","",COUNTIF(connections!$A$2:$A$1425,$A857)+COUNTIF(connections!$B$2:$B$1425,$A857))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Warhammer Survivors</v>
      </c>
      <c r="B858">
        <f>IF($A858="","",games!$B858)</f>
        <v>2026</v>
      </c>
      <c r="C858" t="str">
        <f>IF($A858="","",games!$C858)</f>
        <v>Action</v>
      </c>
      <c r="D858">
        <f>IF($A858="","",COUNTIF(connections!$A$2:$A$1425,$A858)+COUNTIF(connections!$B$2:$B$1425,$A858))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WarpVector</v>
      </c>
      <c r="B859">
        <f>IF($A859="","",games!$B859)</f>
        <v>2023</v>
      </c>
      <c r="C859" t="str">
        <f>IF($A859="","",games!$C859)</f>
        <v>Traditional</v>
      </c>
      <c r="D859">
        <f>IF($A859="","",COUNTIF(connections!$A$2:$A$1425,$A859)+COUNTIF(connections!$B$2:$B$1425,$A859))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Warriors: Abyss</v>
      </c>
      <c r="B860">
        <f>IF($A860="","",games!$B860)</f>
        <v>2025</v>
      </c>
      <c r="C860" t="str">
        <f>IF($A860="","",games!$C860)</f>
        <v>Action</v>
      </c>
      <c r="D860">
        <f>IF($A860="","",COUNTIF(connections!$A$2:$A$1425,$A860)+COUNTIF(connections!$B$2:$B$1425,$A860))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Warsim: The Realm of Aslona</v>
      </c>
      <c r="B861">
        <f>IF($A861="","",games!$B861)</f>
        <v>2017</v>
      </c>
      <c r="C861" t="str">
        <f>IF($A861="","",games!$C861)</f>
        <v>Strategy</v>
      </c>
      <c r="D861">
        <f>IF($A861="","",COUNTIF(connections!$A$2:$A$1425,$A861)+COUNTIF(connections!$B$2:$B$1425,$A861))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Wayward</v>
      </c>
      <c r="B862">
        <f>IF($A862="","",games!$B862)</f>
        <v>2011</v>
      </c>
      <c r="C862" t="str">
        <f>IF($A862="","",games!$C862)</f>
        <v>Traditional</v>
      </c>
      <c r="D862">
        <f>IF($A862="","",COUNTIF(connections!$A$2:$A$1425,$A862)+COUNTIF(connections!$B$2:$B$1425,$A862))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WazHack</v>
      </c>
      <c r="B863">
        <f>IF($A863="","",games!$B863)</f>
        <v>2012</v>
      </c>
      <c r="C863" t="str">
        <f>IF($A863="","",games!$C863)</f>
        <v>Strategy</v>
      </c>
      <c r="D863">
        <f>IF($A863="","",COUNTIF(connections!$A$2:$A$1425,$A863)+COUNTIF(connections!$B$2:$B$1425,$A863))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We Need To Go Deeper</v>
      </c>
      <c r="B864">
        <f>IF($A864="","",games!$B864)</f>
        <v>2017</v>
      </c>
      <c r="C864" t="str">
        <f>IF($A864="","",games!$C864)</f>
        <v>Action</v>
      </c>
      <c r="D864">
        <f>IF($A864="","",COUNTIF(connections!$A$2:$A$1425,$A864)+COUNTIF(connections!$B$2:$B$1425,$A864))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Weird Worlds: Return to Infinite Space</v>
      </c>
      <c r="B865">
        <f>IF($A865="","",games!$B865)</f>
        <v>2005</v>
      </c>
      <c r="C865" t="str">
        <f>IF($A865="","",games!$C865)</f>
        <v>Strategy</v>
      </c>
      <c r="D865">
        <f>IF($A865="","",COUNTIF(connections!$A$2:$A$1425,$A865)+COUNTIF(connections!$B$2:$B$1425,$A865))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West of Dead</v>
      </c>
      <c r="B866">
        <f>IF($A866="","",games!$B866)</f>
        <v>2020</v>
      </c>
      <c r="C866" t="str">
        <f>IF($A866="","",games!$C866)</f>
        <v>Action</v>
      </c>
      <c r="D866">
        <f>IF($A866="","",COUNTIF(connections!$A$2:$A$1425,$A866)+COUNTIF(connections!$B$2:$B$1425,$A866))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Whisker Squadron: Survivor</v>
      </c>
      <c r="B867">
        <f>IF($A867="","",games!$B867)</f>
        <v>2025</v>
      </c>
      <c r="C867" t="str">
        <f>IF($A867="","",games!$C867)</f>
        <v>Action</v>
      </c>
      <c r="D867">
        <f>IF($A867="","",COUNTIF(connections!$A$2:$A$1425,$A867)+COUNTIF(connections!$B$2:$B$1425,$A867))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White Knuckle</v>
      </c>
      <c r="B868">
        <f>IF($A868="","",games!$B868)</f>
        <v>2025</v>
      </c>
      <c r="C868" t="str">
        <f>IF($A868="","",games!$C868)</f>
        <v>Action</v>
      </c>
      <c r="D868">
        <f>IF($A868="","",COUNTIF(connections!$A$2:$A$1425,$A868)+COUNTIF(connections!$B$2:$B$1425,$A868))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Wild Bastards</v>
      </c>
      <c r="B869">
        <f>IF($A869="","",games!$B869)</f>
        <v>2024</v>
      </c>
      <c r="C869" t="str">
        <f>IF($A869="","",games!$C869)</f>
        <v>Action</v>
      </c>
      <c r="D869">
        <f>IF($A869="","",COUNTIF(connections!$A$2:$A$1425,$A869)+COUNTIF(connections!$B$2:$B$1425,$A869))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Wildermyth</v>
      </c>
      <c r="B870">
        <f>IF($A870="","",games!$B870)</f>
        <v>2019</v>
      </c>
      <c r="C870" t="str">
        <f>IF($A870="","",games!$C870)</f>
        <v>Strategy</v>
      </c>
      <c r="D870">
        <f>IF($A870="","",COUNTIF(connections!$A$2:$A$1425,$A870)+COUNTIF(connections!$B$2:$B$1425,$A870))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Wildfrost</v>
      </c>
      <c r="B871">
        <f>IF($A871="","",games!$B871)</f>
        <v>2023</v>
      </c>
      <c r="C871" t="str">
        <f>IF($A871="","",games!$C871)</f>
        <v>Deckbuilder</v>
      </c>
      <c r="D871">
        <f>IF($A871="","",COUNTIF(connections!$A$2:$A$1425,$A871)+COUNTIF(connections!$B$2:$B$1425,$A871))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IF($A872="","",COUNTIF(connections!$A$2:$A$1425,$A872)+COUNTIF(connections!$B$2:$B$1425,$A872))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Winnie's Hole</v>
      </c>
      <c r="B873">
        <f>IF($A873="","",games!$B873)</f>
        <v>2026</v>
      </c>
      <c r="C873" t="str">
        <f>IF($A873="","",games!$C873)</f>
        <v>Deckbuilder</v>
      </c>
      <c r="D873">
        <f>IF($A873="","",COUNTIF(connections!$A$2:$A$1425,$A873)+COUNTIF(connections!$B$2:$B$1425,$A873))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Wireworks</v>
      </c>
      <c r="B874">
        <f>IF($A874="","",games!$B874)</f>
        <v>2026</v>
      </c>
      <c r="C874" t="str">
        <f>IF($A874="","",games!$C874)</f>
        <v>Strategy</v>
      </c>
      <c r="D874">
        <f>IF($A874="","",COUNTIF(connections!$A$2:$A$1425,$A874)+COUNTIF(connections!$B$2:$B$1425,$A874))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Witchfire</v>
      </c>
      <c r="B875">
        <f>IF($A875="","",games!$B875)</f>
        <v>2023</v>
      </c>
      <c r="C875" t="str">
        <f>IF($A875="","",games!$C875)</f>
        <v>Action</v>
      </c>
      <c r="D875">
        <f>IF($A875="","",COUNTIF(connections!$A$2:$A$1425,$A875)+COUNTIF(connections!$B$2:$B$1425,$A875))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Witch's Apocalyptic Journey</v>
      </c>
      <c r="B876">
        <f>IF($A876="","",games!$B876)</f>
        <v>2026</v>
      </c>
      <c r="C876" t="str">
        <f>IF($A876="","",games!$C876)</f>
        <v>Deckbuilder</v>
      </c>
      <c r="D876">
        <f>IF($A876="","",COUNTIF(connections!$A$2:$A$1425,$A876)+COUNTIF(connections!$B$2:$B$1425,$A876))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Wizard of Legend</v>
      </c>
      <c r="B877">
        <f>IF($A877="","",games!$B877)</f>
        <v>2018</v>
      </c>
      <c r="C877" t="str">
        <f>IF($A877="","",games!$C877)</f>
        <v>Action</v>
      </c>
      <c r="D877">
        <f>IF($A877="","",COUNTIF(connections!$A$2:$A$1425,$A877)+COUNTIF(connections!$B$2:$B$1425,$A877))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Wizard of Legend 2</v>
      </c>
      <c r="B878">
        <f>IF($A878="","",games!$B878)</f>
        <v>2024</v>
      </c>
      <c r="C878" t="str">
        <f>IF($A878="","",games!$C878)</f>
        <v>Action</v>
      </c>
      <c r="D878">
        <f>IF($A878="","",COUNTIF(connections!$A$2:$A$1425,$A878)+COUNTIF(connections!$B$2:$B$1425,$A878))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WizardChess</v>
      </c>
      <c r="B879">
        <f>IF($A879="","",games!$B879)</f>
        <v>2021</v>
      </c>
      <c r="C879" t="str">
        <f>IF($A879="","",games!$C879)</f>
        <v>Strategy</v>
      </c>
      <c r="D879">
        <f>IF($A879="","",COUNTIF(connections!$A$2:$A$1425,$A879)+COUNTIF(connections!$B$2:$B$1425,$A879))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Word Play</v>
      </c>
      <c r="B880">
        <f>IF($A880="","",games!$B880)</f>
        <v>2025</v>
      </c>
      <c r="C880" t="str">
        <f>IF($A880="","",games!$C880)</f>
        <v>Deckbuilder</v>
      </c>
      <c r="D880">
        <f>IF($A880="","",COUNTIF(connections!$A$2:$A$1425,$A880)+COUNTIF(connections!$B$2:$B$1425,$A880))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Wordatro!</v>
      </c>
      <c r="B881">
        <f>IF($A881="","",games!$B881)</f>
        <v>2025</v>
      </c>
      <c r="C881" t="str">
        <f>IF($A881="","",games!$C881)</f>
        <v>Deckbuilder</v>
      </c>
      <c r="D881">
        <f>IF($A881="","",COUNTIF(connections!$A$2:$A$1425,$A881)+COUNTIF(connections!$B$2:$B$1425,$A881))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Words Can Kill</v>
      </c>
      <c r="B882">
        <f>IF($A882="","",games!$B882)</f>
        <v>2022</v>
      </c>
      <c r="C882" t="str">
        <f>IF($A882="","",games!$C882)</f>
        <v>Deckbuilder</v>
      </c>
      <c r="D882">
        <f>IF($A882="","",COUNTIF(connections!$A$2:$A$1425,$A882)+COUNTIF(connections!$B$2:$B$1425,$A882))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Worlds Upon The Wind</v>
      </c>
      <c r="B883">
        <f>IF($A883="","",games!$B883)</f>
        <v>2026</v>
      </c>
      <c r="C883" t="str">
        <f>IF($A883="","",games!$C883)</f>
        <v>Deckbuilder</v>
      </c>
      <c r="D883">
        <f>IF($A883="","",COUNTIF(connections!$A$2:$A$1425,$A883)+COUNTIF(connections!$B$2:$B$1425,$A883))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Yasha: Legends of the Demon Blade</v>
      </c>
      <c r="B884">
        <f>IF($A884="","",games!$B884)</f>
        <v>2025</v>
      </c>
      <c r="C884" t="str">
        <f>IF($A884="","",games!$C884)</f>
        <v>Action</v>
      </c>
      <c r="D884">
        <f>IF($A884="","",COUNTIF(connections!$A$2:$A$1425,$A884)+COUNTIF(connections!$B$2:$B$1425,$A884))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Yet Another Zombie Survivors</v>
      </c>
      <c r="B885">
        <f>IF($A885="","",games!$B885)</f>
        <v>2023</v>
      </c>
      <c r="C885" t="str">
        <f>IF($A885="","",games!$C885)</f>
        <v>Action</v>
      </c>
      <c r="D885">
        <f>IF($A885="","",COUNTIF(connections!$A$2:$A$1425,$A885)+COUNTIF(connections!$B$2:$B$1425,$A885))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IF($A886="","",COUNTIF(connections!$A$2:$A$1425,$A886)+COUNTIF(connections!$B$2:$B$1425,$A886))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Youdanji</v>
      </c>
      <c r="B887">
        <f>IF($A887="","",games!$B887)</f>
        <v>2017</v>
      </c>
      <c r="C887" t="str">
        <f>IF($A887="","",games!$C887)</f>
        <v>Traditional</v>
      </c>
      <c r="D887">
        <f>IF($A887="","",COUNTIF(connections!$A$2:$A$1425,$A887)+COUNTIF(connections!$B$2:$B$1425,$A887))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Z.H.P. Unlosing Ranger VS Darkdeath Evilman</v>
      </c>
      <c r="B888">
        <f>IF($A888="","",games!$B888)</f>
        <v>2010</v>
      </c>
      <c r="C888" t="str">
        <f>IF($A888="","",games!$C888)</f>
        <v>Traditional</v>
      </c>
      <c r="D888">
        <f>IF($A888="","",COUNTIF(connections!$A$2:$A$1425,$A888)+COUNTIF(connections!$B$2:$B$1425,$A888))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Zangband</v>
      </c>
      <c r="B889">
        <f>IF($A889="","",games!$B889)</f>
        <v>1994</v>
      </c>
      <c r="C889" t="str">
        <f>IF($A889="","",games!$C889)</f>
        <v>Traditional</v>
      </c>
      <c r="D889">
        <f>IF($A889="","",COUNTIF(connections!$A$2:$A$1425,$A889)+COUNTIF(connections!$B$2:$B$1425,$A889))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Zet Zillions</v>
      </c>
      <c r="B890">
        <f>IF($A890="","",games!$B890)</f>
        <v>2024</v>
      </c>
      <c r="C890" t="str">
        <f>IF($A890="","",games!$C890)</f>
        <v>Deckbuilder</v>
      </c>
      <c r="D890">
        <f>IF($A890="","",COUNTIF(connections!$A$2:$A$1425,$A890)+COUNTIF(connections!$B$2:$B$1425,$A890))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Ziggurat</v>
      </c>
      <c r="B891">
        <f>IF($A891="","",games!$B891)</f>
        <v>2014</v>
      </c>
      <c r="C891" t="str">
        <f>IF($A891="","",games!$C891)</f>
        <v>Action</v>
      </c>
      <c r="D891">
        <f>IF($A891="","",COUNTIF(connections!$A$2:$A$1425,$A891)+COUNTIF(connections!$B$2:$B$1425,$A891))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Ziggurat 2</v>
      </c>
      <c r="B892">
        <f>IF($A892="","",games!$B892)</f>
        <v>2020</v>
      </c>
      <c r="C892" t="str">
        <f>IF($A892="","",games!$C892)</f>
        <v>Action</v>
      </c>
      <c r="D892">
        <f>IF($A892="","",COUNTIF(connections!$A$2:$A$1425,$A892)+COUNTIF(connections!$B$2:$B$1425,$A892))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ZMAngband</v>
      </c>
      <c r="B893">
        <f>IF($A893="","",games!$B893)</f>
        <v>2025</v>
      </c>
      <c r="C893" t="str">
        <f>IF($A893="","",games!$C893)</f>
        <v>Traditional</v>
      </c>
      <c r="D893">
        <f>IF($A893="","",COUNTIF(connections!$A$2:$A$1425,$A893)+COUNTIF(connections!$B$2:$B$1425,$A893))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Zoeti</v>
      </c>
      <c r="B894">
        <f>IF($A894="","",games!$B894)</f>
        <v>2023</v>
      </c>
      <c r="C894" t="str">
        <f>IF($A894="","",games!$C894)</f>
        <v>Deckbuilder</v>
      </c>
      <c r="D894">
        <f>IF($A894="","",COUNTIF(connections!$A$2:$A$1425,$A894)+COUNTIF(connections!$B$2:$B$1425,$A894))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Zoominoes</v>
      </c>
      <c r="B895">
        <f>IF($A895="","",games!$B895)</f>
        <v>2026</v>
      </c>
      <c r="C895" t="str">
        <f>IF($A895="","",games!$C895)</f>
        <v>Deckbuilder</v>
      </c>
      <c r="D895">
        <f>IF($A895="","",COUNTIF(connections!$A$2:$A$1425,$A895)+COUNTIF(connections!$B$2:$B$1425,$A895))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Zorbus</v>
      </c>
      <c r="B896">
        <f>IF($A896="","",games!$B896)</f>
        <v>2022</v>
      </c>
      <c r="C896" t="str">
        <f>IF($A896="","",games!$C896)</f>
        <v>Traditional</v>
      </c>
      <c r="D896">
        <f>IF($A896="","",COUNTIF(connections!$A$2:$A$1425,$A896)+COUNTIF(connections!$B$2:$B$1425,$A896))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IF($A897="","",COUNTIF(connections!$A$2:$A$1425,$A897)+COUNTIF(connections!$B$2:$B$1425,$A897))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IF($A898="","",COUNTIF(connections!$A$2:$A$1425,$A898)+COUNTIF(connections!$B$2:$B$1425,$A898))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IF($A899="","",COUNTIF(connections!$A$2:$A$1425,$A899)+COUNTIF(connections!$B$2:$B$1425,$A899))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IF($A900="","",COUNTIF(connections!$A$2:$A$1425,$A900)+COUNTIF(connections!$B$2:$B$1425,$A900))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IF($A901="","",COUNTIF(connections!$A$2:$A$1425,$A901)+COUNTIF(connections!$B$2:$B$1425,$A901))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IF($A902="","",COUNTIF(connections!$A$2:$A$1425,$A902)+COUNTIF(connections!$B$2:$B$1425,$A902))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IF($A903="","",COUNTIF(connections!$A$2:$A$1425,$A903)+COUNTIF(connections!$B$2:$B$1425,$A903))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IF($A904="","",COUNTIF(connections!$A$2:$A$1425,$A904)+COUNTIF(connections!$B$2:$B$1425,$A904))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IF($A905="","",COUNTIF(connections!$A$2:$A$1425,$A905)+COUNTIF(connections!$B$2:$B$1425,$A905))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IF($A906="","",COUNTIF(connections!$A$2:$A$1425,$A906)+COUNTIF(connections!$B$2:$B$1425,$A906))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IF($A907="","",COUNTIF(connections!$A$2:$A$1425,$A907)+COUNTIF(connections!$B$2:$B$1425,$A907))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IF($A908="","",COUNTIF(connections!$A$2:$A$1425,$A908)+COUNTIF(connections!$B$2:$B$1425,$A908))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IF($A909="","",COUNTIF(connections!$A$2:$A$1425,$A909)+COUNTIF(connections!$B$2:$B$1425,$A909))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IF($A910="","",COUNTIF(connections!$A$2:$A$1425,$A910)+COUNTIF(connections!$B$2:$B$1425,$A910))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IF($A911="","",COUNTIF(connections!$A$2:$A$1425,$A911)+COUNTIF(connections!$B$2:$B$1425,$A911))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IF($A912="","",COUNTIF(connections!$A$2:$A$1425,$A912)+COUNTIF(connections!$B$2:$B$1425,$A912))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IF($A913="","",COUNTIF(connections!$A$2:$A$1425,$A913)+COUNTIF(connections!$B$2:$B$1425,$A913))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IF($A914="","",COUNTIF(connections!$A$2:$A$1425,$A914)+COUNTIF(connections!$B$2:$B$1425,$A914))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IF($A915="","",COUNTIF(connections!$A$2:$A$1425,$A915)+COUNTIF(connections!$B$2:$B$1425,$A915))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IF($A916="","",COUNTIF(connections!$A$2:$A$1425,$A916)+COUNTIF(connections!$B$2:$B$1425,$A916))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IF($A917="","",COUNTIF(connections!$A$2:$A$1425,$A917)+COUNTIF(connections!$B$2:$B$1425,$A917))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IF($A918="","",COUNTIF(connections!$A$2:$A$1425,$A918)+COUNTIF(connections!$B$2:$B$1425,$A918))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IF($A919="","",COUNTIF(connections!$A$2:$A$1425,$A919)+COUNTIF(connections!$B$2:$B$1425,$A919))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IF($A920="","",COUNTIF(connections!$A$2:$A$1425,$A920)+COUNTIF(connections!$B$2:$B$1425,$A920))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IF($A921="","",COUNTIF(connections!$A$2:$A$1425,$A921)+COUNTIF(connections!$B$2:$B$1425,$A921))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IF($A922="","",COUNTIF(connections!$A$2:$A$1425,$A922)+COUNTIF(connections!$B$2:$B$1425,$A922))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IF($A923="","",COUNTIF(connections!$A$2:$A$1425,$A923)+COUNTIF(connections!$B$2:$B$1425,$A923))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IF($A924="","",COUNTIF(connections!$A$2:$A$1425,$A924)+COUNTIF(connections!$B$2:$B$1425,$A924))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IF($A925="","",COUNTIF(connections!$A$2:$A$1425,$A925)+COUNTIF(connections!$B$2:$B$1425,$A925))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IF($A926="","",COUNTIF(connections!$A$2:$A$1425,$A926)+COUNTIF(connections!$B$2:$B$1425,$A926))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IF($A927="","",COUNTIF(connections!$A$2:$A$1425,$A927)+COUNTIF(connections!$B$2:$B$1425,$A927))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IF($A928="","",COUNTIF(connections!$A$2:$A$1425,$A928)+COUNTIF(connections!$B$2:$B$1425,$A928))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IF($A929="","",COUNTIF(connections!$A$2:$A$1425,$A929)+COUNTIF(connections!$B$2:$B$1425,$A929))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IF($A930="","",COUNTIF(connections!$A$2:$A$1425,$A930)+COUNTIF(connections!$B$2:$B$1425,$A930))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IF($A931="","",COUNTIF(connections!$A$2:$A$1425,$A931)+COUNTIF(connections!$B$2:$B$1425,$A931))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IF($A932="","",COUNTIF(connections!$A$2:$A$1425,$A932)+COUNTIF(connections!$B$2:$B$1425,$A932))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IF($A933="","",COUNTIF(connections!$A$2:$A$1425,$A933)+COUNTIF(connections!$B$2:$B$1425,$A933))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IF($A934="","",COUNTIF(connections!$A$2:$A$1425,$A934)+COUNTIF(connections!$B$2:$B$1425,$A934))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IF($A935="","",COUNTIF(connections!$A$2:$A$1425,$A935)+COUNTIF(connections!$B$2:$B$1425,$A935))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IF($A936="","",COUNTIF(connections!$A$2:$A$1425,$A936)+COUNTIF(connections!$B$2:$B$1425,$A936))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IF($A937="","",COUNTIF(connections!$A$2:$A$1425,$A937)+COUNTIF(connections!$B$2:$B$1425,$A937))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IF($A938="","",COUNTIF(connections!$A$2:$A$1425,$A938)+COUNTIF(connections!$B$2:$B$1425,$A938))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IF($A939="","",COUNTIF(connections!$A$2:$A$1425,$A939)+COUNTIF(connections!$B$2:$B$1425,$A939))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IF($A940="","",COUNTIF(connections!$A$2:$A$1425,$A940)+COUNTIF(connections!$B$2:$B$1425,$A940))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IF($A941="","",COUNTIF(connections!$A$2:$A$1425,$A941)+COUNTIF(connections!$B$2:$B$1425,$A941))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IF($A942="","",COUNTIF(connections!$A$2:$A$1425,$A942)+COUNTIF(connections!$B$2:$B$1425,$A942))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IF($A943="","",COUNTIF(connections!$A$2:$A$1425,$A943)+COUNTIF(connections!$B$2:$B$1425,$A943))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IF($A944="","",COUNTIF(connections!$A$2:$A$1425,$A944)+COUNTIF(connections!$B$2:$B$1425,$A944))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IF($A945="","",COUNTIF(connections!$A$2:$A$1425,$A945)+COUNTIF(connections!$B$2:$B$1425,$A945))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IF($A946="","",COUNTIF(connections!$A$2:$A$1425,$A946)+COUNTIF(connections!$B$2:$B$1425,$A946))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IF($A947="","",COUNTIF(connections!$A$2:$A$1425,$A947)+COUNTIF(connections!$B$2:$B$1425,$A947))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IF($A948="","",COUNTIF(connections!$A$2:$A$1425,$A948)+COUNTIF(connections!$B$2:$B$1425,$A948))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IF($A949="","",COUNTIF(connections!$A$2:$A$1425,$A949)+COUNTIF(connections!$B$2:$B$1425,$A949))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IF($A950="","",COUNTIF(connections!$A$2:$A$1425,$A950)+COUNTIF(connections!$B$2:$B$1425,$A950))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f>IF(connections!$A1320="","",IFERROR(INDEX(games!$B$2:$B$950,MATCH(connections!$A1320,games!$A$2:$A$950,0)),""))</f>
        <v>2013</v>
      </c>
      <c r="U1319">
        <f>IF(connections!$A1320="","",IFERROR(INDEX(games!$B$2:$B$950,MATCH(connections!$B1320,games!$A$2:$A$950,0)),""))</f>
        <v>2018</v>
      </c>
      <c r="V1319">
        <f t="shared" si="200"/>
        <v>5</v>
      </c>
    </row>
    <row r="1320" spans="20:22" x14ac:dyDescent="0.25">
      <c r="T1320">
        <f>IF(connections!$A1322="","",IFERROR(INDEX(games!$B$2:$B$950,MATCH(connections!$A1322,games!$A$2:$A$950,0)),""))</f>
        <v>2022</v>
      </c>
      <c r="U1320">
        <f>IF(connections!$A1322="","",IFERROR(INDEX(games!$B$2:$B$950,MATCH(connections!$B1322,games!$A$2:$A$950,0)),""))</f>
        <v>2024</v>
      </c>
      <c r="V1320">
        <f t="shared" si="200"/>
        <v>2</v>
      </c>
    </row>
    <row r="1321" spans="20:22" x14ac:dyDescent="0.25">
      <c r="T1321">
        <f>IF(connections!$A1323="","",IFERROR(INDEX(games!$B$2:$B$950,MATCH(connections!$A1323,games!$A$2:$A$950,0)),""))</f>
        <v>2022</v>
      </c>
      <c r="U1321">
        <f>IF(connections!$A1323="","",IFERROR(INDEX(games!$B$2:$B$950,MATCH(connections!$B1323,games!$A$2:$A$950,0)),""))</f>
        <v>2024</v>
      </c>
      <c r="V1321">
        <f t="shared" si="200"/>
        <v>2</v>
      </c>
    </row>
    <row r="1322" spans="20:22" x14ac:dyDescent="0.25">
      <c r="T1322">
        <f>IF(connections!$A1324="","",IFERROR(INDEX(games!$B$2:$B$950,MATCH(connections!$A1324,games!$A$2:$A$950,0)),""))</f>
        <v>2015</v>
      </c>
      <c r="U1322" t="str">
        <f>IF(connections!$A1324="","",IFERROR(INDEX(games!$B$2:$B$950,MATCH(connections!$B1324,games!$A$2:$A$950,0)),""))</f>
        <v/>
      </c>
      <c r="V1322" t="str">
        <f t="shared" si="200"/>
        <v/>
      </c>
    </row>
    <row r="1323" spans="20:22" x14ac:dyDescent="0.25">
      <c r="T1323">
        <f>IF(connections!$A1325="","",IFERROR(INDEX(games!$B$2:$B$950,MATCH(connections!$A1325,games!$A$2:$A$950,0)),""))</f>
        <v>2011</v>
      </c>
      <c r="U1323">
        <f>IF(connections!$A1325="","",IFERROR(INDEX(games!$B$2:$B$950,MATCH(connections!$B1325,games!$A$2:$A$950,0)),""))</f>
        <v>2017</v>
      </c>
      <c r="V1323">
        <f t="shared" si="200"/>
        <v>6</v>
      </c>
    </row>
    <row r="1324" spans="20:22" x14ac:dyDescent="0.25">
      <c r="T1324">
        <f>IF(connections!$A1326="","",IFERROR(INDEX(games!$B$2:$B$950,MATCH(connections!$A1326,games!$A$2:$A$950,0)),""))</f>
        <v>1996</v>
      </c>
      <c r="U1324">
        <f>IF(connections!$A1326="","",IFERROR(INDEX(games!$B$2:$B$950,MATCH(connections!$B1326,games!$A$2:$A$950,0)),""))</f>
        <v>2017</v>
      </c>
      <c r="V1324">
        <f t="shared" si="200"/>
        <v>21</v>
      </c>
    </row>
    <row r="1325" spans="20:22" x14ac:dyDescent="0.25">
      <c r="T1325">
        <f>IF(connections!$A1327="","",IFERROR(INDEX(games!$B$2:$B$950,MATCH(connections!$A1327,games!$A$2:$A$950,0)),""))</f>
        <v>2012</v>
      </c>
      <c r="U1325">
        <f>IF(connections!$A1327="","",IFERROR(INDEX(games!$B$2:$B$950,MATCH(connections!$B1327,games!$A$2:$A$950,0)),""))</f>
        <v>2017</v>
      </c>
      <c r="V1325">
        <f t="shared" si="200"/>
        <v>5</v>
      </c>
    </row>
    <row r="1326" spans="20:22" x14ac:dyDescent="0.25">
      <c r="T1326">
        <f>IF(connections!$A1328="","",IFERROR(INDEX(games!$B$2:$B$950,MATCH(connections!$A1328,games!$A$2:$A$950,0)),""))</f>
        <v>1995</v>
      </c>
      <c r="U1326">
        <f>IF(connections!$A1328="","",IFERROR(INDEX(games!$B$2:$B$950,MATCH(connections!$B1328,games!$A$2:$A$950,0)),""))</f>
        <v>2020</v>
      </c>
      <c r="V1326">
        <f t="shared" si="200"/>
        <v>25</v>
      </c>
    </row>
    <row r="1327" spans="20:22" x14ac:dyDescent="0.25">
      <c r="T1327">
        <f>IF(connections!$A1329="","",IFERROR(INDEX(games!$B$2:$B$950,MATCH(connections!$A1329,games!$A$2:$A$950,0)),""))</f>
        <v>2022</v>
      </c>
      <c r="U1327">
        <f>IF(connections!$A1329="","",IFERROR(INDEX(games!$B$2:$B$950,MATCH(connections!$B1329,games!$A$2:$A$950,0)),""))</f>
        <v>2025</v>
      </c>
      <c r="V1327">
        <f t="shared" si="200"/>
        <v>3</v>
      </c>
    </row>
    <row r="1328" spans="20:22" x14ac:dyDescent="0.25">
      <c r="T1328">
        <f>IF(connections!$A1330="","",IFERROR(INDEX(games!$B$2:$B$950,MATCH(connections!$A1330,games!$A$2:$A$950,0)),""))</f>
        <v>2023</v>
      </c>
      <c r="U1328">
        <f>IF(connections!$A1330="","",IFERROR(INDEX(games!$B$2:$B$950,MATCH(connections!$B1330,games!$A$2:$A$950,0)),""))</f>
        <v>2025</v>
      </c>
      <c r="V1328">
        <f t="shared" si="200"/>
        <v>2</v>
      </c>
    </row>
    <row r="1329" spans="20:22" x14ac:dyDescent="0.25">
      <c r="T1329">
        <f>IF(connections!$A1331="","",IFERROR(INDEX(games!$B$2:$B$950,MATCH(connections!$A1331,games!$A$2:$A$950,0)),""))</f>
        <v>2021</v>
      </c>
      <c r="U1329">
        <f>IF(connections!$A1331="","",IFERROR(INDEX(games!$B$2:$B$950,MATCH(connections!$B1331,games!$A$2:$A$950,0)),""))</f>
        <v>2023</v>
      </c>
      <c r="V1329">
        <f t="shared" si="200"/>
        <v>2</v>
      </c>
    </row>
    <row r="1330" spans="20:22" x14ac:dyDescent="0.25">
      <c r="T1330">
        <f>IF(connections!$A1332="","",IFERROR(INDEX(games!$B$2:$B$950,MATCH(connections!$A1332,games!$A$2:$A$950,0)),""))</f>
        <v>2011</v>
      </c>
      <c r="U1330">
        <f>IF(connections!$A1332="","",IFERROR(INDEX(games!$B$2:$B$950,MATCH(connections!$B1332,games!$A$2:$A$950,0)),""))</f>
        <v>2019</v>
      </c>
      <c r="V1330">
        <f t="shared" si="200"/>
        <v>8</v>
      </c>
    </row>
    <row r="1331" spans="20:22" x14ac:dyDescent="0.25">
      <c r="T1331">
        <f>IF(connections!$A1333="","",IFERROR(INDEX(games!$B$2:$B$950,MATCH(connections!$A1333,games!$A$2:$A$950,0)),""))</f>
        <v>2013</v>
      </c>
      <c r="U1331">
        <f>IF(connections!$A1333="","",IFERROR(INDEX(games!$B$2:$B$950,MATCH(connections!$B1333,games!$A$2:$A$950,0)),""))</f>
        <v>2019</v>
      </c>
      <c r="V1331">
        <f t="shared" si="200"/>
        <v>6</v>
      </c>
    </row>
    <row r="1332" spans="20:22" x14ac:dyDescent="0.25">
      <c r="T1332">
        <f>IF(connections!$A1334="","",IFERROR(INDEX(games!$B$2:$B$950,MATCH(connections!$A1334,games!$A$2:$A$950,0)),""))</f>
        <v>2015</v>
      </c>
      <c r="U1332">
        <f>IF(connections!$A1334="","",IFERROR(INDEX(games!$B$2:$B$950,MATCH(connections!$B1334,games!$A$2:$A$950,0)),""))</f>
        <v>2019</v>
      </c>
      <c r="V1332">
        <f t="shared" si="200"/>
        <v>4</v>
      </c>
    </row>
    <row r="1333" spans="20:22" x14ac:dyDescent="0.25">
      <c r="T1333">
        <f>IF(connections!$A1335="","",IFERROR(INDEX(games!$B$2:$B$950,MATCH(connections!$A1335,games!$A$2:$A$950,0)),""))</f>
        <v>2011</v>
      </c>
      <c r="U1333">
        <f>IF(connections!$A1335="","",IFERROR(INDEX(games!$B$2:$B$950,MATCH(connections!$B1335,games!$A$2:$A$950,0)),""))</f>
        <v>2019</v>
      </c>
      <c r="V1333">
        <f t="shared" si="200"/>
        <v>8</v>
      </c>
    </row>
    <row r="1334" spans="20:22" x14ac:dyDescent="0.25">
      <c r="T1334">
        <f>IF(connections!$A1336="","",IFERROR(INDEX(games!$B$2:$B$950,MATCH(connections!$A1336,games!$A$2:$A$950,0)),""))</f>
        <v>2016</v>
      </c>
      <c r="U1334">
        <f>IF(connections!$A1336="","",IFERROR(INDEX(games!$B$2:$B$950,MATCH(connections!$B1336,games!$A$2:$A$950,0)),""))</f>
        <v>2019</v>
      </c>
      <c r="V1334">
        <f t="shared" si="200"/>
        <v>3</v>
      </c>
    </row>
    <row r="1335" spans="20:22" x14ac:dyDescent="0.25">
      <c r="T1335">
        <f>IF(connections!$A1337="","",IFERROR(INDEX(games!$B$2:$B$950,MATCH(connections!$A1337,games!$A$2:$A$950,0)),""))</f>
        <v>2015</v>
      </c>
      <c r="U1335">
        <f>IF(connections!$A1337="","",IFERROR(INDEX(games!$B$2:$B$950,MATCH(connections!$B1337,games!$A$2:$A$950,0)),""))</f>
        <v>2019</v>
      </c>
      <c r="V1335">
        <f t="shared" si="200"/>
        <v>4</v>
      </c>
    </row>
    <row r="1336" spans="20:22" x14ac:dyDescent="0.25">
      <c r="T1336">
        <f>IF(connections!$A1338="","",IFERROR(INDEX(games!$B$2:$B$950,MATCH(connections!$A1338,games!$A$2:$A$950,0)),""))</f>
        <v>2008</v>
      </c>
      <c r="U1336">
        <f>IF(connections!$A1338="","",IFERROR(INDEX(games!$B$2:$B$950,MATCH(connections!$B1338,games!$A$2:$A$950,0)),""))</f>
        <v>2019</v>
      </c>
      <c r="V1336">
        <f t="shared" si="200"/>
        <v>11</v>
      </c>
    </row>
    <row r="1337" spans="20:22" x14ac:dyDescent="0.25">
      <c r="T1337">
        <f>IF(connections!$A1339="","",IFERROR(INDEX(games!$B$2:$B$950,MATCH(connections!$A1339,games!$A$2:$A$950,0)),""))</f>
        <v>2013</v>
      </c>
      <c r="U1337">
        <f>IF(connections!$A1339="","",IFERROR(INDEX(games!$B$2:$B$950,MATCH(connections!$B1339,games!$A$2:$A$950,0)),""))</f>
        <v>2019</v>
      </c>
      <c r="V1337">
        <f t="shared" si="200"/>
        <v>6</v>
      </c>
    </row>
    <row r="1338" spans="20:22" x14ac:dyDescent="0.25">
      <c r="T1338">
        <f>IF(connections!$A1340="","",IFERROR(INDEX(games!$B$2:$B$950,MATCH(connections!$A1340,games!$A$2:$A$950,0)),""))</f>
        <v>2018</v>
      </c>
      <c r="U1338">
        <f>IF(connections!$A1340="","",IFERROR(INDEX(games!$B$2:$B$950,MATCH(connections!$B1340,games!$A$2:$A$950,0)),""))</f>
        <v>2019</v>
      </c>
      <c r="V1338">
        <f t="shared" si="200"/>
        <v>1</v>
      </c>
    </row>
    <row r="1339" spans="20:22" x14ac:dyDescent="0.25">
      <c r="T1339">
        <f>IF(connections!$A1341="","",IFERROR(INDEX(games!$B$2:$B$950,MATCH(connections!$A1341,games!$A$2:$A$950,0)),""))</f>
        <v>2018</v>
      </c>
      <c r="U1339">
        <f>IF(connections!$A1341="","",IFERROR(INDEX(games!$B$2:$B$950,MATCH(connections!$B1341,games!$A$2:$A$950,0)),""))</f>
        <v>2019</v>
      </c>
      <c r="V1339">
        <f t="shared" si="200"/>
        <v>1</v>
      </c>
    </row>
    <row r="1340" spans="20:22" x14ac:dyDescent="0.25">
      <c r="T1340">
        <f>IF(connections!$A1342="","",IFERROR(INDEX(games!$B$2:$B$950,MATCH(connections!$A1342,games!$A$2:$A$950,0)),""))</f>
        <v>2017</v>
      </c>
      <c r="U1340">
        <f>IF(connections!$A1342="","",IFERROR(INDEX(games!$B$2:$B$950,MATCH(connections!$B1342,games!$A$2:$A$950,0)),""))</f>
        <v>2019</v>
      </c>
      <c r="V1340">
        <f t="shared" si="200"/>
        <v>2</v>
      </c>
    </row>
    <row r="1341" spans="20:22" x14ac:dyDescent="0.25">
      <c r="T1341">
        <f>IF(connections!$A1343="","",IFERROR(INDEX(games!$B$2:$B$950,MATCH(connections!$A1343,games!$A$2:$A$950,0)),""))</f>
        <v>2017</v>
      </c>
      <c r="U1341">
        <f>IF(connections!$A1343="","",IFERROR(INDEX(games!$B$2:$B$950,MATCH(connections!$B1343,games!$A$2:$A$950,0)),""))</f>
        <v>2024</v>
      </c>
      <c r="V1341">
        <f t="shared" si="200"/>
        <v>7</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2022</v>
      </c>
      <c r="U1343">
        <f>IF(connections!$A1347="","",IFERROR(INDEX(games!$B$2:$B$950,MATCH(connections!$B1347,games!$A$2:$A$950,0)),""))</f>
        <v>2023</v>
      </c>
      <c r="V1343">
        <f t="shared" si="200"/>
        <v>1</v>
      </c>
    </row>
    <row r="1344" spans="20:22" x14ac:dyDescent="0.25">
      <c r="T1344">
        <f>IF(connections!$A1348="","",IFERROR(INDEX(games!$B$2:$B$950,MATCH(connections!$A1348,games!$A$2:$A$950,0)),""))</f>
        <v>2017</v>
      </c>
      <c r="U1344">
        <f>IF(connections!$A1348="","",IFERROR(INDEX(games!$B$2:$B$950,MATCH(connections!$B1348,games!$A$2:$A$950,0)),""))</f>
        <v>2023</v>
      </c>
      <c r="V1344">
        <f t="shared" si="200"/>
        <v>6</v>
      </c>
    </row>
    <row r="1345" spans="20:22" x14ac:dyDescent="0.25">
      <c r="T1345">
        <f>IF(connections!$A1349="","",IFERROR(INDEX(games!$B$2:$B$950,MATCH(connections!$A1349,games!$A$2:$A$950,0)),""))</f>
        <v>2019</v>
      </c>
      <c r="U1345">
        <f>IF(connections!$A1349="","",IFERROR(INDEX(games!$B$2:$B$950,MATCH(connections!$B1349,games!$A$2:$A$950,0)),""))</f>
        <v>2020</v>
      </c>
      <c r="V1345">
        <f t="shared" si="200"/>
        <v>1</v>
      </c>
    </row>
    <row r="1346" spans="20:22" x14ac:dyDescent="0.25">
      <c r="T1346">
        <f>IF(connections!$A1350="","",IFERROR(INDEX(games!$B$2:$B$950,MATCH(connections!$A1350,games!$A$2:$A$950,0)),""))</f>
        <v>1996</v>
      </c>
      <c r="U1346">
        <f>IF(connections!$A1350="","",IFERROR(INDEX(games!$B$2:$B$950,MATCH(connections!$B1350,games!$A$2:$A$950,0)),""))</f>
        <v>2020</v>
      </c>
      <c r="V1346">
        <f t="shared" ref="V1346:V1400" si="201">IF(OR($T1346="",$U1346=""),"",$U1346-$T1346)</f>
        <v>24</v>
      </c>
    </row>
    <row r="1347" spans="20:22" x14ac:dyDescent="0.25">
      <c r="T1347">
        <f>IF(connections!$A1351="","",IFERROR(INDEX(games!$B$2:$B$950,MATCH(connections!$A1351,games!$A$2:$A$950,0)),""))</f>
        <v>2018</v>
      </c>
      <c r="U1347">
        <f>IF(connections!$A1351="","",IFERROR(INDEX(games!$B$2:$B$950,MATCH(connections!$B1351,games!$A$2:$A$950,0)),""))</f>
        <v>2022</v>
      </c>
      <c r="V1347">
        <f t="shared" si="201"/>
        <v>4</v>
      </c>
    </row>
    <row r="1348" spans="20:22" x14ac:dyDescent="0.25">
      <c r="T1348">
        <f>IF(connections!$A1352="","",IFERROR(INDEX(games!$B$2:$B$950,MATCH(connections!$A1352,games!$A$2:$A$950,0)),""))</f>
        <v>2022</v>
      </c>
      <c r="U1348">
        <f>IF(connections!$A1352="","",IFERROR(INDEX(games!$B$2:$B$950,MATCH(connections!$B1352,games!$A$2:$A$950,0)),""))</f>
        <v>2023</v>
      </c>
      <c r="V1348">
        <f t="shared" si="201"/>
        <v>1</v>
      </c>
    </row>
    <row r="1349" spans="20:22" x14ac:dyDescent="0.25">
      <c r="T1349">
        <f>IF(connections!$A1353="","",IFERROR(INDEX(games!$B$2:$B$950,MATCH(connections!$A1353,games!$A$2:$A$950,0)),""))</f>
        <v>1996</v>
      </c>
      <c r="U1349">
        <f>IF(connections!$A1353="","",IFERROR(INDEX(games!$B$2:$B$950,MATCH(connections!$B1353,games!$A$2:$A$950,0)),""))</f>
        <v>2023</v>
      </c>
      <c r="V1349">
        <f t="shared" si="201"/>
        <v>27</v>
      </c>
    </row>
    <row r="1350" spans="20:22" x14ac:dyDescent="0.25">
      <c r="T1350">
        <f>IF(connections!$A1354="","",IFERROR(INDEX(games!$B$2:$B$950,MATCH(connections!$A1354,games!$A$2:$A$950,0)),""))</f>
        <v>2019</v>
      </c>
      <c r="U1350">
        <f>IF(connections!$A1354="","",IFERROR(INDEX(games!$B$2:$B$950,MATCH(connections!$B1354,games!$A$2:$A$950,0)),""))</f>
        <v>2023</v>
      </c>
      <c r="V1350">
        <f t="shared" si="201"/>
        <v>4</v>
      </c>
    </row>
    <row r="1351" spans="20:22" x14ac:dyDescent="0.25">
      <c r="T1351">
        <f>IF(connections!$A1355="","",IFERROR(INDEX(games!$B$2:$B$950,MATCH(connections!$A1355,games!$A$2:$A$950,0)),""))</f>
        <v>2019</v>
      </c>
      <c r="U1351">
        <f>IF(connections!$A1355="","",IFERROR(INDEX(games!$B$2:$B$950,MATCH(connections!$B1355,games!$A$2:$A$950,0)),""))</f>
        <v>2022</v>
      </c>
      <c r="V1351">
        <f t="shared" si="201"/>
        <v>3</v>
      </c>
    </row>
    <row r="1352" spans="20:22" x14ac:dyDescent="0.25">
      <c r="T1352">
        <f>IF(connections!$A1356="","",IFERROR(INDEX(games!$B$2:$B$950,MATCH(connections!$A1356,games!$A$2:$A$950,0)),""))</f>
        <v>2011</v>
      </c>
      <c r="U1352">
        <f>IF(connections!$A1356="","",IFERROR(INDEX(games!$B$2:$B$950,MATCH(connections!$B1356,games!$A$2:$A$950,0)),""))</f>
        <v>2022</v>
      </c>
      <c r="V1352">
        <f t="shared" si="201"/>
        <v>11</v>
      </c>
    </row>
    <row r="1353" spans="20:22" x14ac:dyDescent="0.25">
      <c r="T1353">
        <f>IF(connections!$A1357="","",IFERROR(INDEX(games!$B$2:$B$950,MATCH(connections!$A1357,games!$A$2:$A$950,0)),""))</f>
        <v>2013</v>
      </c>
      <c r="U1353">
        <f>IF(connections!$A1357="","",IFERROR(INDEX(games!$B$2:$B$950,MATCH(connections!$B1357,games!$A$2:$A$950,0)),""))</f>
        <v>2022</v>
      </c>
      <c r="V1353">
        <f t="shared" si="201"/>
        <v>9</v>
      </c>
    </row>
    <row r="1354" spans="20:22" x14ac:dyDescent="0.25">
      <c r="T1354">
        <f>IF(connections!$A1358="","",IFERROR(INDEX(games!$B$2:$B$950,MATCH(connections!$A1358,games!$A$2:$A$950,0)),""))</f>
        <v>2015</v>
      </c>
      <c r="U1354">
        <f>IF(connections!$A1358="","",IFERROR(INDEX(games!$B$2:$B$950,MATCH(connections!$B1358,games!$A$2:$A$950,0)),""))</f>
        <v>2026</v>
      </c>
      <c r="V1354">
        <f t="shared" si="201"/>
        <v>11</v>
      </c>
    </row>
    <row r="1355" spans="20:22" x14ac:dyDescent="0.25">
      <c r="T1355">
        <f>IF(connections!$A1359="","",IFERROR(INDEX(games!$B$2:$B$950,MATCH(connections!$A1359,games!$A$2:$A$950,0)),""))</f>
        <v>2018</v>
      </c>
      <c r="U1355">
        <f>IF(connections!$A1359="","",IFERROR(INDEX(games!$B$2:$B$950,MATCH(connections!$B1359,games!$A$2:$A$950,0)),""))</f>
        <v>2026</v>
      </c>
      <c r="V1355">
        <f t="shared" si="201"/>
        <v>8</v>
      </c>
    </row>
    <row r="1356" spans="20:22" x14ac:dyDescent="0.25">
      <c r="T1356">
        <f>IF(connections!$A1360="","",IFERROR(INDEX(games!$B$2:$B$950,MATCH(connections!$A1360,games!$A$2:$A$950,0)),""))</f>
        <v>2022</v>
      </c>
      <c r="U1356">
        <f>IF(connections!$A1360="","",IFERROR(INDEX(games!$B$2:$B$950,MATCH(connections!$B1360,games!$A$2:$A$950,0)),""))</f>
        <v>2026</v>
      </c>
      <c r="V1356">
        <f t="shared" si="201"/>
        <v>4</v>
      </c>
    </row>
    <row r="1357" spans="20:22" x14ac:dyDescent="0.25">
      <c r="T1357">
        <f>IF(connections!$A1361="","",IFERROR(INDEX(games!$B$2:$B$950,MATCH(connections!$A1361,games!$A$2:$A$950,0)),""))</f>
        <v>2013</v>
      </c>
      <c r="U1357">
        <f>IF(connections!$A1361="","",IFERROR(INDEX(games!$B$2:$B$950,MATCH(connections!$B1361,games!$A$2:$A$950,0)),""))</f>
        <v>2014</v>
      </c>
      <c r="V1357">
        <f t="shared" si="201"/>
        <v>1</v>
      </c>
    </row>
    <row r="1358" spans="20:22" x14ac:dyDescent="0.25">
      <c r="T1358">
        <f>IF(connections!$A1362="","",IFERROR(INDEX(games!$B$2:$B$950,MATCH(connections!$A1362,games!$A$2:$A$950,0)),""))</f>
        <v>1996</v>
      </c>
      <c r="U1358">
        <f>IF(connections!$A1362="","",IFERROR(INDEX(games!$B$2:$B$950,MATCH(connections!$B1362,games!$A$2:$A$950,0)),""))</f>
        <v>2014</v>
      </c>
      <c r="V1358">
        <f t="shared" si="201"/>
        <v>18</v>
      </c>
    </row>
    <row r="1359" spans="20:22" x14ac:dyDescent="0.25">
      <c r="T1359">
        <f>IF(connections!$A1364="","",IFERROR(INDEX(games!$B$2:$B$950,MATCH(connections!$A1364,games!$A$2:$A$950,0)),""))</f>
        <v>2016</v>
      </c>
      <c r="U1359">
        <f>IF(connections!$A1364="","",IFERROR(INDEX(games!$B$2:$B$950,MATCH(connections!$B1364,games!$A$2:$A$950,0)),""))</f>
        <v>2020</v>
      </c>
      <c r="V1359">
        <f t="shared" si="201"/>
        <v>4</v>
      </c>
    </row>
    <row r="1360" spans="20:22" x14ac:dyDescent="0.25">
      <c r="T1360">
        <f>IF(connections!$A1365="","",IFERROR(INDEX(games!$B$2:$B$950,MATCH(connections!$A1365,games!$A$2:$A$950,0)),""))</f>
        <v>2022</v>
      </c>
      <c r="U1360">
        <f>IF(connections!$A1365="","",IFERROR(INDEX(games!$B$2:$B$950,MATCH(connections!$B1365,games!$A$2:$A$950,0)),""))</f>
        <v>2024</v>
      </c>
      <c r="V1360">
        <f t="shared" si="201"/>
        <v>2</v>
      </c>
    </row>
    <row r="1361" spans="20:22" x14ac:dyDescent="0.25">
      <c r="T1361">
        <f>IF(connections!$A1366="","",IFERROR(INDEX(games!$B$2:$B$950,MATCH(connections!$A1366,games!$A$2:$A$950,0)),""))</f>
        <v>2023</v>
      </c>
      <c r="U1361">
        <f>IF(connections!$A1366="","",IFERROR(INDEX(games!$B$2:$B$950,MATCH(connections!$B1366,games!$A$2:$A$950,0)),""))</f>
        <v>2024</v>
      </c>
      <c r="V1361">
        <f t="shared" si="201"/>
        <v>1</v>
      </c>
    </row>
    <row r="1362" spans="20:22" x14ac:dyDescent="0.25">
      <c r="T1362">
        <f>IF(connections!$A1367="","",IFERROR(INDEX(games!$B$2:$B$950,MATCH(connections!$A1367,games!$A$2:$A$950,0)),""))</f>
        <v>2017</v>
      </c>
      <c r="U1362">
        <f>IF(connections!$A1367="","",IFERROR(INDEX(games!$B$2:$B$950,MATCH(connections!$B1367,games!$A$2:$A$950,0)),""))</f>
        <v>2022</v>
      </c>
      <c r="V1362">
        <f t="shared" si="201"/>
        <v>5</v>
      </c>
    </row>
    <row r="1363" spans="20:22" x14ac:dyDescent="0.25">
      <c r="T1363">
        <f>IF(connections!$A1368="","",IFERROR(INDEX(games!$B$2:$B$950,MATCH(connections!$A1368,games!$A$2:$A$950,0)),""))</f>
        <v>2009</v>
      </c>
      <c r="U1363">
        <f>IF(connections!$A1368="","",IFERROR(INDEX(games!$B$2:$B$950,MATCH(connections!$B1368,games!$A$2:$A$950,0)),""))</f>
        <v>2020</v>
      </c>
      <c r="V1363">
        <f t="shared" si="201"/>
        <v>11</v>
      </c>
    </row>
    <row r="1364" spans="20:22" x14ac:dyDescent="0.25">
      <c r="T1364">
        <f>IF(connections!$A1369="","",IFERROR(INDEX(games!$B$2:$B$950,MATCH(connections!$A1369,games!$A$2:$A$950,0)),""))</f>
        <v>2022</v>
      </c>
      <c r="U1364">
        <f>IF(connections!$A1369="","",IFERROR(INDEX(games!$B$2:$B$950,MATCH(connections!$B1369,games!$A$2:$A$950,0)),""))</f>
        <v>2023</v>
      </c>
      <c r="V1364">
        <f t="shared" si="201"/>
        <v>1</v>
      </c>
    </row>
    <row r="1365" spans="20:22" x14ac:dyDescent="0.25">
      <c r="T1365">
        <f>IF(connections!$A1378="","",IFERROR(INDEX(games!$B$2:$B$950,MATCH(connections!$A1378,games!$A$2:$A$950,0)),""))</f>
        <v>2021</v>
      </c>
      <c r="U1365">
        <f>IF(connections!$A1378="","",IFERROR(INDEX(games!$B$2:$B$950,MATCH(connections!$B1378,games!$A$2:$A$950,0)),""))</f>
        <v>2022</v>
      </c>
      <c r="V1365">
        <f t="shared" si="201"/>
        <v>1</v>
      </c>
    </row>
    <row r="1366" spans="20:22" x14ac:dyDescent="0.25">
      <c r="T1366">
        <f>IF(connections!$A1379="","",IFERROR(INDEX(games!$B$2:$B$950,MATCH(connections!$A1379,games!$A$2:$A$950,0)),""))</f>
        <v>2019</v>
      </c>
      <c r="U1366">
        <f>IF(connections!$A1379="","",IFERROR(INDEX(games!$B$2:$B$950,MATCH(connections!$B1379,games!$A$2:$A$950,0)),""))</f>
        <v>2022</v>
      </c>
      <c r="V1366">
        <f t="shared" si="201"/>
        <v>3</v>
      </c>
    </row>
    <row r="1367" spans="20:22" x14ac:dyDescent="0.25">
      <c r="T1367">
        <f>IF(connections!$A1380="","",IFERROR(INDEX(games!$B$2:$B$950,MATCH(connections!$A1380,games!$A$2:$A$950,0)),""))</f>
        <v>2023</v>
      </c>
      <c r="U1367">
        <f>IF(connections!$A1380="","",IFERROR(INDEX(games!$B$2:$B$950,MATCH(connections!$B1380,games!$A$2:$A$950,0)),""))</f>
        <v>2024</v>
      </c>
      <c r="V1367">
        <f t="shared" si="201"/>
        <v>1</v>
      </c>
    </row>
    <row r="1368" spans="20:22" x14ac:dyDescent="0.25">
      <c r="T1368">
        <f>IF(connections!$A1381="","",IFERROR(INDEX(games!$B$2:$B$950,MATCH(connections!$A1381,games!$A$2:$A$950,0)),""))</f>
        <v>2020</v>
      </c>
      <c r="U1368">
        <f>IF(connections!$A1381="","",IFERROR(INDEX(games!$B$2:$B$950,MATCH(connections!$B1381,games!$A$2:$A$950,0)),""))</f>
        <v>2021</v>
      </c>
      <c r="V1368">
        <f t="shared" si="201"/>
        <v>1</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2020</v>
      </c>
      <c r="U1370">
        <f>IF(connections!$A1383="","",IFERROR(INDEX(games!$B$2:$B$950,MATCH(connections!$B1383,games!$A$2:$A$950,0)),""))</f>
        <v>2022</v>
      </c>
      <c r="V1370">
        <f t="shared" si="201"/>
        <v>2</v>
      </c>
    </row>
    <row r="1371" spans="20:22" x14ac:dyDescent="0.25">
      <c r="T1371">
        <f>IF(connections!$A1384="","",IFERROR(INDEX(games!$B$2:$B$950,MATCH(connections!$A1384,games!$A$2:$A$950,0)),""))</f>
        <v>2020</v>
      </c>
      <c r="U1371">
        <f>IF(connections!$A1384="","",IFERROR(INDEX(games!$B$2:$B$950,MATCH(connections!$B1384,games!$A$2:$A$950,0)),""))</f>
        <v>2025</v>
      </c>
      <c r="V1371">
        <f t="shared" si="201"/>
        <v>5</v>
      </c>
    </row>
    <row r="1372" spans="20:22" x14ac:dyDescent="0.25">
      <c r="T1372">
        <f>IF(connections!$A1385="","",IFERROR(INDEX(games!$B$2:$B$950,MATCH(connections!$A1385,games!$A$2:$A$950,0)),""))</f>
        <v>2021</v>
      </c>
      <c r="U1372">
        <f>IF(connections!$A1385="","",IFERROR(INDEX(games!$B$2:$B$950,MATCH(connections!$B1385,games!$A$2:$A$950,0)),""))</f>
        <v>2025</v>
      </c>
      <c r="V1372">
        <f t="shared" si="201"/>
        <v>4</v>
      </c>
    </row>
    <row r="1373" spans="20:22" x14ac:dyDescent="0.25">
      <c r="T1373">
        <f>IF(connections!$A1386="","",IFERROR(INDEX(games!$B$2:$B$950,MATCH(connections!$A1386,games!$A$2:$A$950,0)),""))</f>
        <v>2021</v>
      </c>
      <c r="U1373">
        <f>IF(connections!$A1386="","",IFERROR(INDEX(games!$B$2:$B$950,MATCH(connections!$B1386,games!$A$2:$A$950,0)),""))</f>
        <v>2023</v>
      </c>
      <c r="V1373">
        <f t="shared" si="201"/>
        <v>2</v>
      </c>
    </row>
    <row r="1374" spans="20:22" x14ac:dyDescent="0.25">
      <c r="T1374">
        <f>IF(connections!$A1387="","",IFERROR(INDEX(games!$B$2:$B$950,MATCH(connections!$A1387,games!$A$2:$A$950,0)),""))</f>
        <v>2017</v>
      </c>
      <c r="U1374">
        <f>IF(connections!$A1387="","",IFERROR(INDEX(games!$B$2:$B$950,MATCH(connections!$B1387,games!$A$2:$A$950,0)),""))</f>
        <v>2022</v>
      </c>
      <c r="V1374">
        <f t="shared" si="201"/>
        <v>5</v>
      </c>
    </row>
    <row r="1375" spans="20:22" x14ac:dyDescent="0.25">
      <c r="T1375">
        <f>IF(connections!$A1388="","",IFERROR(INDEX(games!$B$2:$B$950,MATCH(connections!$A1388,games!$A$2:$A$950,0)),""))</f>
        <v>1995</v>
      </c>
      <c r="U1375">
        <f>IF(connections!$A1388="","",IFERROR(INDEX(games!$B$2:$B$950,MATCH(connections!$B1388,games!$A$2:$A$950,0)),""))</f>
        <v>2025</v>
      </c>
      <c r="V1375">
        <f t="shared" si="201"/>
        <v>30</v>
      </c>
    </row>
    <row r="1376" spans="20:22" x14ac:dyDescent="0.25">
      <c r="T1376">
        <f>IF(connections!$A1389="","",IFERROR(INDEX(games!$B$2:$B$950,MATCH(connections!$A1389,games!$A$2:$A$950,0)),""))</f>
        <v>2019</v>
      </c>
      <c r="U1376">
        <f>IF(connections!$A1389="","",IFERROR(INDEX(games!$B$2:$B$950,MATCH(connections!$B1389,games!$A$2:$A$950,0)),""))</f>
        <v>2021</v>
      </c>
      <c r="V1376">
        <f t="shared" si="201"/>
        <v>2</v>
      </c>
    </row>
    <row r="1377" spans="20:22" x14ac:dyDescent="0.25">
      <c r="T1377">
        <f>IF(connections!$A1390="","",IFERROR(INDEX(games!$B$2:$B$950,MATCH(connections!$A1390,games!$A$2:$A$950,0)),""))</f>
        <v>2019</v>
      </c>
      <c r="U1377">
        <f>IF(connections!$A1390="","",IFERROR(INDEX(games!$B$2:$B$950,MATCH(connections!$B1390,games!$A$2:$A$950,0)),""))</f>
        <v>2021</v>
      </c>
      <c r="V1377">
        <f t="shared" si="201"/>
        <v>2</v>
      </c>
    </row>
    <row r="1378" spans="20:22" x14ac:dyDescent="0.25">
      <c r="T1378">
        <f>IF(connections!$A1391="","",IFERROR(INDEX(games!$B$2:$B$950,MATCH(connections!$A1391,games!$A$2:$A$950,0)),""))</f>
        <v>2018</v>
      </c>
      <c r="U1378">
        <f>IF(connections!$A1391="","",IFERROR(INDEX(games!$B$2:$B$950,MATCH(connections!$B1391,games!$A$2:$A$950,0)),""))</f>
        <v>2021</v>
      </c>
      <c r="V1378">
        <f t="shared" si="201"/>
        <v>3</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2012</v>
      </c>
      <c r="U1380">
        <f>IF(connections!$A1393="","",IFERROR(INDEX(games!$B$2:$B$950,MATCH(connections!$B1393,games!$A$2:$A$950,0)),""))</f>
        <v>2015</v>
      </c>
      <c r="V1380">
        <f t="shared" si="201"/>
        <v>3</v>
      </c>
    </row>
    <row r="1381" spans="20:22" x14ac:dyDescent="0.25">
      <c r="T1381">
        <f>IF(connections!$A1394="","",IFERROR(INDEX(games!$B$2:$B$950,MATCH(connections!$A1394,games!$A$2:$A$950,0)),""))</f>
        <v>2008</v>
      </c>
      <c r="U1381">
        <f>IF(connections!$A1394="","",IFERROR(INDEX(games!$B$2:$B$950,MATCH(connections!$B1394,games!$A$2:$A$950,0)),""))</f>
        <v>2015</v>
      </c>
      <c r="V1381">
        <f t="shared" si="201"/>
        <v>7</v>
      </c>
    </row>
    <row r="1382" spans="20:22" x14ac:dyDescent="0.25">
      <c r="T1382">
        <f>IF(connections!$A1395="","",IFERROR(INDEX(games!$B$2:$B$950,MATCH(connections!$A1395,games!$A$2:$A$950,0)),""))</f>
        <v>2008</v>
      </c>
      <c r="U1382">
        <f>IF(connections!$A1395="","",IFERROR(INDEX(games!$B$2:$B$950,MATCH(connections!$B1395,games!$A$2:$A$950,0)),""))</f>
        <v>2010</v>
      </c>
      <c r="V1382">
        <f t="shared" si="201"/>
        <v>2</v>
      </c>
    </row>
    <row r="1383" spans="20:22" x14ac:dyDescent="0.25">
      <c r="T1383">
        <f>IF(connections!$A1396="","",IFERROR(INDEX(games!$B$2:$B$950,MATCH(connections!$A1396,games!$A$2:$A$950,0)),""))</f>
        <v>1987</v>
      </c>
      <c r="U1383">
        <f>IF(connections!$A1396="","",IFERROR(INDEX(games!$B$2:$B$950,MATCH(connections!$B1396,games!$A$2:$A$950,0)),""))</f>
        <v>2010</v>
      </c>
      <c r="V1383">
        <f t="shared" si="201"/>
        <v>23</v>
      </c>
    </row>
    <row r="1384" spans="20:22" x14ac:dyDescent="0.25">
      <c r="T1384">
        <f>IF(connections!$A1397="","",IFERROR(INDEX(games!$B$2:$B$950,MATCH(connections!$A1397,games!$A$2:$A$950,0)),""))</f>
        <v>2005</v>
      </c>
      <c r="U1384">
        <f>IF(connections!$A1397="","",IFERROR(INDEX(games!$B$2:$B$950,MATCH(connections!$B1397,games!$A$2:$A$950,0)),""))</f>
        <v>2012</v>
      </c>
      <c r="V1384">
        <f t="shared" si="201"/>
        <v>7</v>
      </c>
    </row>
    <row r="1385" spans="20:22" x14ac:dyDescent="0.25">
      <c r="T1385">
        <f>IF(connections!$A1398="","",IFERROR(INDEX(games!$B$2:$B$950,MATCH(connections!$A1398,games!$A$2:$A$950,0)),""))</f>
        <v>2006</v>
      </c>
      <c r="U1385">
        <f>IF(connections!$A1398="","",IFERROR(INDEX(games!$B$2:$B$950,MATCH(connections!$B1398,games!$A$2:$A$950,0)),""))</f>
        <v>2010</v>
      </c>
      <c r="V1385">
        <f t="shared" si="201"/>
        <v>4</v>
      </c>
    </row>
    <row r="1386" spans="20:22" x14ac:dyDescent="0.25">
      <c r="T1386">
        <f>IF(connections!$A1399="","",IFERROR(INDEX(games!$B$2:$B$950,MATCH(connections!$A1399,games!$A$2:$A$950,0)),""))</f>
        <v>1980</v>
      </c>
      <c r="U1386">
        <f>IF(connections!$A1399="","",IFERROR(INDEX(games!$B$2:$B$950,MATCH(connections!$B1399,games!$A$2:$A$950,0)),""))</f>
        <v>2017</v>
      </c>
      <c r="V1386">
        <f t="shared" si="201"/>
        <v>37</v>
      </c>
    </row>
    <row r="1387" spans="20:22" x14ac:dyDescent="0.25">
      <c r="T1387">
        <f>IF(connections!$A1400="","",IFERROR(INDEX(games!$B$2:$B$950,MATCH(connections!$A1400,games!$A$2:$A$950,0)),""))</f>
        <v>1987</v>
      </c>
      <c r="U1387">
        <f>IF(connections!$A1400="","",IFERROR(INDEX(games!$B$2:$B$950,MATCH(connections!$B1400,games!$A$2:$A$950,0)),""))</f>
        <v>2017</v>
      </c>
      <c r="V1387">
        <f t="shared" si="201"/>
        <v>30</v>
      </c>
    </row>
    <row r="1388" spans="20:22" x14ac:dyDescent="0.25">
      <c r="T1388">
        <f>IF(connections!$A1401="","",IFERROR(INDEX(games!$B$2:$B$950,MATCH(connections!$A1401,games!$A$2:$A$950,0)),""))</f>
        <v>2016</v>
      </c>
      <c r="U1388">
        <f>IF(connections!$A1401="","",IFERROR(INDEX(games!$B$2:$B$950,MATCH(connections!$B1401,games!$A$2:$A$950,0)),""))</f>
        <v>2019</v>
      </c>
      <c r="V1388">
        <f t="shared" si="201"/>
        <v>3</v>
      </c>
    </row>
    <row r="1389" spans="20:22" x14ac:dyDescent="0.25">
      <c r="T1389">
        <f>IF(connections!$A1402="","",IFERROR(INDEX(games!$B$2:$B$950,MATCH(connections!$A1402,games!$A$2:$A$950,0)),""))</f>
        <v>2018</v>
      </c>
      <c r="U1389">
        <f>IF(connections!$A1402="","",IFERROR(INDEX(games!$B$2:$B$950,MATCH(connections!$B1402,games!$A$2:$A$950,0)),""))</f>
        <v>2019</v>
      </c>
      <c r="V1389">
        <f t="shared" si="201"/>
        <v>1</v>
      </c>
    </row>
    <row r="1390" spans="20:22" x14ac:dyDescent="0.25">
      <c r="T1390">
        <f>IF(connections!$A1403="","",IFERROR(INDEX(games!$B$2:$B$950,MATCH(connections!$A1403,games!$A$2:$A$950,0)),""))</f>
        <v>2015</v>
      </c>
      <c r="U1390">
        <f>IF(connections!$A1403="","",IFERROR(INDEX(games!$B$2:$B$950,MATCH(connections!$B1403,games!$A$2:$A$950,0)),""))</f>
        <v>2023</v>
      </c>
      <c r="V1390">
        <f t="shared" si="201"/>
        <v>8</v>
      </c>
    </row>
    <row r="1391" spans="20:22" x14ac:dyDescent="0.25">
      <c r="T1391">
        <f>IF(connections!$A1404="","",IFERROR(INDEX(games!$B$2:$B$950,MATCH(connections!$A1404,games!$A$2:$A$950,0)),""))</f>
        <v>2013</v>
      </c>
      <c r="U1391">
        <f>IF(connections!$A1404="","",IFERROR(INDEX(games!$B$2:$B$950,MATCH(connections!$B1404,games!$A$2:$A$950,0)),""))</f>
        <v>2023</v>
      </c>
      <c r="V1391">
        <f t="shared" si="201"/>
        <v>10</v>
      </c>
    </row>
    <row r="1392" spans="20:22" x14ac:dyDescent="0.25">
      <c r="T1392">
        <f>IF(connections!$A1405="","",IFERROR(INDEX(games!$B$2:$B$950,MATCH(connections!$A1405,games!$A$2:$A$950,0)),""))</f>
        <v>1980</v>
      </c>
      <c r="U1392">
        <f>IF(connections!$A1405="","",IFERROR(INDEX(games!$B$2:$B$950,MATCH(connections!$B1405,games!$A$2:$A$950,0)),""))</f>
        <v>1994</v>
      </c>
      <c r="V1392">
        <f t="shared" si="201"/>
        <v>14</v>
      </c>
    </row>
    <row r="1393" spans="20:22" x14ac:dyDescent="0.25">
      <c r="T1393">
        <f>IF(connections!$A1406="","",IFERROR(INDEX(games!$B$2:$B$950,MATCH(connections!$A1406,games!$A$2:$A$950,0)),""))</f>
        <v>1987</v>
      </c>
      <c r="U1393">
        <f>IF(connections!$A1406="","",IFERROR(INDEX(games!$B$2:$B$950,MATCH(connections!$B1406,games!$A$2:$A$950,0)),""))</f>
        <v>1994</v>
      </c>
      <c r="V1393">
        <f t="shared" si="201"/>
        <v>7</v>
      </c>
    </row>
    <row r="1394" spans="20:22" x14ac:dyDescent="0.25">
      <c r="T1394">
        <f>IF(connections!$A1407="","",IFERROR(INDEX(games!$B$2:$B$950,MATCH(connections!$A1407,games!$A$2:$A$950,0)),""))</f>
        <v>2014</v>
      </c>
      <c r="U1394">
        <f>IF(connections!$A1407="","",IFERROR(INDEX(games!$B$2:$B$950,MATCH(connections!$B1407,games!$A$2:$A$950,0)),""))</f>
        <v>2017</v>
      </c>
      <c r="V1394">
        <f t="shared" si="201"/>
        <v>3</v>
      </c>
    </row>
    <row r="1395" spans="20:22" x14ac:dyDescent="0.25">
      <c r="T1395">
        <f>IF(connections!$A1408="","",IFERROR(INDEX(games!$B$2:$B$950,MATCH(connections!$A1408,games!$A$2:$A$950,0)),""))</f>
        <v>2016</v>
      </c>
      <c r="U1395">
        <f>IF(connections!$A1408="","",IFERROR(INDEX(games!$B$2:$B$950,MATCH(connections!$B1408,games!$A$2:$A$950,0)),""))</f>
        <v>2017</v>
      </c>
      <c r="V1395">
        <f t="shared" si="201"/>
        <v>1</v>
      </c>
    </row>
    <row r="1396" spans="20:22" x14ac:dyDescent="0.25">
      <c r="T1396">
        <f>IF(connections!$A1409="","",IFERROR(INDEX(games!$B$2:$B$950,MATCH(connections!$A1409,games!$A$2:$A$950,0)),""))</f>
        <v>2008</v>
      </c>
      <c r="U1396">
        <f>IF(connections!$A1409="","",IFERROR(INDEX(games!$B$2:$B$950,MATCH(connections!$B1409,games!$A$2:$A$950,0)),""))</f>
        <v>2017</v>
      </c>
      <c r="V1396">
        <f t="shared" si="201"/>
        <v>9</v>
      </c>
    </row>
    <row r="1397" spans="20:22" x14ac:dyDescent="0.25">
      <c r="T1397">
        <f>IF(connections!$A1410="","",IFERROR(INDEX(games!$B$2:$B$950,MATCH(connections!$A1410,games!$A$2:$A$950,0)),""))</f>
        <v>2012</v>
      </c>
      <c r="U1397">
        <f>IF(connections!$A1410="","",IFERROR(INDEX(games!$B$2:$B$950,MATCH(connections!$B1410,games!$A$2:$A$950,0)),""))</f>
        <v>2015</v>
      </c>
      <c r="V1397">
        <f t="shared" si="201"/>
        <v>3</v>
      </c>
    </row>
    <row r="1398" spans="20:22" x14ac:dyDescent="0.25">
      <c r="T1398">
        <f>IF(connections!$A1411="","",IFERROR(INDEX(games!$B$2:$B$950,MATCH(connections!$A1411,games!$A$2:$A$950,0)),""))</f>
        <v>2008</v>
      </c>
      <c r="U1398">
        <f>IF(connections!$A1411="","",IFERROR(INDEX(games!$B$2:$B$950,MATCH(connections!$B1411,games!$A$2:$A$950,0)),""))</f>
        <v>2015</v>
      </c>
      <c r="V1398">
        <f t="shared" si="201"/>
        <v>7</v>
      </c>
    </row>
    <row r="1399" spans="20:22" x14ac:dyDescent="0.25">
      <c r="T1399">
        <f>IF(connections!$A1412="","",IFERROR(INDEX(games!$B$2:$B$950,MATCH(connections!$A1412,games!$A$2:$A$950,0)),""))</f>
        <v>2011</v>
      </c>
      <c r="U1399">
        <f>IF(connections!$A1412="","",IFERROR(INDEX(games!$B$2:$B$950,MATCH(connections!$B1412,games!$A$2:$A$950,0)),""))</f>
        <v>2015</v>
      </c>
      <c r="V1399">
        <f t="shared" si="201"/>
        <v>4</v>
      </c>
    </row>
    <row r="1400" spans="20:22" x14ac:dyDescent="0.25">
      <c r="T1400">
        <f>IF(connections!$A1413="","",IFERROR(INDEX(games!$B$2:$B$950,MATCH(connections!$A1413,games!$A$2:$A$950,0)),""))</f>
        <v>2022</v>
      </c>
      <c r="U1400">
        <f>IF(connections!$A1413="","",IFERROR(INDEX(games!$B$2:$B$950,MATCH(connections!$B1413,games!$A$2:$A$950,0)),""))</f>
        <v>2023</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2026-10-03T09:47:54Z</dcterms:modified>
  <dc:language>en-US</dc:language>
</cp:coreProperties>
</file>